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bethforbes/Documents/Hudson Carbon/eddy covariance/additional_data/"/>
    </mc:Choice>
  </mc:AlternateContent>
  <xr:revisionPtr revIDLastSave="0" documentId="8_{76D0C0D5-E0D6-ED4D-B22D-17DD64E84921}" xr6:coauthVersionLast="47" xr6:coauthVersionMax="47" xr10:uidLastSave="{00000000-0000-0000-0000-000000000000}"/>
  <bookViews>
    <workbookView xWindow="-38400" yWindow="-260" windowWidth="38400" windowHeight="21100" activeTab="2" xr2:uid="{D8898C22-FFAE-4110-B976-D18A82357049}"/>
  </bookViews>
  <sheets>
    <sheet name="Sheet1" sheetId="1" r:id="rId1"/>
    <sheet name="ESF_April2026" sheetId="2" r:id="rId2"/>
    <sheet name="ESF_Apr26_fin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46" i="2" l="1"/>
  <c r="P1826" i="2"/>
  <c r="M1826" i="2"/>
  <c r="L1826" i="2"/>
  <c r="N1826" i="2" s="1"/>
  <c r="O1826" i="2" s="1"/>
  <c r="Q1826" i="2" s="1"/>
  <c r="P1823" i="2"/>
  <c r="M1823" i="2"/>
  <c r="N1823" i="2" s="1"/>
  <c r="O1823" i="2" s="1"/>
  <c r="Q1823" i="2" s="1"/>
  <c r="L1823" i="2"/>
  <c r="P1820" i="2"/>
  <c r="M1820" i="2"/>
  <c r="L1820" i="2"/>
  <c r="N1820" i="2" s="1"/>
  <c r="O1820" i="2" s="1"/>
  <c r="Q1820" i="2" s="1"/>
  <c r="P1817" i="2"/>
  <c r="M1817" i="2"/>
  <c r="L1817" i="2"/>
  <c r="N1817" i="2" s="1"/>
  <c r="O1817" i="2" s="1"/>
  <c r="Q1817" i="2" s="1"/>
  <c r="P1814" i="2"/>
  <c r="N1814" i="2"/>
  <c r="O1814" i="2" s="1"/>
  <c r="Q1814" i="2" s="1"/>
  <c r="M1814" i="2"/>
  <c r="L1814" i="2"/>
  <c r="P1811" i="2"/>
  <c r="M1811" i="2"/>
  <c r="L1811" i="2"/>
  <c r="N1811" i="2" s="1"/>
  <c r="O1811" i="2" s="1"/>
  <c r="Q1811" i="2" s="1"/>
  <c r="P1808" i="2"/>
  <c r="M1808" i="2"/>
  <c r="L1808" i="2"/>
  <c r="N1808" i="2" s="1"/>
  <c r="O1808" i="2" s="1"/>
  <c r="Q1808" i="2" s="1"/>
  <c r="P1805" i="2"/>
  <c r="N1805" i="2"/>
  <c r="O1805" i="2" s="1"/>
  <c r="Q1805" i="2" s="1"/>
  <c r="M1805" i="2"/>
  <c r="L1805" i="2"/>
  <c r="P1792" i="2"/>
  <c r="M1792" i="2"/>
  <c r="N1792" i="2" s="1"/>
  <c r="O1792" i="2" s="1"/>
  <c r="Q1792" i="2" s="1"/>
  <c r="L1792" i="2"/>
  <c r="P1789" i="2"/>
  <c r="M1789" i="2"/>
  <c r="N1789" i="2" s="1"/>
  <c r="O1789" i="2" s="1"/>
  <c r="Q1789" i="2" s="1"/>
  <c r="L1789" i="2"/>
  <c r="P1786" i="2"/>
  <c r="M1786" i="2"/>
  <c r="L1786" i="2"/>
  <c r="N1786" i="2" s="1"/>
  <c r="O1786" i="2" s="1"/>
  <c r="Q1786" i="2" s="1"/>
  <c r="P1783" i="2"/>
  <c r="M1783" i="2"/>
  <c r="L1783" i="2"/>
  <c r="N1783" i="2" s="1"/>
  <c r="O1783" i="2" s="1"/>
  <c r="Q1783" i="2" s="1"/>
  <c r="P1780" i="2"/>
  <c r="M1780" i="2"/>
  <c r="L1780" i="2"/>
  <c r="N1780" i="2" s="1"/>
  <c r="O1780" i="2" s="1"/>
  <c r="Q1780" i="2" s="1"/>
  <c r="P1777" i="2"/>
  <c r="N1777" i="2"/>
  <c r="O1777" i="2" s="1"/>
  <c r="Q1777" i="2" s="1"/>
  <c r="M1777" i="2"/>
  <c r="L1777" i="2"/>
  <c r="P1774" i="2"/>
  <c r="M1774" i="2"/>
  <c r="L1774" i="2"/>
  <c r="N1774" i="2" s="1"/>
  <c r="O1774" i="2" s="1"/>
  <c r="Q1774" i="2" s="1"/>
  <c r="P1771" i="2"/>
  <c r="M1771" i="2"/>
  <c r="L1771" i="2"/>
  <c r="N1771" i="2" s="1"/>
  <c r="O1771" i="2" s="1"/>
  <c r="Q1771" i="2" s="1"/>
  <c r="P1768" i="2"/>
  <c r="N1768" i="2"/>
  <c r="O1768" i="2" s="1"/>
  <c r="Q1768" i="2" s="1"/>
  <c r="M1768" i="2"/>
  <c r="L1768" i="2"/>
  <c r="P1765" i="2"/>
  <c r="M1765" i="2"/>
  <c r="L1765" i="2"/>
  <c r="N1765" i="2" s="1"/>
  <c r="O1765" i="2" s="1"/>
  <c r="Q1765" i="2" s="1"/>
  <c r="P1712" i="2"/>
  <c r="M1712" i="2"/>
  <c r="L1712" i="2"/>
  <c r="N1712" i="2" s="1"/>
  <c r="O1712" i="2" s="1"/>
  <c r="Q1712" i="2" s="1"/>
  <c r="P1709" i="2"/>
  <c r="M1709" i="2"/>
  <c r="L1709" i="2"/>
  <c r="N1709" i="2" s="1"/>
  <c r="O1709" i="2" s="1"/>
  <c r="Q1709" i="2" s="1"/>
  <c r="P1706" i="2"/>
  <c r="N1706" i="2"/>
  <c r="O1706" i="2" s="1"/>
  <c r="Q1706" i="2" s="1"/>
  <c r="M1706" i="2"/>
  <c r="L1706" i="2"/>
  <c r="P1703" i="2"/>
  <c r="N1703" i="2"/>
  <c r="O1703" i="2" s="1"/>
  <c r="Q1703" i="2" s="1"/>
  <c r="M1703" i="2"/>
  <c r="L1703" i="2"/>
  <c r="P1700" i="2"/>
  <c r="N1700" i="2"/>
  <c r="O1700" i="2" s="1"/>
  <c r="Q1700" i="2" s="1"/>
  <c r="M1700" i="2"/>
  <c r="L1700" i="2"/>
  <c r="P1697" i="2"/>
  <c r="M1697" i="2"/>
  <c r="N1697" i="2" s="1"/>
  <c r="O1697" i="2" s="1"/>
  <c r="Q1697" i="2" s="1"/>
  <c r="L1697" i="2"/>
  <c r="P1694" i="2"/>
  <c r="M1694" i="2"/>
  <c r="L1694" i="2"/>
  <c r="N1694" i="2" s="1"/>
  <c r="O1694" i="2" s="1"/>
  <c r="Q1694" i="2" s="1"/>
  <c r="P1691" i="2"/>
  <c r="M1691" i="2"/>
  <c r="L1691" i="2"/>
  <c r="N1691" i="2" s="1"/>
  <c r="O1691" i="2" s="1"/>
  <c r="Q1691" i="2" s="1"/>
  <c r="P1688" i="2"/>
  <c r="M1688" i="2"/>
  <c r="L1688" i="2"/>
  <c r="N1688" i="2" s="1"/>
  <c r="O1688" i="2" s="1"/>
  <c r="Q1688" i="2" s="1"/>
  <c r="P1685" i="2"/>
  <c r="N1685" i="2"/>
  <c r="O1685" i="2" s="1"/>
  <c r="Q1685" i="2" s="1"/>
  <c r="M1685" i="2"/>
  <c r="L1685" i="2"/>
  <c r="L1648" i="2"/>
  <c r="P1672" i="2"/>
  <c r="M1672" i="2"/>
  <c r="L1672" i="2"/>
  <c r="N1672" i="2" s="1"/>
  <c r="O1672" i="2" s="1"/>
  <c r="Q1672" i="2" s="1"/>
  <c r="P1669" i="2"/>
  <c r="M1669" i="2"/>
  <c r="L1669" i="2"/>
  <c r="N1669" i="2" s="1"/>
  <c r="O1669" i="2" s="1"/>
  <c r="Q1669" i="2" s="1"/>
  <c r="P1666" i="2"/>
  <c r="M1666" i="2"/>
  <c r="L1666" i="2"/>
  <c r="N1666" i="2" s="1"/>
  <c r="O1666" i="2" s="1"/>
  <c r="Q1666" i="2" s="1"/>
  <c r="P1663" i="2"/>
  <c r="M1663" i="2"/>
  <c r="L1663" i="2"/>
  <c r="N1663" i="2" s="1"/>
  <c r="O1663" i="2" s="1"/>
  <c r="Q1663" i="2" s="1"/>
  <c r="P1660" i="2"/>
  <c r="N1660" i="2"/>
  <c r="O1660" i="2" s="1"/>
  <c r="Q1660" i="2" s="1"/>
  <c r="M1660" i="2"/>
  <c r="L1660" i="2"/>
  <c r="P1657" i="2"/>
  <c r="M1657" i="2"/>
  <c r="L1657" i="2"/>
  <c r="N1657" i="2" s="1"/>
  <c r="O1657" i="2" s="1"/>
  <c r="Q1657" i="2" s="1"/>
  <c r="P1654" i="2"/>
  <c r="M1654" i="2"/>
  <c r="L1654" i="2"/>
  <c r="N1654" i="2" s="1"/>
  <c r="O1654" i="2" s="1"/>
  <c r="Q1654" i="2" s="1"/>
  <c r="P1651" i="2"/>
  <c r="M1651" i="2"/>
  <c r="L1651" i="2"/>
  <c r="N1651" i="2" s="1"/>
  <c r="O1651" i="2" s="1"/>
  <c r="Q1651" i="2" s="1"/>
  <c r="P1648" i="2"/>
  <c r="M1648" i="2"/>
  <c r="N1648" i="2"/>
  <c r="O1648" i="2" s="1"/>
  <c r="Q1648" i="2" s="1"/>
  <c r="P1645" i="2"/>
  <c r="M1645" i="2"/>
  <c r="L1645" i="2"/>
  <c r="N1645" i="2" s="1"/>
  <c r="O1645" i="2" s="1"/>
  <c r="Q1645" i="2" s="1"/>
  <c r="P875" i="2"/>
  <c r="M875" i="2"/>
  <c r="L875" i="2"/>
  <c r="N875" i="2" s="1"/>
  <c r="O875" i="2" s="1"/>
  <c r="Q875" i="2" s="1"/>
  <c r="P872" i="2"/>
  <c r="M872" i="2"/>
  <c r="L872" i="2"/>
  <c r="N872" i="2" s="1"/>
  <c r="O872" i="2" s="1"/>
  <c r="Q872" i="2" s="1"/>
  <c r="P869" i="2"/>
  <c r="M869" i="2"/>
  <c r="L869" i="2"/>
  <c r="N869" i="2" s="1"/>
  <c r="O869" i="2" s="1"/>
  <c r="Q869" i="2" s="1"/>
  <c r="P866" i="2"/>
  <c r="M866" i="2"/>
  <c r="N866" i="2" s="1"/>
  <c r="O866" i="2" s="1"/>
  <c r="Q866" i="2" s="1"/>
  <c r="L866" i="2"/>
  <c r="P863" i="2"/>
  <c r="M863" i="2"/>
  <c r="L863" i="2"/>
  <c r="N863" i="2" s="1"/>
  <c r="O863" i="2" s="1"/>
  <c r="Q863" i="2" s="1"/>
  <c r="P860" i="2"/>
  <c r="N860" i="2"/>
  <c r="O860" i="2" s="1"/>
  <c r="Q860" i="2" s="1"/>
  <c r="M860" i="2"/>
  <c r="L860" i="2"/>
  <c r="P857" i="2"/>
  <c r="M857" i="2"/>
  <c r="L857" i="2"/>
  <c r="N857" i="2" s="1"/>
  <c r="O857" i="2" s="1"/>
  <c r="Q857" i="2" s="1"/>
  <c r="P854" i="2"/>
  <c r="M854" i="2"/>
  <c r="L854" i="2"/>
  <c r="N854" i="2" s="1"/>
  <c r="O854" i="2" s="1"/>
  <c r="Q854" i="2" s="1"/>
  <c r="P851" i="2"/>
  <c r="N851" i="2"/>
  <c r="O851" i="2" s="1"/>
  <c r="Q851" i="2" s="1"/>
  <c r="M851" i="2"/>
  <c r="L851" i="2"/>
  <c r="P848" i="2"/>
  <c r="M848" i="2"/>
  <c r="L848" i="2"/>
  <c r="N848" i="2" s="1"/>
  <c r="O848" i="2" s="1"/>
  <c r="Q848" i="2" s="1"/>
  <c r="P845" i="2"/>
  <c r="M845" i="2"/>
  <c r="L845" i="2"/>
  <c r="N845" i="2" s="1"/>
  <c r="O845" i="2" s="1"/>
  <c r="Q845" i="2" s="1"/>
  <c r="P835" i="2"/>
  <c r="M835" i="2"/>
  <c r="L835" i="2"/>
  <c r="N835" i="2" s="1"/>
  <c r="O835" i="2" s="1"/>
  <c r="Q835" i="2" s="1"/>
  <c r="P832" i="2"/>
  <c r="M832" i="2"/>
  <c r="L832" i="2"/>
  <c r="N832" i="2" s="1"/>
  <c r="O832" i="2" s="1"/>
  <c r="Q832" i="2" s="1"/>
  <c r="P829" i="2"/>
  <c r="M829" i="2"/>
  <c r="L829" i="2"/>
  <c r="N829" i="2" s="1"/>
  <c r="O829" i="2" s="1"/>
  <c r="Q829" i="2" s="1"/>
  <c r="M826" i="2"/>
  <c r="L826" i="2"/>
  <c r="P826" i="2"/>
  <c r="N826" i="2"/>
  <c r="O826" i="2" s="1"/>
  <c r="Q826" i="2" s="1"/>
  <c r="P823" i="2"/>
  <c r="M823" i="2"/>
  <c r="L823" i="2"/>
  <c r="N823" i="2" s="1"/>
  <c r="O823" i="2" s="1"/>
  <c r="Q823" i="2" s="1"/>
  <c r="P820" i="2"/>
  <c r="M820" i="2"/>
  <c r="N820" i="2" s="1"/>
  <c r="O820" i="2" s="1"/>
  <c r="Q820" i="2" s="1"/>
  <c r="L820" i="2"/>
  <c r="P817" i="2"/>
  <c r="M817" i="2"/>
  <c r="L817" i="2"/>
  <c r="N817" i="2" s="1"/>
  <c r="O817" i="2" s="1"/>
  <c r="Q817" i="2" s="1"/>
  <c r="P814" i="2"/>
  <c r="M814" i="2"/>
  <c r="L814" i="2"/>
  <c r="N814" i="2" s="1"/>
  <c r="O814" i="2" s="1"/>
  <c r="Q814" i="2" s="1"/>
  <c r="P811" i="2"/>
  <c r="N811" i="2"/>
  <c r="O811" i="2" s="1"/>
  <c r="Q811" i="2" s="1"/>
  <c r="M811" i="2"/>
  <c r="L811" i="2"/>
  <c r="P808" i="2"/>
  <c r="M808" i="2"/>
  <c r="L808" i="2"/>
  <c r="N808" i="2" s="1"/>
  <c r="O808" i="2" s="1"/>
  <c r="Q808" i="2" s="1"/>
  <c r="P805" i="2"/>
  <c r="M805" i="2"/>
  <c r="L805" i="2"/>
  <c r="N805" i="2" s="1"/>
  <c r="O805" i="2" s="1"/>
  <c r="Q805" i="2" s="1"/>
  <c r="P795" i="2"/>
  <c r="M795" i="2"/>
  <c r="L795" i="2"/>
  <c r="N795" i="2" s="1"/>
  <c r="O795" i="2" s="1"/>
  <c r="Q795" i="2" s="1"/>
  <c r="P792" i="2"/>
  <c r="M792" i="2"/>
  <c r="L792" i="2"/>
  <c r="N792" i="2" s="1"/>
  <c r="O792" i="2" s="1"/>
  <c r="Q792" i="2" s="1"/>
  <c r="P789" i="2"/>
  <c r="M789" i="2"/>
  <c r="L789" i="2"/>
  <c r="N789" i="2" s="1"/>
  <c r="O789" i="2" s="1"/>
  <c r="Q789" i="2" s="1"/>
  <c r="P786" i="2"/>
  <c r="N786" i="2"/>
  <c r="O786" i="2" s="1"/>
  <c r="Q786" i="2" s="1"/>
  <c r="M786" i="2"/>
  <c r="L786" i="2"/>
  <c r="P783" i="2"/>
  <c r="M783" i="2"/>
  <c r="L783" i="2"/>
  <c r="N783" i="2" s="1"/>
  <c r="O783" i="2" s="1"/>
  <c r="Q783" i="2" s="1"/>
  <c r="P780" i="2"/>
  <c r="M780" i="2"/>
  <c r="L780" i="2"/>
  <c r="N780" i="2" s="1"/>
  <c r="O780" i="2" s="1"/>
  <c r="Q780" i="2" s="1"/>
  <c r="P777" i="2"/>
  <c r="M777" i="2"/>
  <c r="L777" i="2"/>
  <c r="N777" i="2" s="1"/>
  <c r="O777" i="2" s="1"/>
  <c r="Q777" i="2" s="1"/>
  <c r="P774" i="2"/>
  <c r="M774" i="2"/>
  <c r="L774" i="2"/>
  <c r="N774" i="2" s="1"/>
  <c r="O774" i="2" s="1"/>
  <c r="Q774" i="2" s="1"/>
  <c r="P771" i="2"/>
  <c r="M771" i="2"/>
  <c r="L771" i="2"/>
  <c r="N771" i="2" s="1"/>
  <c r="O771" i="2" s="1"/>
  <c r="Q771" i="2" s="1"/>
  <c r="P768" i="2"/>
  <c r="M768" i="2"/>
  <c r="N768" i="2" s="1"/>
  <c r="O768" i="2" s="1"/>
  <c r="Q768" i="2" s="1"/>
  <c r="L768" i="2"/>
  <c r="P765" i="2"/>
  <c r="N765" i="2"/>
  <c r="O765" i="2" s="1"/>
  <c r="Q765" i="2" s="1"/>
  <c r="M765" i="2"/>
  <c r="L765" i="2"/>
  <c r="M746" i="2"/>
  <c r="L746" i="2"/>
  <c r="N746" i="2" s="1"/>
  <c r="O746" i="2" s="1"/>
  <c r="Q746" i="2" s="1"/>
  <c r="P743" i="2"/>
  <c r="M743" i="2"/>
  <c r="L743" i="2"/>
  <c r="N743" i="2" s="1"/>
  <c r="O743" i="2" s="1"/>
  <c r="Q743" i="2" s="1"/>
  <c r="P740" i="2"/>
  <c r="N740" i="2"/>
  <c r="O740" i="2" s="1"/>
  <c r="Q740" i="2" s="1"/>
  <c r="M740" i="2"/>
  <c r="L740" i="2"/>
  <c r="P737" i="2"/>
  <c r="M737" i="2"/>
  <c r="N737" i="2" s="1"/>
  <c r="O737" i="2" s="1"/>
  <c r="Q737" i="2" s="1"/>
  <c r="L737" i="2"/>
  <c r="P734" i="2"/>
  <c r="M734" i="2"/>
  <c r="L734" i="2"/>
  <c r="N734" i="2" s="1"/>
  <c r="O734" i="2" s="1"/>
  <c r="Q734" i="2" s="1"/>
  <c r="P731" i="2"/>
  <c r="M731" i="2"/>
  <c r="N731" i="2" s="1"/>
  <c r="O731" i="2" s="1"/>
  <c r="Q731" i="2" s="1"/>
  <c r="L731" i="2"/>
  <c r="P728" i="2"/>
  <c r="M728" i="2"/>
  <c r="L728" i="2"/>
  <c r="N728" i="2" s="1"/>
  <c r="O728" i="2" s="1"/>
  <c r="Q728" i="2" s="1"/>
  <c r="P725" i="2"/>
  <c r="O725" i="2"/>
  <c r="N725" i="2"/>
  <c r="M725" i="2"/>
  <c r="L725" i="2"/>
  <c r="Q725" i="2"/>
  <c r="P155" i="2"/>
  <c r="M155" i="2"/>
  <c r="L155" i="2"/>
  <c r="N155" i="2" s="1"/>
  <c r="O155" i="2" s="1"/>
  <c r="Q155" i="2" s="1"/>
  <c r="P152" i="2"/>
  <c r="M152" i="2"/>
  <c r="L152" i="2"/>
  <c r="N152" i="2" s="1"/>
  <c r="O152" i="2" s="1"/>
  <c r="Q152" i="2" s="1"/>
  <c r="P149" i="2"/>
  <c r="M149" i="2"/>
  <c r="L149" i="2"/>
  <c r="N149" i="2" s="1"/>
  <c r="O149" i="2" s="1"/>
  <c r="Q149" i="2" s="1"/>
  <c r="P146" i="2"/>
  <c r="M146" i="2"/>
  <c r="L146" i="2"/>
  <c r="N146" i="2" s="1"/>
  <c r="O146" i="2" s="1"/>
  <c r="Q146" i="2" s="1"/>
  <c r="P143" i="2"/>
  <c r="N143" i="2"/>
  <c r="O143" i="2" s="1"/>
  <c r="Q143" i="2" s="1"/>
  <c r="M143" i="2"/>
  <c r="L143" i="2"/>
  <c r="P140" i="2"/>
  <c r="M140" i="2"/>
  <c r="L140" i="2"/>
  <c r="N140" i="2" s="1"/>
  <c r="O140" i="2" s="1"/>
  <c r="Q140" i="2" s="1"/>
  <c r="P137" i="2"/>
  <c r="M137" i="2"/>
  <c r="N137" i="2" s="1"/>
  <c r="O137" i="2" s="1"/>
  <c r="Q137" i="2" s="1"/>
  <c r="L137" i="2"/>
  <c r="P134" i="2"/>
  <c r="M134" i="2"/>
  <c r="N134" i="2" s="1"/>
  <c r="O134" i="2" s="1"/>
  <c r="Q134" i="2" s="1"/>
  <c r="L134" i="2"/>
  <c r="P131" i="2"/>
  <c r="M131" i="2"/>
  <c r="N131" i="2" s="1"/>
  <c r="O131" i="2" s="1"/>
  <c r="Q131" i="2" s="1"/>
  <c r="L131" i="2"/>
  <c r="P128" i="2"/>
  <c r="M128" i="2"/>
  <c r="L128" i="2"/>
  <c r="N128" i="2" s="1"/>
  <c r="O128" i="2" s="1"/>
  <c r="Q128" i="2" s="1"/>
  <c r="P125" i="2"/>
  <c r="M125" i="2"/>
  <c r="L125" i="2"/>
  <c r="N125" i="2" s="1"/>
  <c r="O125" i="2" s="1"/>
  <c r="Q125" i="2" s="1"/>
  <c r="P109" i="2"/>
  <c r="M109" i="2"/>
  <c r="L109" i="2"/>
  <c r="N109" i="2" s="1"/>
  <c r="O109" i="2" s="1"/>
  <c r="Q109" i="2" s="1"/>
  <c r="P106" i="2"/>
  <c r="N106" i="2"/>
  <c r="O106" i="2" s="1"/>
  <c r="Q106" i="2" s="1"/>
  <c r="M106" i="2"/>
  <c r="L106" i="2"/>
  <c r="P103" i="2"/>
  <c r="N103" i="2"/>
  <c r="O103" i="2" s="1"/>
  <c r="Q103" i="2" s="1"/>
  <c r="M103" i="2"/>
  <c r="L103" i="2"/>
  <c r="P100" i="2"/>
  <c r="M100" i="2"/>
  <c r="L100" i="2"/>
  <c r="N100" i="2" s="1"/>
  <c r="O100" i="2" s="1"/>
  <c r="Q100" i="2" s="1"/>
  <c r="P97" i="2"/>
  <c r="M97" i="2"/>
  <c r="N97" i="2" s="1"/>
  <c r="O97" i="2" s="1"/>
  <c r="Q97" i="2" s="1"/>
  <c r="L97" i="2"/>
  <c r="P94" i="2"/>
  <c r="M94" i="2"/>
  <c r="L94" i="2"/>
  <c r="N94" i="2" s="1"/>
  <c r="O94" i="2" s="1"/>
  <c r="Q94" i="2" s="1"/>
  <c r="P91" i="2"/>
  <c r="M91" i="2"/>
  <c r="L91" i="2"/>
  <c r="N91" i="2" s="1"/>
  <c r="O91" i="2" s="1"/>
  <c r="Q91" i="2" s="1"/>
  <c r="P88" i="2"/>
  <c r="M88" i="2"/>
  <c r="L88" i="2"/>
  <c r="N88" i="2" s="1"/>
  <c r="O88" i="2" s="1"/>
  <c r="Q88" i="2" s="1"/>
  <c r="P85" i="2"/>
  <c r="M85" i="2"/>
  <c r="L85" i="2"/>
  <c r="N85" i="2" s="1"/>
  <c r="O85" i="2" s="1"/>
  <c r="Q85" i="2" s="1"/>
  <c r="P75" i="2"/>
  <c r="M75" i="2"/>
  <c r="L75" i="2"/>
  <c r="N75" i="2" s="1"/>
  <c r="O75" i="2" s="1"/>
  <c r="Q75" i="2" s="1"/>
  <c r="P72" i="2"/>
  <c r="M72" i="2"/>
  <c r="N72" i="2" s="1"/>
  <c r="O72" i="2" s="1"/>
  <c r="Q72" i="2" s="1"/>
  <c r="L72" i="2"/>
  <c r="P69" i="2"/>
  <c r="M69" i="2"/>
  <c r="L69" i="2"/>
  <c r="N69" i="2" s="1"/>
  <c r="O69" i="2" s="1"/>
  <c r="Q69" i="2" s="1"/>
  <c r="P66" i="2"/>
  <c r="M66" i="2"/>
  <c r="L66" i="2"/>
  <c r="N66" i="2" s="1"/>
  <c r="O66" i="2" s="1"/>
  <c r="Q66" i="2" s="1"/>
  <c r="P63" i="2"/>
  <c r="M63" i="2"/>
  <c r="L63" i="2"/>
  <c r="N63" i="2" s="1"/>
  <c r="O63" i="2" s="1"/>
  <c r="Q63" i="2" s="1"/>
  <c r="P60" i="2"/>
  <c r="M60" i="2"/>
  <c r="N60" i="2" s="1"/>
  <c r="O60" i="2" s="1"/>
  <c r="Q60" i="2" s="1"/>
  <c r="L60" i="2"/>
  <c r="P57" i="2"/>
  <c r="M57" i="2"/>
  <c r="L57" i="2"/>
  <c r="N57" i="2" s="1"/>
  <c r="O57" i="2" s="1"/>
  <c r="Q57" i="2" s="1"/>
  <c r="P54" i="2"/>
  <c r="M54" i="2"/>
  <c r="N54" i="2" s="1"/>
  <c r="O54" i="2" s="1"/>
  <c r="Q54" i="2" s="1"/>
  <c r="L54" i="2"/>
  <c r="P51" i="2"/>
  <c r="M51" i="2"/>
  <c r="L51" i="2"/>
  <c r="N51" i="2" s="1"/>
  <c r="O51" i="2" s="1"/>
  <c r="Q51" i="2" s="1"/>
  <c r="P48" i="2"/>
  <c r="M48" i="2"/>
  <c r="L48" i="2"/>
  <c r="N48" i="2" s="1"/>
  <c r="O48" i="2" s="1"/>
  <c r="Q48" i="2" s="1"/>
  <c r="L45" i="2"/>
  <c r="Q45" i="2"/>
  <c r="P45" i="2"/>
  <c r="O45" i="2"/>
  <c r="N45" i="2"/>
  <c r="M45" i="2"/>
  <c r="P35" i="2"/>
  <c r="M35" i="2"/>
  <c r="N35" i="2" s="1"/>
  <c r="O35" i="2" s="1"/>
  <c r="Q35" i="2" s="1"/>
  <c r="L35" i="2"/>
  <c r="P32" i="2"/>
  <c r="M32" i="2"/>
  <c r="L32" i="2"/>
  <c r="N32" i="2" s="1"/>
  <c r="O32" i="2" s="1"/>
  <c r="Q32" i="2" s="1"/>
  <c r="P29" i="2"/>
  <c r="M29" i="2"/>
  <c r="L29" i="2"/>
  <c r="N29" i="2" s="1"/>
  <c r="O29" i="2" s="1"/>
  <c r="Q29" i="2" s="1"/>
  <c r="P26" i="2"/>
  <c r="N26" i="2"/>
  <c r="O26" i="2" s="1"/>
  <c r="Q26" i="2" s="1"/>
  <c r="M26" i="2"/>
  <c r="L26" i="2"/>
  <c r="P23" i="2"/>
  <c r="N23" i="2"/>
  <c r="O23" i="2" s="1"/>
  <c r="Q23" i="2" s="1"/>
  <c r="M23" i="2"/>
  <c r="L23" i="2"/>
  <c r="M17" i="2"/>
  <c r="L17" i="2"/>
  <c r="Q14" i="2"/>
  <c r="O14" i="2"/>
  <c r="N14" i="2"/>
  <c r="M14" i="2"/>
  <c r="L14" i="2"/>
  <c r="P20" i="2"/>
  <c r="M20" i="2"/>
  <c r="L20" i="2"/>
  <c r="N20" i="2" s="1"/>
  <c r="O20" i="2" s="1"/>
  <c r="Q20" i="2" s="1"/>
  <c r="P17" i="2"/>
  <c r="N17" i="2"/>
  <c r="O17" i="2" s="1"/>
  <c r="Q17" i="2" s="1"/>
  <c r="P14" i="2"/>
  <c r="Q11" i="2"/>
  <c r="O11" i="2"/>
  <c r="N11" i="2"/>
  <c r="L11" i="2"/>
  <c r="P11" i="2"/>
  <c r="M11" i="2"/>
  <c r="Q8" i="2"/>
  <c r="P8" i="2"/>
  <c r="P5" i="2"/>
  <c r="O8" i="2"/>
  <c r="N8" i="2"/>
  <c r="M8" i="2"/>
  <c r="L8" i="2"/>
  <c r="Q5" i="2"/>
  <c r="O5" i="2"/>
  <c r="N5" i="2"/>
  <c r="M5" i="2"/>
  <c r="L5" i="2"/>
  <c r="H5" i="1"/>
  <c r="J6" i="1"/>
  <c r="J7" i="1"/>
  <c r="I6" i="1"/>
  <c r="H2040" i="1"/>
  <c r="I2040" i="1" s="1"/>
  <c r="J2040" i="1" s="1"/>
  <c r="H2039" i="1"/>
  <c r="I2039" i="1" s="1"/>
  <c r="J2039" i="1" s="1"/>
  <c r="H2038" i="1"/>
  <c r="I2038" i="1" s="1"/>
  <c r="J2038" i="1" s="1"/>
  <c r="H2037" i="1"/>
  <c r="I2037" i="1" s="1"/>
  <c r="J2037" i="1" s="1"/>
  <c r="H2036" i="1"/>
  <c r="I2036" i="1" s="1"/>
  <c r="J2036" i="1" s="1"/>
  <c r="H2035" i="1"/>
  <c r="I2035" i="1" s="1"/>
  <c r="J2035" i="1" s="1"/>
  <c r="H2034" i="1"/>
  <c r="I2034" i="1" s="1"/>
  <c r="J2034" i="1" s="1"/>
  <c r="H2033" i="1"/>
  <c r="I2033" i="1" s="1"/>
  <c r="J2033" i="1" s="1"/>
  <c r="H2032" i="1"/>
  <c r="I2032" i="1" s="1"/>
  <c r="J2032" i="1" s="1"/>
  <c r="H2031" i="1"/>
  <c r="I2031" i="1" s="1"/>
  <c r="J2031" i="1" s="1"/>
  <c r="H2030" i="1"/>
  <c r="I2030" i="1" s="1"/>
  <c r="J2030" i="1" s="1"/>
  <c r="H2029" i="1"/>
  <c r="I2029" i="1" s="1"/>
  <c r="J2029" i="1" s="1"/>
  <c r="H2028" i="1"/>
  <c r="I2028" i="1" s="1"/>
  <c r="J2028" i="1" s="1"/>
  <c r="H2027" i="1"/>
  <c r="I2027" i="1" s="1"/>
  <c r="J2027" i="1" s="1"/>
  <c r="H2026" i="1"/>
  <c r="I2026" i="1" s="1"/>
  <c r="J2026" i="1" s="1"/>
  <c r="H2025" i="1"/>
  <c r="I2025" i="1" s="1"/>
  <c r="J2025" i="1" s="1"/>
  <c r="H2024" i="1"/>
  <c r="I2024" i="1" s="1"/>
  <c r="J2024" i="1" s="1"/>
  <c r="H2023" i="1"/>
  <c r="I2023" i="1" s="1"/>
  <c r="J2023" i="1" s="1"/>
  <c r="H2022" i="1"/>
  <c r="I2022" i="1" s="1"/>
  <c r="J2022" i="1" s="1"/>
  <c r="H2021" i="1"/>
  <c r="I2021" i="1" s="1"/>
  <c r="J2021" i="1" s="1"/>
  <c r="H2020" i="1"/>
  <c r="I2020" i="1" s="1"/>
  <c r="J2020" i="1" s="1"/>
  <c r="H2019" i="1"/>
  <c r="I2019" i="1" s="1"/>
  <c r="J2019" i="1" s="1"/>
  <c r="H2018" i="1"/>
  <c r="I2018" i="1" s="1"/>
  <c r="J2018" i="1" s="1"/>
  <c r="H2017" i="1"/>
  <c r="I2017" i="1" s="1"/>
  <c r="J2017" i="1" s="1"/>
  <c r="H2016" i="1"/>
  <c r="I2016" i="1" s="1"/>
  <c r="J2016" i="1" s="1"/>
  <c r="H2015" i="1"/>
  <c r="I2015" i="1" s="1"/>
  <c r="J2015" i="1" s="1"/>
  <c r="H2014" i="1"/>
  <c r="I2014" i="1" s="1"/>
  <c r="J2014" i="1" s="1"/>
  <c r="H2013" i="1"/>
  <c r="I2013" i="1" s="1"/>
  <c r="J2013" i="1" s="1"/>
  <c r="H2012" i="1"/>
  <c r="I2012" i="1" s="1"/>
  <c r="J2012" i="1" s="1"/>
  <c r="H2011" i="1"/>
  <c r="I2011" i="1" s="1"/>
  <c r="J2011" i="1" s="1"/>
  <c r="H2010" i="1"/>
  <c r="I2010" i="1" s="1"/>
  <c r="J2010" i="1" s="1"/>
  <c r="H2009" i="1"/>
  <c r="I2009" i="1" s="1"/>
  <c r="J2009" i="1" s="1"/>
  <c r="H2008" i="1"/>
  <c r="I2008" i="1" s="1"/>
  <c r="J2008" i="1" s="1"/>
  <c r="H2007" i="1"/>
  <c r="I2007" i="1" s="1"/>
  <c r="J2007" i="1" s="1"/>
  <c r="H2006" i="1"/>
  <c r="I2006" i="1" s="1"/>
  <c r="J2006" i="1" s="1"/>
  <c r="H2005" i="1"/>
  <c r="I2005" i="1" s="1"/>
  <c r="J2005" i="1" s="1"/>
  <c r="H2000" i="1"/>
  <c r="I2000" i="1" s="1"/>
  <c r="J2000" i="1" s="1"/>
  <c r="H1999" i="1"/>
  <c r="I1999" i="1" s="1"/>
  <c r="J1999" i="1" s="1"/>
  <c r="H1998" i="1"/>
  <c r="I1998" i="1" s="1"/>
  <c r="J1998" i="1" s="1"/>
  <c r="H1997" i="1"/>
  <c r="I1997" i="1" s="1"/>
  <c r="J1997" i="1" s="1"/>
  <c r="H1996" i="1"/>
  <c r="I1996" i="1" s="1"/>
  <c r="J1996" i="1" s="1"/>
  <c r="H1995" i="1"/>
  <c r="I1995" i="1" s="1"/>
  <c r="J1995" i="1" s="1"/>
  <c r="H1994" i="1"/>
  <c r="I1994" i="1" s="1"/>
  <c r="J1994" i="1" s="1"/>
  <c r="H1993" i="1"/>
  <c r="I1993" i="1" s="1"/>
  <c r="J1993" i="1" s="1"/>
  <c r="H1992" i="1"/>
  <c r="I1992" i="1" s="1"/>
  <c r="J1992" i="1" s="1"/>
  <c r="H1991" i="1"/>
  <c r="I1991" i="1" s="1"/>
  <c r="J1991" i="1" s="1"/>
  <c r="H1990" i="1"/>
  <c r="I1990" i="1" s="1"/>
  <c r="J1990" i="1" s="1"/>
  <c r="H1989" i="1"/>
  <c r="I1989" i="1" s="1"/>
  <c r="J1989" i="1" s="1"/>
  <c r="H1988" i="1"/>
  <c r="I1988" i="1" s="1"/>
  <c r="J1988" i="1" s="1"/>
  <c r="H1987" i="1"/>
  <c r="I1987" i="1" s="1"/>
  <c r="J1987" i="1" s="1"/>
  <c r="H1986" i="1"/>
  <c r="I1986" i="1" s="1"/>
  <c r="J1986" i="1" s="1"/>
  <c r="H1985" i="1"/>
  <c r="I1985" i="1" s="1"/>
  <c r="J1985" i="1" s="1"/>
  <c r="H1984" i="1"/>
  <c r="I1984" i="1" s="1"/>
  <c r="J1984" i="1" s="1"/>
  <c r="H1983" i="1"/>
  <c r="I1983" i="1" s="1"/>
  <c r="J1983" i="1" s="1"/>
  <c r="H1982" i="1"/>
  <c r="I1982" i="1" s="1"/>
  <c r="J1982" i="1" s="1"/>
  <c r="H1981" i="1"/>
  <c r="I1981" i="1" s="1"/>
  <c r="J1981" i="1" s="1"/>
  <c r="H1980" i="1"/>
  <c r="I1980" i="1" s="1"/>
  <c r="J1980" i="1" s="1"/>
  <c r="H1979" i="1"/>
  <c r="I1979" i="1" s="1"/>
  <c r="J1979" i="1" s="1"/>
  <c r="H1978" i="1"/>
  <c r="I1978" i="1" s="1"/>
  <c r="J1978" i="1" s="1"/>
  <c r="H1977" i="1"/>
  <c r="I1977" i="1" s="1"/>
  <c r="J1977" i="1" s="1"/>
  <c r="H1976" i="1"/>
  <c r="I1976" i="1" s="1"/>
  <c r="J1976" i="1" s="1"/>
  <c r="H1975" i="1"/>
  <c r="I1975" i="1" s="1"/>
  <c r="J1975" i="1" s="1"/>
  <c r="H1974" i="1"/>
  <c r="I1974" i="1" s="1"/>
  <c r="J1974" i="1" s="1"/>
  <c r="H1973" i="1"/>
  <c r="I1973" i="1" s="1"/>
  <c r="J1973" i="1" s="1"/>
  <c r="H1972" i="1"/>
  <c r="I1972" i="1" s="1"/>
  <c r="J1972" i="1" s="1"/>
  <c r="H1971" i="1"/>
  <c r="I1971" i="1" s="1"/>
  <c r="J1971" i="1" s="1"/>
  <c r="H1970" i="1"/>
  <c r="I1970" i="1" s="1"/>
  <c r="J1970" i="1" s="1"/>
  <c r="H1969" i="1"/>
  <c r="I1969" i="1" s="1"/>
  <c r="J1969" i="1" s="1"/>
  <c r="I1968" i="1"/>
  <c r="J1968" i="1" s="1"/>
  <c r="H1968" i="1"/>
  <c r="H1967" i="1"/>
  <c r="I1967" i="1" s="1"/>
  <c r="J1967" i="1" s="1"/>
  <c r="H1966" i="1"/>
  <c r="I1966" i="1" s="1"/>
  <c r="J1966" i="1" s="1"/>
  <c r="H1965" i="1"/>
  <c r="I1965" i="1" s="1"/>
  <c r="J1965" i="1" s="1"/>
  <c r="H1960" i="1"/>
  <c r="I1960" i="1" s="1"/>
  <c r="J1960" i="1" s="1"/>
  <c r="H1959" i="1"/>
  <c r="I1959" i="1" s="1"/>
  <c r="J1959" i="1" s="1"/>
  <c r="H1958" i="1"/>
  <c r="I1958" i="1" s="1"/>
  <c r="J1958" i="1" s="1"/>
  <c r="H1957" i="1"/>
  <c r="I1957" i="1" s="1"/>
  <c r="J1957" i="1" s="1"/>
  <c r="H1956" i="1"/>
  <c r="I1956" i="1" s="1"/>
  <c r="J1956" i="1" s="1"/>
  <c r="H1955" i="1"/>
  <c r="I1955" i="1" s="1"/>
  <c r="J1955" i="1" s="1"/>
  <c r="H1954" i="1"/>
  <c r="I1954" i="1" s="1"/>
  <c r="J1954" i="1" s="1"/>
  <c r="H1953" i="1"/>
  <c r="I1953" i="1" s="1"/>
  <c r="J1953" i="1" s="1"/>
  <c r="H1952" i="1"/>
  <c r="I1952" i="1" s="1"/>
  <c r="J1952" i="1" s="1"/>
  <c r="H1951" i="1"/>
  <c r="I1951" i="1" s="1"/>
  <c r="J1951" i="1" s="1"/>
  <c r="H1950" i="1"/>
  <c r="I1950" i="1" s="1"/>
  <c r="J1950" i="1" s="1"/>
  <c r="H1949" i="1"/>
  <c r="I1949" i="1" s="1"/>
  <c r="J1949" i="1" s="1"/>
  <c r="H1948" i="1"/>
  <c r="I1948" i="1" s="1"/>
  <c r="J1948" i="1" s="1"/>
  <c r="H1947" i="1"/>
  <c r="I1947" i="1" s="1"/>
  <c r="J1947" i="1" s="1"/>
  <c r="H1946" i="1"/>
  <c r="I1946" i="1" s="1"/>
  <c r="J1946" i="1" s="1"/>
  <c r="H1945" i="1"/>
  <c r="I1945" i="1" s="1"/>
  <c r="J1945" i="1" s="1"/>
  <c r="H1944" i="1"/>
  <c r="I1944" i="1" s="1"/>
  <c r="J1944" i="1" s="1"/>
  <c r="H1943" i="1"/>
  <c r="I1943" i="1" s="1"/>
  <c r="J1943" i="1" s="1"/>
  <c r="H1942" i="1"/>
  <c r="I1942" i="1" s="1"/>
  <c r="J1942" i="1" s="1"/>
  <c r="H1941" i="1"/>
  <c r="I1941" i="1" s="1"/>
  <c r="J1941" i="1" s="1"/>
  <c r="H1940" i="1"/>
  <c r="I1940" i="1" s="1"/>
  <c r="J1940" i="1" s="1"/>
  <c r="H1939" i="1"/>
  <c r="I1939" i="1" s="1"/>
  <c r="J1939" i="1" s="1"/>
  <c r="H1938" i="1"/>
  <c r="I1938" i="1" s="1"/>
  <c r="J1938" i="1" s="1"/>
  <c r="H1937" i="1"/>
  <c r="I1937" i="1" s="1"/>
  <c r="J1937" i="1" s="1"/>
  <c r="I1936" i="1"/>
  <c r="J1936" i="1" s="1"/>
  <c r="H1936" i="1"/>
  <c r="H1935" i="1"/>
  <c r="I1935" i="1" s="1"/>
  <c r="J1935" i="1" s="1"/>
  <c r="H1934" i="1"/>
  <c r="I1934" i="1" s="1"/>
  <c r="J1934" i="1" s="1"/>
  <c r="H1933" i="1"/>
  <c r="I1933" i="1" s="1"/>
  <c r="J1933" i="1" s="1"/>
  <c r="H1932" i="1"/>
  <c r="I1932" i="1" s="1"/>
  <c r="J1932" i="1" s="1"/>
  <c r="H1931" i="1"/>
  <c r="I1931" i="1" s="1"/>
  <c r="J1931" i="1" s="1"/>
  <c r="H1930" i="1"/>
  <c r="I1930" i="1" s="1"/>
  <c r="J1930" i="1" s="1"/>
  <c r="H1929" i="1"/>
  <c r="I1929" i="1" s="1"/>
  <c r="J1929" i="1" s="1"/>
  <c r="H1928" i="1"/>
  <c r="I1928" i="1" s="1"/>
  <c r="J1928" i="1" s="1"/>
  <c r="H1927" i="1"/>
  <c r="I1927" i="1" s="1"/>
  <c r="J1927" i="1" s="1"/>
  <c r="H1926" i="1"/>
  <c r="I1926" i="1" s="1"/>
  <c r="J1926" i="1" s="1"/>
  <c r="H1925" i="1"/>
  <c r="I1925" i="1" s="1"/>
  <c r="J1925" i="1" s="1"/>
  <c r="H1920" i="1"/>
  <c r="I1920" i="1" s="1"/>
  <c r="J1920" i="1" s="1"/>
  <c r="H1919" i="1"/>
  <c r="I1919" i="1" s="1"/>
  <c r="J1919" i="1" s="1"/>
  <c r="H1918" i="1"/>
  <c r="I1918" i="1" s="1"/>
  <c r="J1918" i="1" s="1"/>
  <c r="H1917" i="1"/>
  <c r="I1917" i="1" s="1"/>
  <c r="J1917" i="1" s="1"/>
  <c r="H1916" i="1"/>
  <c r="I1916" i="1" s="1"/>
  <c r="J1916" i="1" s="1"/>
  <c r="H1915" i="1"/>
  <c r="I1915" i="1" s="1"/>
  <c r="J1915" i="1" s="1"/>
  <c r="H1914" i="1"/>
  <c r="I1914" i="1" s="1"/>
  <c r="J1914" i="1" s="1"/>
  <c r="H1913" i="1"/>
  <c r="I1913" i="1" s="1"/>
  <c r="J1913" i="1" s="1"/>
  <c r="H1912" i="1"/>
  <c r="I1912" i="1" s="1"/>
  <c r="J1912" i="1" s="1"/>
  <c r="H1911" i="1"/>
  <c r="I1911" i="1" s="1"/>
  <c r="J1911" i="1" s="1"/>
  <c r="H1910" i="1"/>
  <c r="I1910" i="1" s="1"/>
  <c r="J1910" i="1" s="1"/>
  <c r="H1909" i="1"/>
  <c r="I1909" i="1" s="1"/>
  <c r="J1909" i="1" s="1"/>
  <c r="H1908" i="1"/>
  <c r="I1908" i="1" s="1"/>
  <c r="J1908" i="1" s="1"/>
  <c r="H1907" i="1"/>
  <c r="I1907" i="1" s="1"/>
  <c r="J1907" i="1" s="1"/>
  <c r="H1906" i="1"/>
  <c r="I1906" i="1" s="1"/>
  <c r="J1906" i="1" s="1"/>
  <c r="H1905" i="1"/>
  <c r="I1905" i="1" s="1"/>
  <c r="J1905" i="1" s="1"/>
  <c r="H1904" i="1"/>
  <c r="I1904" i="1" s="1"/>
  <c r="J1904" i="1" s="1"/>
  <c r="H1903" i="1"/>
  <c r="I1903" i="1" s="1"/>
  <c r="J1903" i="1" s="1"/>
  <c r="H1902" i="1"/>
  <c r="I1902" i="1" s="1"/>
  <c r="J1902" i="1" s="1"/>
  <c r="H1901" i="1"/>
  <c r="I1901" i="1" s="1"/>
  <c r="J1901" i="1" s="1"/>
  <c r="H1900" i="1"/>
  <c r="I1900" i="1" s="1"/>
  <c r="J1900" i="1" s="1"/>
  <c r="H1899" i="1"/>
  <c r="I1899" i="1" s="1"/>
  <c r="J1899" i="1" s="1"/>
  <c r="H1898" i="1"/>
  <c r="I1898" i="1" s="1"/>
  <c r="J1898" i="1" s="1"/>
  <c r="H1897" i="1"/>
  <c r="I1897" i="1" s="1"/>
  <c r="J1897" i="1" s="1"/>
  <c r="H1896" i="1"/>
  <c r="I1896" i="1" s="1"/>
  <c r="J1896" i="1" s="1"/>
  <c r="H1895" i="1"/>
  <c r="I1895" i="1" s="1"/>
  <c r="J1895" i="1" s="1"/>
  <c r="H1894" i="1"/>
  <c r="I1894" i="1" s="1"/>
  <c r="J1894" i="1" s="1"/>
  <c r="H1893" i="1"/>
  <c r="I1893" i="1" s="1"/>
  <c r="J1893" i="1" s="1"/>
  <c r="H1892" i="1"/>
  <c r="I1892" i="1" s="1"/>
  <c r="J1892" i="1" s="1"/>
  <c r="H1891" i="1"/>
  <c r="I1891" i="1" s="1"/>
  <c r="J1891" i="1" s="1"/>
  <c r="H1890" i="1"/>
  <c r="I1890" i="1" s="1"/>
  <c r="J1890" i="1" s="1"/>
  <c r="H1889" i="1"/>
  <c r="I1889" i="1" s="1"/>
  <c r="J1889" i="1" s="1"/>
  <c r="H1888" i="1"/>
  <c r="I1888" i="1" s="1"/>
  <c r="J1888" i="1" s="1"/>
  <c r="H1887" i="1"/>
  <c r="I1887" i="1" s="1"/>
  <c r="J1887" i="1" s="1"/>
  <c r="H1886" i="1"/>
  <c r="I1886" i="1" s="1"/>
  <c r="J1886" i="1" s="1"/>
  <c r="H1885" i="1"/>
  <c r="I1885" i="1" s="1"/>
  <c r="J1885" i="1" s="1"/>
  <c r="H1880" i="1"/>
  <c r="I1880" i="1" s="1"/>
  <c r="J1880" i="1" s="1"/>
  <c r="H1879" i="1"/>
  <c r="I1879" i="1" s="1"/>
  <c r="J1879" i="1" s="1"/>
  <c r="H1878" i="1"/>
  <c r="I1878" i="1" s="1"/>
  <c r="J1878" i="1" s="1"/>
  <c r="H1877" i="1"/>
  <c r="I1877" i="1" s="1"/>
  <c r="J1877" i="1" s="1"/>
  <c r="H1876" i="1"/>
  <c r="I1876" i="1" s="1"/>
  <c r="J1876" i="1" s="1"/>
  <c r="H1875" i="1"/>
  <c r="I1875" i="1" s="1"/>
  <c r="J1875" i="1" s="1"/>
  <c r="H1874" i="1"/>
  <c r="I1874" i="1" s="1"/>
  <c r="J1874" i="1" s="1"/>
  <c r="H1873" i="1"/>
  <c r="I1873" i="1" s="1"/>
  <c r="J1873" i="1" s="1"/>
  <c r="H1872" i="1"/>
  <c r="I1872" i="1" s="1"/>
  <c r="J1872" i="1" s="1"/>
  <c r="H1871" i="1"/>
  <c r="I1871" i="1" s="1"/>
  <c r="J1871" i="1" s="1"/>
  <c r="H1870" i="1"/>
  <c r="I1870" i="1" s="1"/>
  <c r="J1870" i="1" s="1"/>
  <c r="H1869" i="1"/>
  <c r="I1869" i="1" s="1"/>
  <c r="J1869" i="1" s="1"/>
  <c r="H1868" i="1"/>
  <c r="I1868" i="1" s="1"/>
  <c r="J1868" i="1" s="1"/>
  <c r="H1867" i="1"/>
  <c r="I1867" i="1" s="1"/>
  <c r="J1867" i="1" s="1"/>
  <c r="H1866" i="1"/>
  <c r="I1866" i="1" s="1"/>
  <c r="J1866" i="1" s="1"/>
  <c r="H1865" i="1"/>
  <c r="I1865" i="1" s="1"/>
  <c r="J1865" i="1" s="1"/>
  <c r="H1864" i="1"/>
  <c r="I1864" i="1" s="1"/>
  <c r="J1864" i="1" s="1"/>
  <c r="H1863" i="1"/>
  <c r="I1863" i="1" s="1"/>
  <c r="J1863" i="1" s="1"/>
  <c r="H1862" i="1"/>
  <c r="I1862" i="1" s="1"/>
  <c r="J1862" i="1" s="1"/>
  <c r="H1861" i="1"/>
  <c r="I1861" i="1" s="1"/>
  <c r="J1861" i="1" s="1"/>
  <c r="H1860" i="1"/>
  <c r="I1860" i="1" s="1"/>
  <c r="J1860" i="1" s="1"/>
  <c r="H1859" i="1"/>
  <c r="I1859" i="1" s="1"/>
  <c r="J1859" i="1" s="1"/>
  <c r="H1858" i="1"/>
  <c r="I1858" i="1" s="1"/>
  <c r="J1858" i="1" s="1"/>
  <c r="H1857" i="1"/>
  <c r="I1857" i="1" s="1"/>
  <c r="J1857" i="1" s="1"/>
  <c r="H1856" i="1"/>
  <c r="I1856" i="1" s="1"/>
  <c r="J1856" i="1" s="1"/>
  <c r="H1855" i="1"/>
  <c r="I1855" i="1" s="1"/>
  <c r="J1855" i="1" s="1"/>
  <c r="H1854" i="1"/>
  <c r="I1854" i="1" s="1"/>
  <c r="J1854" i="1" s="1"/>
  <c r="H1853" i="1"/>
  <c r="I1853" i="1" s="1"/>
  <c r="J1853" i="1" s="1"/>
  <c r="H1852" i="1"/>
  <c r="I1852" i="1" s="1"/>
  <c r="J1852" i="1" s="1"/>
  <c r="H1851" i="1"/>
  <c r="I1851" i="1" s="1"/>
  <c r="J1851" i="1" s="1"/>
  <c r="H1850" i="1"/>
  <c r="I1850" i="1" s="1"/>
  <c r="J1850" i="1" s="1"/>
  <c r="H1849" i="1"/>
  <c r="I1849" i="1" s="1"/>
  <c r="J1849" i="1" s="1"/>
  <c r="H1848" i="1"/>
  <c r="I1848" i="1" s="1"/>
  <c r="J1848" i="1" s="1"/>
  <c r="H1847" i="1"/>
  <c r="I1847" i="1" s="1"/>
  <c r="J1847" i="1" s="1"/>
  <c r="H1846" i="1"/>
  <c r="I1846" i="1" s="1"/>
  <c r="J1846" i="1" s="1"/>
  <c r="H1845" i="1"/>
  <c r="I1845" i="1" s="1"/>
  <c r="J1845" i="1" s="1"/>
  <c r="H1840" i="1"/>
  <c r="I1840" i="1" s="1"/>
  <c r="J1840" i="1" s="1"/>
  <c r="H1839" i="1"/>
  <c r="I1839" i="1" s="1"/>
  <c r="J1839" i="1" s="1"/>
  <c r="H1838" i="1"/>
  <c r="I1838" i="1" s="1"/>
  <c r="J1838" i="1" s="1"/>
  <c r="H1837" i="1"/>
  <c r="I1837" i="1" s="1"/>
  <c r="J1837" i="1" s="1"/>
  <c r="H1836" i="1"/>
  <c r="I1836" i="1" s="1"/>
  <c r="J1836" i="1" s="1"/>
  <c r="H1835" i="1"/>
  <c r="I1835" i="1" s="1"/>
  <c r="J1835" i="1" s="1"/>
  <c r="H1834" i="1"/>
  <c r="I1834" i="1" s="1"/>
  <c r="J1834" i="1" s="1"/>
  <c r="H1833" i="1"/>
  <c r="I1833" i="1" s="1"/>
  <c r="J1833" i="1" s="1"/>
  <c r="H1832" i="1"/>
  <c r="I1832" i="1" s="1"/>
  <c r="J1832" i="1" s="1"/>
  <c r="H1831" i="1"/>
  <c r="I1831" i="1" s="1"/>
  <c r="J1831" i="1" s="1"/>
  <c r="H1830" i="1"/>
  <c r="I1830" i="1" s="1"/>
  <c r="J1830" i="1" s="1"/>
  <c r="H1829" i="1"/>
  <c r="I1829" i="1" s="1"/>
  <c r="J1829" i="1" s="1"/>
  <c r="H1828" i="1"/>
  <c r="I1828" i="1" s="1"/>
  <c r="J1828" i="1" s="1"/>
  <c r="H1827" i="1"/>
  <c r="I1827" i="1" s="1"/>
  <c r="J1827" i="1" s="1"/>
  <c r="H1826" i="1"/>
  <c r="I1826" i="1" s="1"/>
  <c r="J1826" i="1" s="1"/>
  <c r="H1825" i="1"/>
  <c r="I1825" i="1" s="1"/>
  <c r="J1825" i="1" s="1"/>
  <c r="H1824" i="1"/>
  <c r="I1824" i="1" s="1"/>
  <c r="J1824" i="1" s="1"/>
  <c r="H1823" i="1"/>
  <c r="I1823" i="1" s="1"/>
  <c r="J1823" i="1" s="1"/>
  <c r="H1822" i="1"/>
  <c r="I1822" i="1" s="1"/>
  <c r="J1822" i="1" s="1"/>
  <c r="H1821" i="1"/>
  <c r="I1821" i="1" s="1"/>
  <c r="J1821" i="1" s="1"/>
  <c r="H1820" i="1"/>
  <c r="I1820" i="1" s="1"/>
  <c r="J1820" i="1" s="1"/>
  <c r="H1819" i="1"/>
  <c r="I1819" i="1" s="1"/>
  <c r="J1819" i="1" s="1"/>
  <c r="H1818" i="1"/>
  <c r="I1818" i="1" s="1"/>
  <c r="J1818" i="1" s="1"/>
  <c r="H1817" i="1"/>
  <c r="I1817" i="1" s="1"/>
  <c r="J1817" i="1" s="1"/>
  <c r="H1816" i="1"/>
  <c r="I1816" i="1" s="1"/>
  <c r="J1816" i="1" s="1"/>
  <c r="H1815" i="1"/>
  <c r="I1815" i="1" s="1"/>
  <c r="J1815" i="1" s="1"/>
  <c r="H1814" i="1"/>
  <c r="I1814" i="1" s="1"/>
  <c r="J1814" i="1" s="1"/>
  <c r="H1813" i="1"/>
  <c r="I1813" i="1" s="1"/>
  <c r="J1813" i="1" s="1"/>
  <c r="H1812" i="1"/>
  <c r="I1812" i="1" s="1"/>
  <c r="J1812" i="1" s="1"/>
  <c r="H1811" i="1"/>
  <c r="I1811" i="1" s="1"/>
  <c r="J1811" i="1" s="1"/>
  <c r="H1810" i="1"/>
  <c r="I1810" i="1" s="1"/>
  <c r="J1810" i="1" s="1"/>
  <c r="H1809" i="1"/>
  <c r="I1809" i="1" s="1"/>
  <c r="J1809" i="1" s="1"/>
  <c r="H1808" i="1"/>
  <c r="I1808" i="1" s="1"/>
  <c r="J1808" i="1" s="1"/>
  <c r="H1807" i="1"/>
  <c r="I1807" i="1" s="1"/>
  <c r="J1807" i="1" s="1"/>
  <c r="H1806" i="1"/>
  <c r="I1806" i="1" s="1"/>
  <c r="J1806" i="1" s="1"/>
  <c r="H1805" i="1"/>
  <c r="I1805" i="1" s="1"/>
  <c r="J1805" i="1" s="1"/>
  <c r="H1800" i="1"/>
  <c r="I1800" i="1" s="1"/>
  <c r="J1800" i="1" s="1"/>
  <c r="H1799" i="1"/>
  <c r="I1799" i="1" s="1"/>
  <c r="J1799" i="1" s="1"/>
  <c r="H1798" i="1"/>
  <c r="I1798" i="1" s="1"/>
  <c r="J1798" i="1" s="1"/>
  <c r="H1797" i="1"/>
  <c r="I1797" i="1" s="1"/>
  <c r="J1797" i="1" s="1"/>
  <c r="H1796" i="1"/>
  <c r="I1796" i="1" s="1"/>
  <c r="J1796" i="1" s="1"/>
  <c r="H1795" i="1"/>
  <c r="I1795" i="1" s="1"/>
  <c r="J1795" i="1" s="1"/>
  <c r="H1794" i="1"/>
  <c r="I1794" i="1" s="1"/>
  <c r="J1794" i="1" s="1"/>
  <c r="H1793" i="1"/>
  <c r="I1793" i="1" s="1"/>
  <c r="J1793" i="1" s="1"/>
  <c r="H1792" i="1"/>
  <c r="I1792" i="1" s="1"/>
  <c r="J1792" i="1" s="1"/>
  <c r="H1791" i="1"/>
  <c r="I1791" i="1" s="1"/>
  <c r="J1791" i="1" s="1"/>
  <c r="H1790" i="1"/>
  <c r="I1790" i="1" s="1"/>
  <c r="J1790" i="1" s="1"/>
  <c r="H1789" i="1"/>
  <c r="I1789" i="1" s="1"/>
  <c r="J1789" i="1" s="1"/>
  <c r="H1788" i="1"/>
  <c r="I1788" i="1" s="1"/>
  <c r="J1788" i="1" s="1"/>
  <c r="H1787" i="1"/>
  <c r="I1787" i="1" s="1"/>
  <c r="J1787" i="1" s="1"/>
  <c r="H1786" i="1"/>
  <c r="I1786" i="1" s="1"/>
  <c r="J1786" i="1" s="1"/>
  <c r="H1785" i="1"/>
  <c r="I1785" i="1" s="1"/>
  <c r="J1785" i="1" s="1"/>
  <c r="H1784" i="1"/>
  <c r="I1784" i="1" s="1"/>
  <c r="J1784" i="1" s="1"/>
  <c r="H1783" i="1"/>
  <c r="I1783" i="1" s="1"/>
  <c r="J1783" i="1" s="1"/>
  <c r="H1782" i="1"/>
  <c r="I1782" i="1" s="1"/>
  <c r="J1782" i="1" s="1"/>
  <c r="H1781" i="1"/>
  <c r="I1781" i="1" s="1"/>
  <c r="J1781" i="1" s="1"/>
  <c r="H1780" i="1"/>
  <c r="I1780" i="1" s="1"/>
  <c r="J1780" i="1" s="1"/>
  <c r="H1779" i="1"/>
  <c r="I1779" i="1" s="1"/>
  <c r="J1779" i="1" s="1"/>
  <c r="H1778" i="1"/>
  <c r="I1778" i="1" s="1"/>
  <c r="J1778" i="1" s="1"/>
  <c r="H1777" i="1"/>
  <c r="I1777" i="1" s="1"/>
  <c r="J1777" i="1" s="1"/>
  <c r="H1776" i="1"/>
  <c r="I1776" i="1" s="1"/>
  <c r="J1776" i="1" s="1"/>
  <c r="H1775" i="1"/>
  <c r="I1775" i="1" s="1"/>
  <c r="J1775" i="1" s="1"/>
  <c r="H1774" i="1"/>
  <c r="I1774" i="1" s="1"/>
  <c r="J1774" i="1" s="1"/>
  <c r="H1773" i="1"/>
  <c r="I1773" i="1" s="1"/>
  <c r="J1773" i="1" s="1"/>
  <c r="H1772" i="1"/>
  <c r="I1772" i="1" s="1"/>
  <c r="J1772" i="1" s="1"/>
  <c r="H1771" i="1"/>
  <c r="I1771" i="1" s="1"/>
  <c r="J1771" i="1" s="1"/>
  <c r="H1770" i="1"/>
  <c r="I1770" i="1" s="1"/>
  <c r="J1770" i="1" s="1"/>
  <c r="H1769" i="1"/>
  <c r="I1769" i="1" s="1"/>
  <c r="J1769" i="1" s="1"/>
  <c r="H1768" i="1"/>
  <c r="I1768" i="1" s="1"/>
  <c r="J1768" i="1" s="1"/>
  <c r="H1767" i="1"/>
  <c r="I1767" i="1" s="1"/>
  <c r="J1767" i="1" s="1"/>
  <c r="H1766" i="1"/>
  <c r="I1766" i="1" s="1"/>
  <c r="J1766" i="1" s="1"/>
  <c r="H1765" i="1"/>
  <c r="I1765" i="1" s="1"/>
  <c r="J1765" i="1" s="1"/>
  <c r="H1760" i="1"/>
  <c r="I1760" i="1" s="1"/>
  <c r="J1760" i="1" s="1"/>
  <c r="H1759" i="1"/>
  <c r="I1759" i="1" s="1"/>
  <c r="J1759" i="1" s="1"/>
  <c r="H1758" i="1"/>
  <c r="I1758" i="1" s="1"/>
  <c r="J1758" i="1" s="1"/>
  <c r="H1757" i="1"/>
  <c r="I1757" i="1" s="1"/>
  <c r="J1757" i="1" s="1"/>
  <c r="H1756" i="1"/>
  <c r="I1756" i="1" s="1"/>
  <c r="J1756" i="1" s="1"/>
  <c r="H1755" i="1"/>
  <c r="I1755" i="1" s="1"/>
  <c r="J1755" i="1" s="1"/>
  <c r="H1754" i="1"/>
  <c r="I1754" i="1" s="1"/>
  <c r="J1754" i="1" s="1"/>
  <c r="H1753" i="1"/>
  <c r="I1753" i="1" s="1"/>
  <c r="J1753" i="1" s="1"/>
  <c r="H1752" i="1"/>
  <c r="I1752" i="1" s="1"/>
  <c r="J1752" i="1" s="1"/>
  <c r="H1751" i="1"/>
  <c r="I1751" i="1" s="1"/>
  <c r="J1751" i="1" s="1"/>
  <c r="H1750" i="1"/>
  <c r="I1750" i="1" s="1"/>
  <c r="J1750" i="1" s="1"/>
  <c r="H1749" i="1"/>
  <c r="I1749" i="1" s="1"/>
  <c r="J1749" i="1" s="1"/>
  <c r="H1748" i="1"/>
  <c r="I1748" i="1" s="1"/>
  <c r="J1748" i="1" s="1"/>
  <c r="H1747" i="1"/>
  <c r="I1747" i="1" s="1"/>
  <c r="J1747" i="1" s="1"/>
  <c r="H1746" i="1"/>
  <c r="I1746" i="1" s="1"/>
  <c r="J1746" i="1" s="1"/>
  <c r="H1745" i="1"/>
  <c r="I1745" i="1" s="1"/>
  <c r="J1745" i="1" s="1"/>
  <c r="H1744" i="1"/>
  <c r="I1744" i="1" s="1"/>
  <c r="J1744" i="1" s="1"/>
  <c r="H1743" i="1"/>
  <c r="I1743" i="1" s="1"/>
  <c r="J1743" i="1" s="1"/>
  <c r="H1742" i="1"/>
  <c r="I1742" i="1" s="1"/>
  <c r="J1742" i="1" s="1"/>
  <c r="H1741" i="1"/>
  <c r="I1741" i="1" s="1"/>
  <c r="J1741" i="1" s="1"/>
  <c r="H1740" i="1"/>
  <c r="I1740" i="1" s="1"/>
  <c r="J1740" i="1" s="1"/>
  <c r="H1739" i="1"/>
  <c r="I1739" i="1" s="1"/>
  <c r="J1739" i="1" s="1"/>
  <c r="H1738" i="1"/>
  <c r="I1738" i="1" s="1"/>
  <c r="J1738" i="1" s="1"/>
  <c r="H1737" i="1"/>
  <c r="I1737" i="1" s="1"/>
  <c r="J1737" i="1" s="1"/>
  <c r="H1736" i="1"/>
  <c r="I1736" i="1" s="1"/>
  <c r="J1736" i="1" s="1"/>
  <c r="H1735" i="1"/>
  <c r="I1735" i="1" s="1"/>
  <c r="J1735" i="1" s="1"/>
  <c r="H1734" i="1"/>
  <c r="I1734" i="1" s="1"/>
  <c r="J1734" i="1" s="1"/>
  <c r="H1733" i="1"/>
  <c r="I1733" i="1" s="1"/>
  <c r="J1733" i="1" s="1"/>
  <c r="H1732" i="1"/>
  <c r="I1732" i="1" s="1"/>
  <c r="J1732" i="1" s="1"/>
  <c r="H1731" i="1"/>
  <c r="I1731" i="1" s="1"/>
  <c r="J1731" i="1" s="1"/>
  <c r="H1730" i="1"/>
  <c r="I1730" i="1" s="1"/>
  <c r="J1730" i="1" s="1"/>
  <c r="H1729" i="1"/>
  <c r="I1729" i="1" s="1"/>
  <c r="J1729" i="1" s="1"/>
  <c r="H1728" i="1"/>
  <c r="I1728" i="1" s="1"/>
  <c r="J1728" i="1" s="1"/>
  <c r="H1727" i="1"/>
  <c r="I1727" i="1" s="1"/>
  <c r="J1727" i="1" s="1"/>
  <c r="H1726" i="1"/>
  <c r="I1726" i="1" s="1"/>
  <c r="J1726" i="1" s="1"/>
  <c r="H1725" i="1"/>
  <c r="I1725" i="1" s="1"/>
  <c r="J1725" i="1" s="1"/>
  <c r="H1720" i="1"/>
  <c r="I1720" i="1" s="1"/>
  <c r="J1720" i="1" s="1"/>
  <c r="H1719" i="1"/>
  <c r="I1719" i="1" s="1"/>
  <c r="J1719" i="1" s="1"/>
  <c r="H1718" i="1"/>
  <c r="I1718" i="1" s="1"/>
  <c r="J1718" i="1" s="1"/>
  <c r="H1717" i="1"/>
  <c r="I1717" i="1" s="1"/>
  <c r="J1717" i="1" s="1"/>
  <c r="H1716" i="1"/>
  <c r="I1716" i="1" s="1"/>
  <c r="J1716" i="1" s="1"/>
  <c r="H1715" i="1"/>
  <c r="I1715" i="1" s="1"/>
  <c r="J1715" i="1" s="1"/>
  <c r="H1714" i="1"/>
  <c r="I1714" i="1" s="1"/>
  <c r="J1714" i="1" s="1"/>
  <c r="H1713" i="1"/>
  <c r="I1713" i="1" s="1"/>
  <c r="J1713" i="1" s="1"/>
  <c r="H1712" i="1"/>
  <c r="I1712" i="1" s="1"/>
  <c r="J1712" i="1" s="1"/>
  <c r="H1711" i="1"/>
  <c r="I1711" i="1" s="1"/>
  <c r="J1711" i="1" s="1"/>
  <c r="H1710" i="1"/>
  <c r="I1710" i="1" s="1"/>
  <c r="J1710" i="1" s="1"/>
  <c r="H1709" i="1"/>
  <c r="I1709" i="1" s="1"/>
  <c r="J1709" i="1" s="1"/>
  <c r="H1708" i="1"/>
  <c r="I1708" i="1" s="1"/>
  <c r="J1708" i="1" s="1"/>
  <c r="H1707" i="1"/>
  <c r="I1707" i="1" s="1"/>
  <c r="J1707" i="1" s="1"/>
  <c r="H1706" i="1"/>
  <c r="I1706" i="1" s="1"/>
  <c r="J1706" i="1" s="1"/>
  <c r="H1705" i="1"/>
  <c r="I1705" i="1" s="1"/>
  <c r="J1705" i="1" s="1"/>
  <c r="H1704" i="1"/>
  <c r="I1704" i="1" s="1"/>
  <c r="J1704" i="1" s="1"/>
  <c r="H1703" i="1"/>
  <c r="I1703" i="1" s="1"/>
  <c r="J1703" i="1" s="1"/>
  <c r="H1702" i="1"/>
  <c r="I1702" i="1" s="1"/>
  <c r="J1702" i="1" s="1"/>
  <c r="H1701" i="1"/>
  <c r="I1701" i="1" s="1"/>
  <c r="J1701" i="1" s="1"/>
  <c r="H1700" i="1"/>
  <c r="I1700" i="1" s="1"/>
  <c r="J1700" i="1" s="1"/>
  <c r="H1699" i="1"/>
  <c r="I1699" i="1" s="1"/>
  <c r="J1699" i="1" s="1"/>
  <c r="H1698" i="1"/>
  <c r="I1698" i="1" s="1"/>
  <c r="J1698" i="1" s="1"/>
  <c r="H1697" i="1"/>
  <c r="I1697" i="1" s="1"/>
  <c r="J1697" i="1" s="1"/>
  <c r="H1696" i="1"/>
  <c r="I1696" i="1" s="1"/>
  <c r="J1696" i="1" s="1"/>
  <c r="H1695" i="1"/>
  <c r="I1695" i="1" s="1"/>
  <c r="J1695" i="1" s="1"/>
  <c r="H1694" i="1"/>
  <c r="I1694" i="1" s="1"/>
  <c r="J1694" i="1" s="1"/>
  <c r="H1693" i="1"/>
  <c r="I1693" i="1" s="1"/>
  <c r="J1693" i="1" s="1"/>
  <c r="H1692" i="1"/>
  <c r="I1692" i="1" s="1"/>
  <c r="J1692" i="1" s="1"/>
  <c r="H1691" i="1"/>
  <c r="I1691" i="1" s="1"/>
  <c r="J1691" i="1" s="1"/>
  <c r="H1690" i="1"/>
  <c r="I1690" i="1" s="1"/>
  <c r="J1690" i="1" s="1"/>
  <c r="H1689" i="1"/>
  <c r="I1689" i="1" s="1"/>
  <c r="J1689" i="1" s="1"/>
  <c r="H1688" i="1"/>
  <c r="I1688" i="1" s="1"/>
  <c r="J1688" i="1" s="1"/>
  <c r="H1687" i="1"/>
  <c r="I1687" i="1" s="1"/>
  <c r="J1687" i="1" s="1"/>
  <c r="H1686" i="1"/>
  <c r="I1686" i="1" s="1"/>
  <c r="J1686" i="1" s="1"/>
  <c r="H1685" i="1"/>
  <c r="I1685" i="1" s="1"/>
  <c r="J1685" i="1" s="1"/>
  <c r="H1680" i="1"/>
  <c r="I1680" i="1" s="1"/>
  <c r="J1680" i="1" s="1"/>
  <c r="H1679" i="1"/>
  <c r="I1679" i="1" s="1"/>
  <c r="J1679" i="1" s="1"/>
  <c r="H1678" i="1"/>
  <c r="I1678" i="1" s="1"/>
  <c r="J1678" i="1" s="1"/>
  <c r="H1677" i="1"/>
  <c r="I1677" i="1" s="1"/>
  <c r="J1677" i="1" s="1"/>
  <c r="H1676" i="1"/>
  <c r="I1676" i="1" s="1"/>
  <c r="J1676" i="1" s="1"/>
  <c r="H1675" i="1"/>
  <c r="I1675" i="1" s="1"/>
  <c r="J1675" i="1" s="1"/>
  <c r="H1674" i="1"/>
  <c r="I1674" i="1" s="1"/>
  <c r="J1674" i="1" s="1"/>
  <c r="H1673" i="1"/>
  <c r="I1673" i="1" s="1"/>
  <c r="J1673" i="1" s="1"/>
  <c r="H1672" i="1"/>
  <c r="I1672" i="1" s="1"/>
  <c r="J1672" i="1" s="1"/>
  <c r="H1671" i="1"/>
  <c r="I1671" i="1" s="1"/>
  <c r="J1671" i="1" s="1"/>
  <c r="H1670" i="1"/>
  <c r="I1670" i="1" s="1"/>
  <c r="J1670" i="1" s="1"/>
  <c r="H1669" i="1"/>
  <c r="I1669" i="1" s="1"/>
  <c r="J1669" i="1" s="1"/>
  <c r="H1668" i="1"/>
  <c r="I1668" i="1" s="1"/>
  <c r="J1668" i="1" s="1"/>
  <c r="H1667" i="1"/>
  <c r="I1667" i="1" s="1"/>
  <c r="J1667" i="1" s="1"/>
  <c r="H1666" i="1"/>
  <c r="I1666" i="1" s="1"/>
  <c r="J1666" i="1" s="1"/>
  <c r="H1665" i="1"/>
  <c r="I1665" i="1" s="1"/>
  <c r="J1665" i="1" s="1"/>
  <c r="H1664" i="1"/>
  <c r="I1664" i="1" s="1"/>
  <c r="J1664" i="1" s="1"/>
  <c r="H1663" i="1"/>
  <c r="I1663" i="1" s="1"/>
  <c r="J1663" i="1" s="1"/>
  <c r="H1662" i="1"/>
  <c r="I1662" i="1" s="1"/>
  <c r="J1662" i="1" s="1"/>
  <c r="H1661" i="1"/>
  <c r="I1661" i="1" s="1"/>
  <c r="J1661" i="1" s="1"/>
  <c r="H1660" i="1"/>
  <c r="I1660" i="1" s="1"/>
  <c r="J1660" i="1" s="1"/>
  <c r="H1659" i="1"/>
  <c r="I1659" i="1" s="1"/>
  <c r="J1659" i="1" s="1"/>
  <c r="H1658" i="1"/>
  <c r="I1658" i="1" s="1"/>
  <c r="J1658" i="1" s="1"/>
  <c r="H1657" i="1"/>
  <c r="I1657" i="1" s="1"/>
  <c r="J1657" i="1" s="1"/>
  <c r="H1656" i="1"/>
  <c r="I1656" i="1" s="1"/>
  <c r="J1656" i="1" s="1"/>
  <c r="H1655" i="1"/>
  <c r="I1655" i="1" s="1"/>
  <c r="J1655" i="1" s="1"/>
  <c r="H1654" i="1"/>
  <c r="I1654" i="1" s="1"/>
  <c r="J1654" i="1" s="1"/>
  <c r="H1653" i="1"/>
  <c r="I1653" i="1" s="1"/>
  <c r="J1653" i="1" s="1"/>
  <c r="H1652" i="1"/>
  <c r="I1652" i="1" s="1"/>
  <c r="J1652" i="1" s="1"/>
  <c r="H1651" i="1"/>
  <c r="I1651" i="1" s="1"/>
  <c r="J1651" i="1" s="1"/>
  <c r="H1650" i="1"/>
  <c r="I1650" i="1" s="1"/>
  <c r="J1650" i="1" s="1"/>
  <c r="H1649" i="1"/>
  <c r="I1649" i="1" s="1"/>
  <c r="J1649" i="1" s="1"/>
  <c r="H1648" i="1"/>
  <c r="I1648" i="1" s="1"/>
  <c r="J1648" i="1" s="1"/>
  <c r="H1647" i="1"/>
  <c r="I1647" i="1" s="1"/>
  <c r="J1647" i="1" s="1"/>
  <c r="H1646" i="1"/>
  <c r="I1646" i="1" s="1"/>
  <c r="J1646" i="1" s="1"/>
  <c r="H1645" i="1"/>
  <c r="I1645" i="1" s="1"/>
  <c r="J1645" i="1" s="1"/>
  <c r="H1640" i="1"/>
  <c r="I1640" i="1" s="1"/>
  <c r="J1640" i="1" s="1"/>
  <c r="H1639" i="1"/>
  <c r="I1639" i="1" s="1"/>
  <c r="J1639" i="1" s="1"/>
  <c r="H1638" i="1"/>
  <c r="I1638" i="1" s="1"/>
  <c r="J1638" i="1" s="1"/>
  <c r="H1637" i="1"/>
  <c r="I1637" i="1" s="1"/>
  <c r="J1637" i="1" s="1"/>
  <c r="H1636" i="1"/>
  <c r="I1636" i="1" s="1"/>
  <c r="J1636" i="1" s="1"/>
  <c r="H1635" i="1"/>
  <c r="I1635" i="1" s="1"/>
  <c r="J1635" i="1" s="1"/>
  <c r="H1634" i="1"/>
  <c r="I1634" i="1" s="1"/>
  <c r="J1634" i="1" s="1"/>
  <c r="H1633" i="1"/>
  <c r="I1633" i="1" s="1"/>
  <c r="J1633" i="1" s="1"/>
  <c r="H1632" i="1"/>
  <c r="I1632" i="1" s="1"/>
  <c r="J1632" i="1" s="1"/>
  <c r="H1631" i="1"/>
  <c r="I1631" i="1" s="1"/>
  <c r="J1631" i="1" s="1"/>
  <c r="H1630" i="1"/>
  <c r="I1630" i="1" s="1"/>
  <c r="J1630" i="1" s="1"/>
  <c r="H1629" i="1"/>
  <c r="I1629" i="1" s="1"/>
  <c r="J1629" i="1" s="1"/>
  <c r="H1628" i="1"/>
  <c r="I1628" i="1" s="1"/>
  <c r="J1628" i="1" s="1"/>
  <c r="H1627" i="1"/>
  <c r="I1627" i="1" s="1"/>
  <c r="J1627" i="1" s="1"/>
  <c r="H1626" i="1"/>
  <c r="I1626" i="1" s="1"/>
  <c r="J1626" i="1" s="1"/>
  <c r="H1625" i="1"/>
  <c r="I1625" i="1" s="1"/>
  <c r="J1625" i="1" s="1"/>
  <c r="H1624" i="1"/>
  <c r="I1624" i="1" s="1"/>
  <c r="J1624" i="1" s="1"/>
  <c r="H1623" i="1"/>
  <c r="I1623" i="1" s="1"/>
  <c r="J1623" i="1" s="1"/>
  <c r="H1622" i="1"/>
  <c r="I1622" i="1" s="1"/>
  <c r="J1622" i="1" s="1"/>
  <c r="H1621" i="1"/>
  <c r="I1621" i="1" s="1"/>
  <c r="J1621" i="1" s="1"/>
  <c r="H1620" i="1"/>
  <c r="I1620" i="1" s="1"/>
  <c r="J1620" i="1" s="1"/>
  <c r="H1619" i="1"/>
  <c r="I1619" i="1" s="1"/>
  <c r="J1619" i="1" s="1"/>
  <c r="H1618" i="1"/>
  <c r="I1618" i="1" s="1"/>
  <c r="J1618" i="1" s="1"/>
  <c r="H1617" i="1"/>
  <c r="I1617" i="1" s="1"/>
  <c r="J1617" i="1" s="1"/>
  <c r="H1616" i="1"/>
  <c r="I1616" i="1" s="1"/>
  <c r="J1616" i="1" s="1"/>
  <c r="H1615" i="1"/>
  <c r="I1615" i="1" s="1"/>
  <c r="J1615" i="1" s="1"/>
  <c r="H1614" i="1"/>
  <c r="I1614" i="1" s="1"/>
  <c r="J1614" i="1" s="1"/>
  <c r="H1613" i="1"/>
  <c r="I1613" i="1" s="1"/>
  <c r="J1613" i="1" s="1"/>
  <c r="H1612" i="1"/>
  <c r="I1612" i="1" s="1"/>
  <c r="J1612" i="1" s="1"/>
  <c r="H1611" i="1"/>
  <c r="I1611" i="1" s="1"/>
  <c r="J1611" i="1" s="1"/>
  <c r="H1610" i="1"/>
  <c r="I1610" i="1" s="1"/>
  <c r="J1610" i="1" s="1"/>
  <c r="H1609" i="1"/>
  <c r="I1609" i="1" s="1"/>
  <c r="J1609" i="1" s="1"/>
  <c r="H1608" i="1"/>
  <c r="I1608" i="1" s="1"/>
  <c r="J1608" i="1" s="1"/>
  <c r="H1607" i="1"/>
  <c r="I1607" i="1" s="1"/>
  <c r="J1607" i="1" s="1"/>
  <c r="H1606" i="1"/>
  <c r="I1606" i="1" s="1"/>
  <c r="J1606" i="1" s="1"/>
  <c r="H1605" i="1"/>
  <c r="I1605" i="1" s="1"/>
  <c r="J1605" i="1" s="1"/>
  <c r="H1600" i="1"/>
  <c r="I1600" i="1" s="1"/>
  <c r="J1600" i="1" s="1"/>
  <c r="H1599" i="1"/>
  <c r="I1599" i="1" s="1"/>
  <c r="J1599" i="1" s="1"/>
  <c r="H1598" i="1"/>
  <c r="I1598" i="1" s="1"/>
  <c r="J1598" i="1" s="1"/>
  <c r="H1597" i="1"/>
  <c r="I1597" i="1" s="1"/>
  <c r="J1597" i="1" s="1"/>
  <c r="H1596" i="1"/>
  <c r="I1596" i="1" s="1"/>
  <c r="J1596" i="1" s="1"/>
  <c r="H1595" i="1"/>
  <c r="I1595" i="1" s="1"/>
  <c r="J1595" i="1" s="1"/>
  <c r="H1594" i="1"/>
  <c r="I1594" i="1" s="1"/>
  <c r="J1594" i="1" s="1"/>
  <c r="H1593" i="1"/>
  <c r="I1593" i="1" s="1"/>
  <c r="J1593" i="1" s="1"/>
  <c r="H1592" i="1"/>
  <c r="I1592" i="1" s="1"/>
  <c r="J1592" i="1" s="1"/>
  <c r="H1591" i="1"/>
  <c r="I1591" i="1" s="1"/>
  <c r="J1591" i="1" s="1"/>
  <c r="H1590" i="1"/>
  <c r="I1590" i="1" s="1"/>
  <c r="J1590" i="1" s="1"/>
  <c r="H1589" i="1"/>
  <c r="I1589" i="1" s="1"/>
  <c r="J1589" i="1" s="1"/>
  <c r="H1588" i="1"/>
  <c r="I1588" i="1" s="1"/>
  <c r="J1588" i="1" s="1"/>
  <c r="H1587" i="1"/>
  <c r="I1587" i="1" s="1"/>
  <c r="J1587" i="1" s="1"/>
  <c r="H1586" i="1"/>
  <c r="I1586" i="1" s="1"/>
  <c r="J1586" i="1" s="1"/>
  <c r="H1585" i="1"/>
  <c r="I1585" i="1" s="1"/>
  <c r="J1585" i="1" s="1"/>
  <c r="H1584" i="1"/>
  <c r="I1584" i="1" s="1"/>
  <c r="J1584" i="1" s="1"/>
  <c r="H1583" i="1"/>
  <c r="I1583" i="1" s="1"/>
  <c r="J1583" i="1" s="1"/>
  <c r="H1582" i="1"/>
  <c r="I1582" i="1" s="1"/>
  <c r="J1582" i="1" s="1"/>
  <c r="H1581" i="1"/>
  <c r="I1581" i="1" s="1"/>
  <c r="J1581" i="1" s="1"/>
  <c r="H1580" i="1"/>
  <c r="I1580" i="1" s="1"/>
  <c r="J1580" i="1" s="1"/>
  <c r="H1579" i="1"/>
  <c r="I1579" i="1" s="1"/>
  <c r="J1579" i="1" s="1"/>
  <c r="H1578" i="1"/>
  <c r="I1578" i="1" s="1"/>
  <c r="J1578" i="1" s="1"/>
  <c r="H1577" i="1"/>
  <c r="I1577" i="1" s="1"/>
  <c r="J1577" i="1" s="1"/>
  <c r="H1576" i="1"/>
  <c r="I1576" i="1" s="1"/>
  <c r="J1576" i="1" s="1"/>
  <c r="H1575" i="1"/>
  <c r="I1575" i="1" s="1"/>
  <c r="J1575" i="1" s="1"/>
  <c r="H1574" i="1"/>
  <c r="I1574" i="1" s="1"/>
  <c r="J1574" i="1" s="1"/>
  <c r="H1573" i="1"/>
  <c r="I1573" i="1" s="1"/>
  <c r="J1573" i="1" s="1"/>
  <c r="H1572" i="1"/>
  <c r="I1572" i="1" s="1"/>
  <c r="J1572" i="1" s="1"/>
  <c r="H1571" i="1"/>
  <c r="I1571" i="1" s="1"/>
  <c r="J1571" i="1" s="1"/>
  <c r="H1570" i="1"/>
  <c r="I1570" i="1" s="1"/>
  <c r="J1570" i="1" s="1"/>
  <c r="H1569" i="1"/>
  <c r="I1569" i="1" s="1"/>
  <c r="J1569" i="1" s="1"/>
  <c r="H1568" i="1"/>
  <c r="I1568" i="1" s="1"/>
  <c r="J1568" i="1" s="1"/>
  <c r="H1567" i="1"/>
  <c r="I1567" i="1" s="1"/>
  <c r="J1567" i="1" s="1"/>
  <c r="H1566" i="1"/>
  <c r="I1566" i="1" s="1"/>
  <c r="J1566" i="1" s="1"/>
  <c r="H1565" i="1"/>
  <c r="I1565" i="1" s="1"/>
  <c r="J1565" i="1" s="1"/>
  <c r="H1560" i="1"/>
  <c r="I1560" i="1" s="1"/>
  <c r="J1560" i="1" s="1"/>
  <c r="H1559" i="1"/>
  <c r="I1559" i="1" s="1"/>
  <c r="J1559" i="1" s="1"/>
  <c r="H1558" i="1"/>
  <c r="I1558" i="1" s="1"/>
  <c r="J1558" i="1" s="1"/>
  <c r="H1557" i="1"/>
  <c r="I1557" i="1" s="1"/>
  <c r="J1557" i="1" s="1"/>
  <c r="H1556" i="1"/>
  <c r="I1556" i="1" s="1"/>
  <c r="J1556" i="1" s="1"/>
  <c r="I1555" i="1"/>
  <c r="J1555" i="1" s="1"/>
  <c r="H1555" i="1"/>
  <c r="H1554" i="1"/>
  <c r="I1554" i="1" s="1"/>
  <c r="J1554" i="1" s="1"/>
  <c r="H1553" i="1"/>
  <c r="I1553" i="1" s="1"/>
  <c r="J1553" i="1" s="1"/>
  <c r="H1552" i="1"/>
  <c r="I1552" i="1" s="1"/>
  <c r="J1552" i="1" s="1"/>
  <c r="H1551" i="1"/>
  <c r="I1551" i="1" s="1"/>
  <c r="J1551" i="1" s="1"/>
  <c r="H1550" i="1"/>
  <c r="I1550" i="1" s="1"/>
  <c r="J1550" i="1" s="1"/>
  <c r="H1549" i="1"/>
  <c r="I1549" i="1" s="1"/>
  <c r="J1549" i="1" s="1"/>
  <c r="H1548" i="1"/>
  <c r="I1548" i="1" s="1"/>
  <c r="J1548" i="1" s="1"/>
  <c r="H1547" i="1"/>
  <c r="I1547" i="1" s="1"/>
  <c r="J1547" i="1" s="1"/>
  <c r="H1546" i="1"/>
  <c r="I1546" i="1" s="1"/>
  <c r="J1546" i="1" s="1"/>
  <c r="H1545" i="1"/>
  <c r="I1545" i="1" s="1"/>
  <c r="J1545" i="1" s="1"/>
  <c r="H1544" i="1"/>
  <c r="I1544" i="1" s="1"/>
  <c r="J1544" i="1" s="1"/>
  <c r="H1543" i="1"/>
  <c r="I1543" i="1" s="1"/>
  <c r="J1543" i="1" s="1"/>
  <c r="H1542" i="1"/>
  <c r="I1542" i="1" s="1"/>
  <c r="J1542" i="1" s="1"/>
  <c r="H1541" i="1"/>
  <c r="I1541" i="1" s="1"/>
  <c r="J1541" i="1" s="1"/>
  <c r="H1540" i="1"/>
  <c r="I1540" i="1" s="1"/>
  <c r="J1540" i="1" s="1"/>
  <c r="H1539" i="1"/>
  <c r="I1539" i="1" s="1"/>
  <c r="J1539" i="1" s="1"/>
  <c r="H1538" i="1"/>
  <c r="I1538" i="1" s="1"/>
  <c r="J1538" i="1" s="1"/>
  <c r="H1537" i="1"/>
  <c r="I1537" i="1" s="1"/>
  <c r="J1537" i="1" s="1"/>
  <c r="H1536" i="1"/>
  <c r="I1536" i="1" s="1"/>
  <c r="J1536" i="1" s="1"/>
  <c r="H1535" i="1"/>
  <c r="I1535" i="1" s="1"/>
  <c r="J1535" i="1" s="1"/>
  <c r="H1534" i="1"/>
  <c r="I1534" i="1" s="1"/>
  <c r="J1534" i="1" s="1"/>
  <c r="H1533" i="1"/>
  <c r="I1533" i="1" s="1"/>
  <c r="J1533" i="1" s="1"/>
  <c r="H1532" i="1"/>
  <c r="I1532" i="1" s="1"/>
  <c r="J1532" i="1" s="1"/>
  <c r="H1531" i="1"/>
  <c r="I1531" i="1" s="1"/>
  <c r="J1531" i="1" s="1"/>
  <c r="H1530" i="1"/>
  <c r="I1530" i="1" s="1"/>
  <c r="J1530" i="1" s="1"/>
  <c r="H1529" i="1"/>
  <c r="I1529" i="1" s="1"/>
  <c r="J1529" i="1" s="1"/>
  <c r="H1528" i="1"/>
  <c r="I1528" i="1" s="1"/>
  <c r="J1528" i="1" s="1"/>
  <c r="H1527" i="1"/>
  <c r="I1527" i="1" s="1"/>
  <c r="J1527" i="1" s="1"/>
  <c r="H1526" i="1"/>
  <c r="I1526" i="1" s="1"/>
  <c r="J1526" i="1" s="1"/>
  <c r="H1525" i="1"/>
  <c r="I1525" i="1" s="1"/>
  <c r="J1525" i="1" s="1"/>
  <c r="H1520" i="1"/>
  <c r="I1520" i="1" s="1"/>
  <c r="J1520" i="1" s="1"/>
  <c r="H1519" i="1"/>
  <c r="I1519" i="1" s="1"/>
  <c r="J1519" i="1" s="1"/>
  <c r="H1518" i="1"/>
  <c r="I1518" i="1" s="1"/>
  <c r="J1518" i="1" s="1"/>
  <c r="H1517" i="1"/>
  <c r="I1517" i="1" s="1"/>
  <c r="J1517" i="1" s="1"/>
  <c r="H1516" i="1"/>
  <c r="I1516" i="1" s="1"/>
  <c r="J1516" i="1" s="1"/>
  <c r="H1515" i="1"/>
  <c r="I1515" i="1" s="1"/>
  <c r="J1515" i="1" s="1"/>
  <c r="H1514" i="1"/>
  <c r="I1514" i="1" s="1"/>
  <c r="J1514" i="1" s="1"/>
  <c r="H1513" i="1"/>
  <c r="I1513" i="1" s="1"/>
  <c r="J1513" i="1" s="1"/>
  <c r="H1512" i="1"/>
  <c r="I1512" i="1" s="1"/>
  <c r="J1512" i="1" s="1"/>
  <c r="H1511" i="1"/>
  <c r="I1511" i="1" s="1"/>
  <c r="J1511" i="1" s="1"/>
  <c r="H1510" i="1"/>
  <c r="I1510" i="1" s="1"/>
  <c r="J1510" i="1" s="1"/>
  <c r="H1509" i="1"/>
  <c r="I1509" i="1" s="1"/>
  <c r="J1509" i="1" s="1"/>
  <c r="H1508" i="1"/>
  <c r="I1508" i="1" s="1"/>
  <c r="J1508" i="1" s="1"/>
  <c r="H1507" i="1"/>
  <c r="I1507" i="1" s="1"/>
  <c r="J1507" i="1" s="1"/>
  <c r="H1506" i="1"/>
  <c r="I1506" i="1" s="1"/>
  <c r="J1506" i="1" s="1"/>
  <c r="H1505" i="1"/>
  <c r="I1505" i="1" s="1"/>
  <c r="J1505" i="1" s="1"/>
  <c r="H1504" i="1"/>
  <c r="I1504" i="1" s="1"/>
  <c r="J1504" i="1" s="1"/>
  <c r="H1503" i="1"/>
  <c r="I1503" i="1" s="1"/>
  <c r="J1503" i="1" s="1"/>
  <c r="H1502" i="1"/>
  <c r="I1502" i="1" s="1"/>
  <c r="J1502" i="1" s="1"/>
  <c r="H1501" i="1"/>
  <c r="I1501" i="1" s="1"/>
  <c r="J1501" i="1" s="1"/>
  <c r="H1500" i="1"/>
  <c r="I1500" i="1" s="1"/>
  <c r="J1500" i="1" s="1"/>
  <c r="H1499" i="1"/>
  <c r="I1499" i="1" s="1"/>
  <c r="J1499" i="1" s="1"/>
  <c r="H1498" i="1"/>
  <c r="I1498" i="1" s="1"/>
  <c r="J1498" i="1" s="1"/>
  <c r="H1497" i="1"/>
  <c r="I1497" i="1" s="1"/>
  <c r="J1497" i="1" s="1"/>
  <c r="H1496" i="1"/>
  <c r="I1496" i="1" s="1"/>
  <c r="J1496" i="1" s="1"/>
  <c r="H1495" i="1"/>
  <c r="I1495" i="1" s="1"/>
  <c r="J1495" i="1" s="1"/>
  <c r="H1494" i="1"/>
  <c r="I1494" i="1" s="1"/>
  <c r="J1494" i="1" s="1"/>
  <c r="H1493" i="1"/>
  <c r="I1493" i="1" s="1"/>
  <c r="J1493" i="1" s="1"/>
  <c r="H1492" i="1"/>
  <c r="I1492" i="1" s="1"/>
  <c r="J1492" i="1" s="1"/>
  <c r="H1491" i="1"/>
  <c r="I1491" i="1" s="1"/>
  <c r="J1491" i="1" s="1"/>
  <c r="H1490" i="1"/>
  <c r="I1490" i="1" s="1"/>
  <c r="J1490" i="1" s="1"/>
  <c r="H1489" i="1"/>
  <c r="I1489" i="1" s="1"/>
  <c r="J1489" i="1" s="1"/>
  <c r="H1488" i="1"/>
  <c r="I1488" i="1" s="1"/>
  <c r="J1488" i="1" s="1"/>
  <c r="H1487" i="1"/>
  <c r="I1487" i="1" s="1"/>
  <c r="J1487" i="1" s="1"/>
  <c r="H1486" i="1"/>
  <c r="I1486" i="1" s="1"/>
  <c r="J1486" i="1" s="1"/>
  <c r="H1485" i="1"/>
  <c r="I1485" i="1" s="1"/>
  <c r="J1485" i="1" s="1"/>
  <c r="H1480" i="1"/>
  <c r="I1480" i="1" s="1"/>
  <c r="J1480" i="1" s="1"/>
  <c r="H1479" i="1"/>
  <c r="I1479" i="1" s="1"/>
  <c r="J1479" i="1" s="1"/>
  <c r="H1478" i="1"/>
  <c r="I1478" i="1" s="1"/>
  <c r="J1478" i="1" s="1"/>
  <c r="H1477" i="1"/>
  <c r="I1477" i="1" s="1"/>
  <c r="J1477" i="1" s="1"/>
  <c r="H1476" i="1"/>
  <c r="I1476" i="1" s="1"/>
  <c r="J1476" i="1" s="1"/>
  <c r="H1475" i="1"/>
  <c r="I1475" i="1" s="1"/>
  <c r="J1475" i="1" s="1"/>
  <c r="H1474" i="1"/>
  <c r="I1474" i="1" s="1"/>
  <c r="J1474" i="1" s="1"/>
  <c r="H1473" i="1"/>
  <c r="I1473" i="1" s="1"/>
  <c r="J1473" i="1" s="1"/>
  <c r="H1472" i="1"/>
  <c r="I1472" i="1" s="1"/>
  <c r="J1472" i="1" s="1"/>
  <c r="H1471" i="1"/>
  <c r="I1471" i="1" s="1"/>
  <c r="J1471" i="1" s="1"/>
  <c r="H1470" i="1"/>
  <c r="I1470" i="1" s="1"/>
  <c r="J1470" i="1" s="1"/>
  <c r="H1469" i="1"/>
  <c r="I1469" i="1" s="1"/>
  <c r="J1469" i="1" s="1"/>
  <c r="H1468" i="1"/>
  <c r="I1468" i="1" s="1"/>
  <c r="J1468" i="1" s="1"/>
  <c r="H1467" i="1"/>
  <c r="I1467" i="1" s="1"/>
  <c r="J1467" i="1" s="1"/>
  <c r="H1466" i="1"/>
  <c r="I1466" i="1" s="1"/>
  <c r="J1466" i="1" s="1"/>
  <c r="H1465" i="1"/>
  <c r="I1465" i="1" s="1"/>
  <c r="J1465" i="1" s="1"/>
  <c r="H1464" i="1"/>
  <c r="I1464" i="1" s="1"/>
  <c r="J1464" i="1" s="1"/>
  <c r="H1463" i="1"/>
  <c r="I1463" i="1" s="1"/>
  <c r="J1463" i="1" s="1"/>
  <c r="H1462" i="1"/>
  <c r="I1462" i="1" s="1"/>
  <c r="J1462" i="1" s="1"/>
  <c r="H1461" i="1"/>
  <c r="I1461" i="1" s="1"/>
  <c r="J1461" i="1" s="1"/>
  <c r="H1460" i="1"/>
  <c r="I1460" i="1" s="1"/>
  <c r="J1460" i="1" s="1"/>
  <c r="H1459" i="1"/>
  <c r="I1459" i="1" s="1"/>
  <c r="J1459" i="1" s="1"/>
  <c r="H1458" i="1"/>
  <c r="I1458" i="1" s="1"/>
  <c r="J1458" i="1" s="1"/>
  <c r="H1457" i="1"/>
  <c r="I1457" i="1" s="1"/>
  <c r="J1457" i="1" s="1"/>
  <c r="H1456" i="1"/>
  <c r="I1456" i="1" s="1"/>
  <c r="J1456" i="1" s="1"/>
  <c r="H1455" i="1"/>
  <c r="I1455" i="1" s="1"/>
  <c r="J1455" i="1" s="1"/>
  <c r="H1454" i="1"/>
  <c r="I1454" i="1" s="1"/>
  <c r="J1454" i="1" s="1"/>
  <c r="H1453" i="1"/>
  <c r="I1453" i="1" s="1"/>
  <c r="J1453" i="1" s="1"/>
  <c r="H1452" i="1"/>
  <c r="I1452" i="1" s="1"/>
  <c r="J1452" i="1" s="1"/>
  <c r="H1451" i="1"/>
  <c r="I1451" i="1" s="1"/>
  <c r="J1451" i="1" s="1"/>
  <c r="H1450" i="1"/>
  <c r="I1450" i="1" s="1"/>
  <c r="J1450" i="1" s="1"/>
  <c r="H1449" i="1"/>
  <c r="I1449" i="1" s="1"/>
  <c r="J1449" i="1" s="1"/>
  <c r="H1448" i="1"/>
  <c r="I1448" i="1" s="1"/>
  <c r="J1448" i="1" s="1"/>
  <c r="H1447" i="1"/>
  <c r="I1447" i="1" s="1"/>
  <c r="J1447" i="1" s="1"/>
  <c r="H1446" i="1"/>
  <c r="I1446" i="1" s="1"/>
  <c r="J1446" i="1" s="1"/>
  <c r="H1445" i="1"/>
  <c r="I1445" i="1" s="1"/>
  <c r="J1445" i="1" s="1"/>
  <c r="H1440" i="1"/>
  <c r="I1440" i="1" s="1"/>
  <c r="J1440" i="1" s="1"/>
  <c r="H1439" i="1"/>
  <c r="I1439" i="1" s="1"/>
  <c r="J1439" i="1" s="1"/>
  <c r="H1438" i="1"/>
  <c r="I1438" i="1" s="1"/>
  <c r="J1438" i="1" s="1"/>
  <c r="H1437" i="1"/>
  <c r="I1437" i="1" s="1"/>
  <c r="J1437" i="1" s="1"/>
  <c r="H1436" i="1"/>
  <c r="I1436" i="1" s="1"/>
  <c r="J1436" i="1" s="1"/>
  <c r="H1435" i="1"/>
  <c r="I1435" i="1" s="1"/>
  <c r="J1435" i="1" s="1"/>
  <c r="H1434" i="1"/>
  <c r="I1434" i="1" s="1"/>
  <c r="J1434" i="1" s="1"/>
  <c r="H1433" i="1"/>
  <c r="I1433" i="1" s="1"/>
  <c r="J1433" i="1" s="1"/>
  <c r="H1432" i="1"/>
  <c r="I1432" i="1" s="1"/>
  <c r="J1432" i="1" s="1"/>
  <c r="H1431" i="1"/>
  <c r="I1431" i="1" s="1"/>
  <c r="J1431" i="1" s="1"/>
  <c r="H1430" i="1"/>
  <c r="I1430" i="1" s="1"/>
  <c r="J1430" i="1" s="1"/>
  <c r="H1429" i="1"/>
  <c r="I1429" i="1" s="1"/>
  <c r="J1429" i="1" s="1"/>
  <c r="H1428" i="1"/>
  <c r="I1428" i="1" s="1"/>
  <c r="J1428" i="1" s="1"/>
  <c r="H1427" i="1"/>
  <c r="I1427" i="1" s="1"/>
  <c r="J1427" i="1" s="1"/>
  <c r="H1426" i="1"/>
  <c r="I1426" i="1" s="1"/>
  <c r="J1426" i="1" s="1"/>
  <c r="H1425" i="1"/>
  <c r="I1425" i="1" s="1"/>
  <c r="J1425" i="1" s="1"/>
  <c r="H1424" i="1"/>
  <c r="I1424" i="1" s="1"/>
  <c r="J1424" i="1" s="1"/>
  <c r="H1423" i="1"/>
  <c r="I1423" i="1" s="1"/>
  <c r="J1423" i="1" s="1"/>
  <c r="H1422" i="1"/>
  <c r="I1422" i="1" s="1"/>
  <c r="J1422" i="1" s="1"/>
  <c r="H1421" i="1"/>
  <c r="I1421" i="1" s="1"/>
  <c r="J1421" i="1" s="1"/>
  <c r="H1420" i="1"/>
  <c r="I1420" i="1" s="1"/>
  <c r="J1420" i="1" s="1"/>
  <c r="H1419" i="1"/>
  <c r="I1419" i="1" s="1"/>
  <c r="J1419" i="1" s="1"/>
  <c r="H1418" i="1"/>
  <c r="I1418" i="1" s="1"/>
  <c r="J1418" i="1" s="1"/>
  <c r="H1417" i="1"/>
  <c r="I1417" i="1" s="1"/>
  <c r="J1417" i="1" s="1"/>
  <c r="H1416" i="1"/>
  <c r="I1416" i="1" s="1"/>
  <c r="J1416" i="1" s="1"/>
  <c r="H1415" i="1"/>
  <c r="I1415" i="1" s="1"/>
  <c r="J1415" i="1" s="1"/>
  <c r="H1414" i="1"/>
  <c r="I1414" i="1" s="1"/>
  <c r="J1414" i="1" s="1"/>
  <c r="H1413" i="1"/>
  <c r="I1413" i="1" s="1"/>
  <c r="J1413" i="1" s="1"/>
  <c r="H1412" i="1"/>
  <c r="I1412" i="1" s="1"/>
  <c r="J1412" i="1" s="1"/>
  <c r="H1411" i="1"/>
  <c r="I1411" i="1" s="1"/>
  <c r="J1411" i="1" s="1"/>
  <c r="H1410" i="1"/>
  <c r="I1410" i="1" s="1"/>
  <c r="J1410" i="1" s="1"/>
  <c r="H1409" i="1"/>
  <c r="I1409" i="1" s="1"/>
  <c r="J1409" i="1" s="1"/>
  <c r="H1408" i="1"/>
  <c r="I1408" i="1" s="1"/>
  <c r="J1408" i="1" s="1"/>
  <c r="H1407" i="1"/>
  <c r="I1407" i="1" s="1"/>
  <c r="J1407" i="1" s="1"/>
  <c r="H1406" i="1"/>
  <c r="I1406" i="1" s="1"/>
  <c r="J1406" i="1" s="1"/>
  <c r="H1405" i="1"/>
  <c r="I1405" i="1" s="1"/>
  <c r="J1405" i="1" s="1"/>
  <c r="H1400" i="1"/>
  <c r="I1400" i="1" s="1"/>
  <c r="J1400" i="1" s="1"/>
  <c r="H1399" i="1"/>
  <c r="I1399" i="1" s="1"/>
  <c r="J1399" i="1" s="1"/>
  <c r="H1398" i="1"/>
  <c r="I1398" i="1" s="1"/>
  <c r="J1398" i="1" s="1"/>
  <c r="H1397" i="1"/>
  <c r="I1397" i="1" s="1"/>
  <c r="J1397" i="1" s="1"/>
  <c r="H1396" i="1"/>
  <c r="I1396" i="1" s="1"/>
  <c r="J1396" i="1" s="1"/>
  <c r="H1395" i="1"/>
  <c r="I1395" i="1" s="1"/>
  <c r="J1395" i="1" s="1"/>
  <c r="H1394" i="1"/>
  <c r="I1394" i="1" s="1"/>
  <c r="J1394" i="1" s="1"/>
  <c r="H1393" i="1"/>
  <c r="I1393" i="1" s="1"/>
  <c r="J1393" i="1" s="1"/>
  <c r="H1392" i="1"/>
  <c r="I1392" i="1" s="1"/>
  <c r="J1392" i="1" s="1"/>
  <c r="H1391" i="1"/>
  <c r="I1391" i="1" s="1"/>
  <c r="J1391" i="1" s="1"/>
  <c r="H1390" i="1"/>
  <c r="I1390" i="1" s="1"/>
  <c r="J1390" i="1" s="1"/>
  <c r="H1389" i="1"/>
  <c r="I1389" i="1" s="1"/>
  <c r="J1389" i="1" s="1"/>
  <c r="H1388" i="1"/>
  <c r="I1388" i="1" s="1"/>
  <c r="J1388" i="1" s="1"/>
  <c r="H1387" i="1"/>
  <c r="I1387" i="1" s="1"/>
  <c r="J1387" i="1" s="1"/>
  <c r="H1386" i="1"/>
  <c r="I1386" i="1" s="1"/>
  <c r="J1386" i="1" s="1"/>
  <c r="H1385" i="1"/>
  <c r="I1385" i="1" s="1"/>
  <c r="J1385" i="1" s="1"/>
  <c r="H1384" i="1"/>
  <c r="I1384" i="1" s="1"/>
  <c r="J1384" i="1" s="1"/>
  <c r="H1383" i="1"/>
  <c r="I1383" i="1" s="1"/>
  <c r="J1383" i="1" s="1"/>
  <c r="H1382" i="1"/>
  <c r="I1382" i="1" s="1"/>
  <c r="J1382" i="1" s="1"/>
  <c r="H1381" i="1"/>
  <c r="I1381" i="1" s="1"/>
  <c r="J1381" i="1" s="1"/>
  <c r="H1380" i="1"/>
  <c r="I1380" i="1" s="1"/>
  <c r="J1380" i="1" s="1"/>
  <c r="H1379" i="1"/>
  <c r="I1379" i="1" s="1"/>
  <c r="J1379" i="1" s="1"/>
  <c r="H1378" i="1"/>
  <c r="I1378" i="1" s="1"/>
  <c r="J1378" i="1" s="1"/>
  <c r="H1377" i="1"/>
  <c r="I1377" i="1" s="1"/>
  <c r="J1377" i="1" s="1"/>
  <c r="H1376" i="1"/>
  <c r="I1376" i="1" s="1"/>
  <c r="J1376" i="1" s="1"/>
  <c r="H1375" i="1"/>
  <c r="I1375" i="1" s="1"/>
  <c r="J1375" i="1" s="1"/>
  <c r="H1374" i="1"/>
  <c r="I1374" i="1" s="1"/>
  <c r="J1374" i="1" s="1"/>
  <c r="H1373" i="1"/>
  <c r="I1373" i="1" s="1"/>
  <c r="J1373" i="1" s="1"/>
  <c r="H1372" i="1"/>
  <c r="I1372" i="1" s="1"/>
  <c r="J1372" i="1" s="1"/>
  <c r="H1371" i="1"/>
  <c r="I1371" i="1" s="1"/>
  <c r="J1371" i="1" s="1"/>
  <c r="H1370" i="1"/>
  <c r="I1370" i="1" s="1"/>
  <c r="J1370" i="1" s="1"/>
  <c r="H1369" i="1"/>
  <c r="I1369" i="1" s="1"/>
  <c r="J1369" i="1" s="1"/>
  <c r="H1368" i="1"/>
  <c r="I1368" i="1" s="1"/>
  <c r="J1368" i="1" s="1"/>
  <c r="H1367" i="1"/>
  <c r="I1367" i="1" s="1"/>
  <c r="J1367" i="1" s="1"/>
  <c r="H1366" i="1"/>
  <c r="I1366" i="1" s="1"/>
  <c r="J1366" i="1" s="1"/>
  <c r="H1365" i="1"/>
  <c r="I1365" i="1" s="1"/>
  <c r="J1365" i="1" s="1"/>
  <c r="H1360" i="1"/>
  <c r="I1360" i="1" s="1"/>
  <c r="J1360" i="1" s="1"/>
  <c r="H1359" i="1"/>
  <c r="I1359" i="1" s="1"/>
  <c r="J1359" i="1" s="1"/>
  <c r="I1358" i="1"/>
  <c r="J1358" i="1" s="1"/>
  <c r="H1358" i="1"/>
  <c r="H1357" i="1"/>
  <c r="I1357" i="1" s="1"/>
  <c r="J1357" i="1" s="1"/>
  <c r="H1356" i="1"/>
  <c r="I1356" i="1" s="1"/>
  <c r="J1356" i="1" s="1"/>
  <c r="H1355" i="1"/>
  <c r="I1355" i="1" s="1"/>
  <c r="J1355" i="1" s="1"/>
  <c r="H1354" i="1"/>
  <c r="I1354" i="1" s="1"/>
  <c r="J1354" i="1" s="1"/>
  <c r="H1353" i="1"/>
  <c r="I1353" i="1" s="1"/>
  <c r="J1353" i="1" s="1"/>
  <c r="H1352" i="1"/>
  <c r="I1352" i="1" s="1"/>
  <c r="J1352" i="1" s="1"/>
  <c r="H1351" i="1"/>
  <c r="I1351" i="1" s="1"/>
  <c r="J1351" i="1" s="1"/>
  <c r="H1350" i="1"/>
  <c r="I1350" i="1" s="1"/>
  <c r="J1350" i="1" s="1"/>
  <c r="H1349" i="1"/>
  <c r="I1349" i="1" s="1"/>
  <c r="J1349" i="1" s="1"/>
  <c r="H1348" i="1"/>
  <c r="I1348" i="1" s="1"/>
  <c r="J1348" i="1" s="1"/>
  <c r="H1347" i="1"/>
  <c r="I1347" i="1" s="1"/>
  <c r="J1347" i="1" s="1"/>
  <c r="H1346" i="1"/>
  <c r="I1346" i="1" s="1"/>
  <c r="J1346" i="1" s="1"/>
  <c r="H1345" i="1"/>
  <c r="I1345" i="1" s="1"/>
  <c r="J1345" i="1" s="1"/>
  <c r="H1344" i="1"/>
  <c r="I1344" i="1" s="1"/>
  <c r="J1344" i="1" s="1"/>
  <c r="H1343" i="1"/>
  <c r="I1343" i="1" s="1"/>
  <c r="J1343" i="1" s="1"/>
  <c r="H1342" i="1"/>
  <c r="I1342" i="1" s="1"/>
  <c r="J1342" i="1" s="1"/>
  <c r="H1341" i="1"/>
  <c r="I1341" i="1" s="1"/>
  <c r="J1341" i="1" s="1"/>
  <c r="H1340" i="1"/>
  <c r="I1340" i="1" s="1"/>
  <c r="J1340" i="1" s="1"/>
  <c r="H1339" i="1"/>
  <c r="I1339" i="1" s="1"/>
  <c r="J1339" i="1" s="1"/>
  <c r="H1338" i="1"/>
  <c r="I1338" i="1" s="1"/>
  <c r="J1338" i="1" s="1"/>
  <c r="H1337" i="1"/>
  <c r="I1337" i="1" s="1"/>
  <c r="J1337" i="1" s="1"/>
  <c r="H1336" i="1"/>
  <c r="I1336" i="1" s="1"/>
  <c r="J1336" i="1" s="1"/>
  <c r="H1335" i="1"/>
  <c r="I1335" i="1" s="1"/>
  <c r="J1335" i="1" s="1"/>
  <c r="H1334" i="1"/>
  <c r="I1334" i="1" s="1"/>
  <c r="J1334" i="1" s="1"/>
  <c r="H1333" i="1"/>
  <c r="I1333" i="1" s="1"/>
  <c r="J1333" i="1" s="1"/>
  <c r="H1332" i="1"/>
  <c r="I1332" i="1" s="1"/>
  <c r="J1332" i="1" s="1"/>
  <c r="H1331" i="1"/>
  <c r="I1331" i="1" s="1"/>
  <c r="J1331" i="1" s="1"/>
  <c r="H1330" i="1"/>
  <c r="I1330" i="1" s="1"/>
  <c r="J1330" i="1" s="1"/>
  <c r="H1329" i="1"/>
  <c r="I1329" i="1" s="1"/>
  <c r="J1329" i="1" s="1"/>
  <c r="H1328" i="1"/>
  <c r="I1328" i="1" s="1"/>
  <c r="J1328" i="1" s="1"/>
  <c r="H1327" i="1"/>
  <c r="I1327" i="1" s="1"/>
  <c r="J1327" i="1" s="1"/>
  <c r="H1326" i="1"/>
  <c r="I1326" i="1" s="1"/>
  <c r="J1326" i="1" s="1"/>
  <c r="H1325" i="1"/>
  <c r="I1325" i="1" s="1"/>
  <c r="J1325" i="1" s="1"/>
  <c r="H1320" i="1"/>
  <c r="I1320" i="1" s="1"/>
  <c r="J1320" i="1" s="1"/>
  <c r="H1319" i="1"/>
  <c r="I1319" i="1" s="1"/>
  <c r="J1319" i="1" s="1"/>
  <c r="H1318" i="1"/>
  <c r="I1318" i="1" s="1"/>
  <c r="J1318" i="1" s="1"/>
  <c r="H1317" i="1"/>
  <c r="I1317" i="1" s="1"/>
  <c r="J1317" i="1" s="1"/>
  <c r="H1316" i="1"/>
  <c r="I1316" i="1" s="1"/>
  <c r="J1316" i="1" s="1"/>
  <c r="H1315" i="1"/>
  <c r="I1315" i="1" s="1"/>
  <c r="J1315" i="1" s="1"/>
  <c r="H1314" i="1"/>
  <c r="I1314" i="1" s="1"/>
  <c r="J1314" i="1" s="1"/>
  <c r="H1313" i="1"/>
  <c r="I1313" i="1" s="1"/>
  <c r="J1313" i="1" s="1"/>
  <c r="H1312" i="1"/>
  <c r="I1312" i="1" s="1"/>
  <c r="J1312" i="1" s="1"/>
  <c r="H1311" i="1"/>
  <c r="I1311" i="1" s="1"/>
  <c r="J1311" i="1" s="1"/>
  <c r="H1310" i="1"/>
  <c r="I1310" i="1" s="1"/>
  <c r="J1310" i="1" s="1"/>
  <c r="H1309" i="1"/>
  <c r="I1309" i="1" s="1"/>
  <c r="J1309" i="1" s="1"/>
  <c r="H1308" i="1"/>
  <c r="I1308" i="1" s="1"/>
  <c r="J1308" i="1" s="1"/>
  <c r="H1307" i="1"/>
  <c r="I1307" i="1" s="1"/>
  <c r="J1307" i="1" s="1"/>
  <c r="H1306" i="1"/>
  <c r="I1306" i="1" s="1"/>
  <c r="J1306" i="1" s="1"/>
  <c r="H1305" i="1"/>
  <c r="I1305" i="1" s="1"/>
  <c r="J1305" i="1" s="1"/>
  <c r="H1304" i="1"/>
  <c r="I1304" i="1" s="1"/>
  <c r="J1304" i="1" s="1"/>
  <c r="H1303" i="1"/>
  <c r="I1303" i="1" s="1"/>
  <c r="J1303" i="1" s="1"/>
  <c r="H1302" i="1"/>
  <c r="I1302" i="1" s="1"/>
  <c r="J1302" i="1" s="1"/>
  <c r="H1301" i="1"/>
  <c r="I1301" i="1" s="1"/>
  <c r="J1301" i="1" s="1"/>
  <c r="H1300" i="1"/>
  <c r="I1300" i="1" s="1"/>
  <c r="J1300" i="1" s="1"/>
  <c r="H1299" i="1"/>
  <c r="I1299" i="1" s="1"/>
  <c r="J1299" i="1" s="1"/>
  <c r="H1298" i="1"/>
  <c r="I1298" i="1" s="1"/>
  <c r="J1298" i="1" s="1"/>
  <c r="H1297" i="1"/>
  <c r="I1297" i="1" s="1"/>
  <c r="J1297" i="1" s="1"/>
  <c r="H1296" i="1"/>
  <c r="I1296" i="1" s="1"/>
  <c r="J1296" i="1" s="1"/>
  <c r="H1295" i="1"/>
  <c r="I1295" i="1" s="1"/>
  <c r="J1295" i="1" s="1"/>
  <c r="H1294" i="1"/>
  <c r="I1294" i="1" s="1"/>
  <c r="J1294" i="1" s="1"/>
  <c r="H1293" i="1"/>
  <c r="I1293" i="1" s="1"/>
  <c r="J1293" i="1" s="1"/>
  <c r="H1292" i="1"/>
  <c r="I1292" i="1" s="1"/>
  <c r="J1292" i="1" s="1"/>
  <c r="H1291" i="1"/>
  <c r="I1291" i="1" s="1"/>
  <c r="J1291" i="1" s="1"/>
  <c r="H1290" i="1"/>
  <c r="I1290" i="1" s="1"/>
  <c r="J1290" i="1" s="1"/>
  <c r="H1289" i="1"/>
  <c r="I1289" i="1" s="1"/>
  <c r="J1289" i="1" s="1"/>
  <c r="H1288" i="1"/>
  <c r="I1288" i="1" s="1"/>
  <c r="J1288" i="1" s="1"/>
  <c r="H1287" i="1"/>
  <c r="I1287" i="1" s="1"/>
  <c r="J1287" i="1" s="1"/>
  <c r="H1286" i="1"/>
  <c r="I1286" i="1" s="1"/>
  <c r="J1286" i="1" s="1"/>
  <c r="H1285" i="1"/>
  <c r="I1285" i="1" s="1"/>
  <c r="J1285" i="1" s="1"/>
  <c r="H1280" i="1"/>
  <c r="I1280" i="1" s="1"/>
  <c r="J1280" i="1" s="1"/>
  <c r="H1279" i="1"/>
  <c r="I1279" i="1" s="1"/>
  <c r="J1279" i="1" s="1"/>
  <c r="H1278" i="1"/>
  <c r="I1278" i="1" s="1"/>
  <c r="J1278" i="1" s="1"/>
  <c r="H1277" i="1"/>
  <c r="I1277" i="1" s="1"/>
  <c r="J1277" i="1" s="1"/>
  <c r="H1276" i="1"/>
  <c r="I1276" i="1" s="1"/>
  <c r="J1276" i="1" s="1"/>
  <c r="H1275" i="1"/>
  <c r="I1275" i="1" s="1"/>
  <c r="J1275" i="1" s="1"/>
  <c r="H1274" i="1"/>
  <c r="I1274" i="1" s="1"/>
  <c r="J1274" i="1" s="1"/>
  <c r="H1273" i="1"/>
  <c r="I1273" i="1" s="1"/>
  <c r="J1273" i="1" s="1"/>
  <c r="H1272" i="1"/>
  <c r="I1272" i="1" s="1"/>
  <c r="J1272" i="1" s="1"/>
  <c r="H1271" i="1"/>
  <c r="I1271" i="1" s="1"/>
  <c r="J1271" i="1" s="1"/>
  <c r="H1270" i="1"/>
  <c r="I1270" i="1" s="1"/>
  <c r="J1270" i="1" s="1"/>
  <c r="H1269" i="1"/>
  <c r="I1269" i="1" s="1"/>
  <c r="J1269" i="1" s="1"/>
  <c r="H1268" i="1"/>
  <c r="I1268" i="1" s="1"/>
  <c r="J1268" i="1" s="1"/>
  <c r="H1267" i="1"/>
  <c r="I1267" i="1" s="1"/>
  <c r="J1267" i="1" s="1"/>
  <c r="H1266" i="1"/>
  <c r="I1266" i="1" s="1"/>
  <c r="J1266" i="1" s="1"/>
  <c r="H1265" i="1"/>
  <c r="I1265" i="1" s="1"/>
  <c r="J1265" i="1" s="1"/>
  <c r="H1264" i="1"/>
  <c r="I1264" i="1" s="1"/>
  <c r="J1264" i="1" s="1"/>
  <c r="H1263" i="1"/>
  <c r="I1263" i="1" s="1"/>
  <c r="J1263" i="1" s="1"/>
  <c r="H1262" i="1"/>
  <c r="I1262" i="1" s="1"/>
  <c r="J1262" i="1" s="1"/>
  <c r="H1261" i="1"/>
  <c r="I1261" i="1" s="1"/>
  <c r="J1261" i="1" s="1"/>
  <c r="H1260" i="1"/>
  <c r="I1260" i="1" s="1"/>
  <c r="J1260" i="1" s="1"/>
  <c r="H1259" i="1"/>
  <c r="I1259" i="1" s="1"/>
  <c r="J1259" i="1" s="1"/>
  <c r="H1258" i="1"/>
  <c r="I1258" i="1" s="1"/>
  <c r="J1258" i="1" s="1"/>
  <c r="H1257" i="1"/>
  <c r="I1257" i="1" s="1"/>
  <c r="J1257" i="1" s="1"/>
  <c r="H1256" i="1"/>
  <c r="I1256" i="1" s="1"/>
  <c r="J1256" i="1" s="1"/>
  <c r="H1255" i="1"/>
  <c r="I1255" i="1" s="1"/>
  <c r="J1255" i="1" s="1"/>
  <c r="H1254" i="1"/>
  <c r="I1254" i="1" s="1"/>
  <c r="J1254" i="1" s="1"/>
  <c r="H1253" i="1"/>
  <c r="I1253" i="1" s="1"/>
  <c r="J1253" i="1" s="1"/>
  <c r="H1252" i="1"/>
  <c r="I1252" i="1" s="1"/>
  <c r="J1252" i="1" s="1"/>
  <c r="H1251" i="1"/>
  <c r="I1251" i="1" s="1"/>
  <c r="J1251" i="1" s="1"/>
  <c r="H1250" i="1"/>
  <c r="I1250" i="1" s="1"/>
  <c r="J1250" i="1" s="1"/>
  <c r="H1249" i="1"/>
  <c r="I1249" i="1" s="1"/>
  <c r="J1249" i="1" s="1"/>
  <c r="H1248" i="1"/>
  <c r="I1248" i="1" s="1"/>
  <c r="J1248" i="1" s="1"/>
  <c r="H1247" i="1"/>
  <c r="I1247" i="1" s="1"/>
  <c r="J1247" i="1" s="1"/>
  <c r="H1246" i="1"/>
  <c r="I1246" i="1" s="1"/>
  <c r="J1246" i="1" s="1"/>
  <c r="H1245" i="1"/>
  <c r="I1245" i="1" s="1"/>
  <c r="J1245" i="1" s="1"/>
  <c r="I1240" i="1"/>
  <c r="J1240" i="1" s="1"/>
  <c r="H1240" i="1"/>
  <c r="H1239" i="1"/>
  <c r="I1239" i="1" s="1"/>
  <c r="J1239" i="1" s="1"/>
  <c r="H1238" i="1"/>
  <c r="I1238" i="1" s="1"/>
  <c r="J1238" i="1" s="1"/>
  <c r="H1237" i="1"/>
  <c r="I1237" i="1" s="1"/>
  <c r="J1237" i="1" s="1"/>
  <c r="H1236" i="1"/>
  <c r="I1236" i="1" s="1"/>
  <c r="J1236" i="1" s="1"/>
  <c r="H1235" i="1"/>
  <c r="I1235" i="1" s="1"/>
  <c r="J1235" i="1" s="1"/>
  <c r="H1234" i="1"/>
  <c r="I1234" i="1" s="1"/>
  <c r="J1234" i="1" s="1"/>
  <c r="H1233" i="1"/>
  <c r="I1233" i="1" s="1"/>
  <c r="J1233" i="1" s="1"/>
  <c r="H1232" i="1"/>
  <c r="I1232" i="1" s="1"/>
  <c r="J1232" i="1" s="1"/>
  <c r="H1231" i="1"/>
  <c r="I1231" i="1" s="1"/>
  <c r="J1231" i="1" s="1"/>
  <c r="H1230" i="1"/>
  <c r="I1230" i="1" s="1"/>
  <c r="J1230" i="1" s="1"/>
  <c r="H1229" i="1"/>
  <c r="I1229" i="1" s="1"/>
  <c r="J1229" i="1" s="1"/>
  <c r="H1228" i="1"/>
  <c r="I1228" i="1" s="1"/>
  <c r="J1228" i="1" s="1"/>
  <c r="H1227" i="1"/>
  <c r="I1227" i="1" s="1"/>
  <c r="J1227" i="1" s="1"/>
  <c r="H1226" i="1"/>
  <c r="I1226" i="1" s="1"/>
  <c r="J1226" i="1" s="1"/>
  <c r="H1225" i="1"/>
  <c r="I1225" i="1" s="1"/>
  <c r="J1225" i="1" s="1"/>
  <c r="H1224" i="1"/>
  <c r="I1224" i="1" s="1"/>
  <c r="J1224" i="1" s="1"/>
  <c r="H1223" i="1"/>
  <c r="I1223" i="1" s="1"/>
  <c r="J1223" i="1" s="1"/>
  <c r="H1222" i="1"/>
  <c r="I1222" i="1" s="1"/>
  <c r="J1222" i="1" s="1"/>
  <c r="H1221" i="1"/>
  <c r="I1221" i="1" s="1"/>
  <c r="J1221" i="1" s="1"/>
  <c r="H1220" i="1"/>
  <c r="I1220" i="1" s="1"/>
  <c r="J1220" i="1" s="1"/>
  <c r="H1219" i="1"/>
  <c r="I1219" i="1" s="1"/>
  <c r="J1219" i="1" s="1"/>
  <c r="H1218" i="1"/>
  <c r="I1218" i="1" s="1"/>
  <c r="J1218" i="1" s="1"/>
  <c r="H1217" i="1"/>
  <c r="I1217" i="1" s="1"/>
  <c r="J1217" i="1" s="1"/>
  <c r="H1216" i="1"/>
  <c r="I1216" i="1" s="1"/>
  <c r="J1216" i="1" s="1"/>
  <c r="H1215" i="1"/>
  <c r="I1215" i="1" s="1"/>
  <c r="J1215" i="1" s="1"/>
  <c r="H1214" i="1"/>
  <c r="I1214" i="1" s="1"/>
  <c r="J1214" i="1" s="1"/>
  <c r="H1213" i="1"/>
  <c r="I1213" i="1" s="1"/>
  <c r="J1213" i="1" s="1"/>
  <c r="H1212" i="1"/>
  <c r="I1212" i="1" s="1"/>
  <c r="J1212" i="1" s="1"/>
  <c r="H1211" i="1"/>
  <c r="I1211" i="1" s="1"/>
  <c r="J1211" i="1" s="1"/>
  <c r="H1210" i="1"/>
  <c r="I1210" i="1" s="1"/>
  <c r="J1210" i="1" s="1"/>
  <c r="H1209" i="1"/>
  <c r="I1209" i="1" s="1"/>
  <c r="J1209" i="1" s="1"/>
  <c r="H1208" i="1"/>
  <c r="I1208" i="1" s="1"/>
  <c r="J1208" i="1" s="1"/>
  <c r="H1207" i="1"/>
  <c r="I1207" i="1" s="1"/>
  <c r="J1207" i="1" s="1"/>
  <c r="H1206" i="1"/>
  <c r="I1206" i="1" s="1"/>
  <c r="J1206" i="1" s="1"/>
  <c r="H1205" i="1"/>
  <c r="I1205" i="1" s="1"/>
  <c r="J1205" i="1" s="1"/>
  <c r="H1200" i="1"/>
  <c r="I1200" i="1" s="1"/>
  <c r="J1200" i="1" s="1"/>
  <c r="H1199" i="1"/>
  <c r="I1199" i="1" s="1"/>
  <c r="J1199" i="1" s="1"/>
  <c r="H1198" i="1"/>
  <c r="I1198" i="1" s="1"/>
  <c r="J1198" i="1" s="1"/>
  <c r="H1197" i="1"/>
  <c r="I1197" i="1" s="1"/>
  <c r="J1197" i="1" s="1"/>
  <c r="H1196" i="1"/>
  <c r="I1196" i="1" s="1"/>
  <c r="J1196" i="1" s="1"/>
  <c r="H1195" i="1"/>
  <c r="I1195" i="1" s="1"/>
  <c r="J1195" i="1" s="1"/>
  <c r="H1194" i="1"/>
  <c r="I1194" i="1" s="1"/>
  <c r="J1194" i="1" s="1"/>
  <c r="H1193" i="1"/>
  <c r="I1193" i="1" s="1"/>
  <c r="J1193" i="1" s="1"/>
  <c r="H1192" i="1"/>
  <c r="I1192" i="1" s="1"/>
  <c r="J1192" i="1" s="1"/>
  <c r="H1191" i="1"/>
  <c r="I1191" i="1" s="1"/>
  <c r="J1191" i="1" s="1"/>
  <c r="H1190" i="1"/>
  <c r="I1190" i="1" s="1"/>
  <c r="J1190" i="1" s="1"/>
  <c r="H1189" i="1"/>
  <c r="I1189" i="1" s="1"/>
  <c r="J1189" i="1" s="1"/>
  <c r="H1188" i="1"/>
  <c r="I1188" i="1" s="1"/>
  <c r="J1188" i="1" s="1"/>
  <c r="H1187" i="1"/>
  <c r="I1187" i="1" s="1"/>
  <c r="J1187" i="1" s="1"/>
  <c r="H1186" i="1"/>
  <c r="I1186" i="1" s="1"/>
  <c r="J1186" i="1" s="1"/>
  <c r="H1185" i="1"/>
  <c r="I1185" i="1" s="1"/>
  <c r="J1185" i="1" s="1"/>
  <c r="H1184" i="1"/>
  <c r="I1184" i="1" s="1"/>
  <c r="J1184" i="1" s="1"/>
  <c r="H1183" i="1"/>
  <c r="I1183" i="1" s="1"/>
  <c r="J1183" i="1" s="1"/>
  <c r="H1182" i="1"/>
  <c r="I1182" i="1" s="1"/>
  <c r="J1182" i="1" s="1"/>
  <c r="H1181" i="1"/>
  <c r="I1181" i="1" s="1"/>
  <c r="J1181" i="1" s="1"/>
  <c r="H1180" i="1"/>
  <c r="I1180" i="1" s="1"/>
  <c r="J1180" i="1" s="1"/>
  <c r="H1179" i="1"/>
  <c r="I1179" i="1" s="1"/>
  <c r="J1179" i="1" s="1"/>
  <c r="H1178" i="1"/>
  <c r="I1178" i="1" s="1"/>
  <c r="J1178" i="1" s="1"/>
  <c r="H1177" i="1"/>
  <c r="I1177" i="1" s="1"/>
  <c r="J1177" i="1" s="1"/>
  <c r="H1176" i="1"/>
  <c r="I1176" i="1" s="1"/>
  <c r="J1176" i="1" s="1"/>
  <c r="H1175" i="1"/>
  <c r="I1175" i="1" s="1"/>
  <c r="J1175" i="1" s="1"/>
  <c r="H1174" i="1"/>
  <c r="I1174" i="1" s="1"/>
  <c r="J1174" i="1" s="1"/>
  <c r="H1173" i="1"/>
  <c r="I1173" i="1" s="1"/>
  <c r="J1173" i="1" s="1"/>
  <c r="H1172" i="1"/>
  <c r="I1172" i="1" s="1"/>
  <c r="J1172" i="1" s="1"/>
  <c r="H1171" i="1"/>
  <c r="I1171" i="1" s="1"/>
  <c r="J1171" i="1" s="1"/>
  <c r="H1170" i="1"/>
  <c r="I1170" i="1" s="1"/>
  <c r="J1170" i="1" s="1"/>
  <c r="H1169" i="1"/>
  <c r="I1169" i="1" s="1"/>
  <c r="J1169" i="1" s="1"/>
  <c r="H1168" i="1"/>
  <c r="I1168" i="1" s="1"/>
  <c r="J1168" i="1" s="1"/>
  <c r="H1167" i="1"/>
  <c r="I1167" i="1" s="1"/>
  <c r="J1167" i="1" s="1"/>
  <c r="H1166" i="1"/>
  <c r="I1166" i="1" s="1"/>
  <c r="J1166" i="1" s="1"/>
  <c r="H1165" i="1"/>
  <c r="I1165" i="1" s="1"/>
  <c r="J1165" i="1" s="1"/>
  <c r="H1160" i="1"/>
  <c r="I1160" i="1" s="1"/>
  <c r="J1160" i="1" s="1"/>
  <c r="H1159" i="1"/>
  <c r="I1159" i="1" s="1"/>
  <c r="J1159" i="1" s="1"/>
  <c r="H1158" i="1"/>
  <c r="I1158" i="1" s="1"/>
  <c r="J1158" i="1" s="1"/>
  <c r="H1157" i="1"/>
  <c r="I1157" i="1" s="1"/>
  <c r="J1157" i="1" s="1"/>
  <c r="H1156" i="1"/>
  <c r="I1156" i="1" s="1"/>
  <c r="J1156" i="1" s="1"/>
  <c r="H1155" i="1"/>
  <c r="I1155" i="1" s="1"/>
  <c r="J1155" i="1" s="1"/>
  <c r="H1154" i="1"/>
  <c r="I1154" i="1" s="1"/>
  <c r="J1154" i="1" s="1"/>
  <c r="H1153" i="1"/>
  <c r="I1153" i="1" s="1"/>
  <c r="J1153" i="1" s="1"/>
  <c r="H1152" i="1"/>
  <c r="I1152" i="1" s="1"/>
  <c r="J1152" i="1" s="1"/>
  <c r="H1151" i="1"/>
  <c r="I1151" i="1" s="1"/>
  <c r="J1151" i="1" s="1"/>
  <c r="H1150" i="1"/>
  <c r="I1150" i="1" s="1"/>
  <c r="J1150" i="1" s="1"/>
  <c r="H1149" i="1"/>
  <c r="I1149" i="1" s="1"/>
  <c r="J1149" i="1" s="1"/>
  <c r="H1148" i="1"/>
  <c r="I1148" i="1" s="1"/>
  <c r="J1148" i="1" s="1"/>
  <c r="H1147" i="1"/>
  <c r="I1147" i="1" s="1"/>
  <c r="J1147" i="1" s="1"/>
  <c r="H1146" i="1"/>
  <c r="I1146" i="1" s="1"/>
  <c r="J1146" i="1" s="1"/>
  <c r="H1145" i="1"/>
  <c r="I1145" i="1" s="1"/>
  <c r="J1145" i="1" s="1"/>
  <c r="H1144" i="1"/>
  <c r="I1144" i="1" s="1"/>
  <c r="J1144" i="1" s="1"/>
  <c r="H1143" i="1"/>
  <c r="I1143" i="1" s="1"/>
  <c r="J1143" i="1" s="1"/>
  <c r="H1142" i="1"/>
  <c r="I1142" i="1" s="1"/>
  <c r="J1142" i="1" s="1"/>
  <c r="H1141" i="1"/>
  <c r="I1141" i="1" s="1"/>
  <c r="J1141" i="1" s="1"/>
  <c r="H1140" i="1"/>
  <c r="I1140" i="1" s="1"/>
  <c r="J1140" i="1" s="1"/>
  <c r="H1139" i="1"/>
  <c r="I1139" i="1" s="1"/>
  <c r="J1139" i="1" s="1"/>
  <c r="H1138" i="1"/>
  <c r="I1138" i="1" s="1"/>
  <c r="J1138" i="1" s="1"/>
  <c r="H1137" i="1"/>
  <c r="I1137" i="1" s="1"/>
  <c r="J1137" i="1" s="1"/>
  <c r="H1136" i="1"/>
  <c r="I1136" i="1" s="1"/>
  <c r="J1136" i="1" s="1"/>
  <c r="H1135" i="1"/>
  <c r="I1135" i="1" s="1"/>
  <c r="J1135" i="1" s="1"/>
  <c r="H1134" i="1"/>
  <c r="I1134" i="1" s="1"/>
  <c r="J1134" i="1" s="1"/>
  <c r="H1133" i="1"/>
  <c r="I1133" i="1" s="1"/>
  <c r="J1133" i="1" s="1"/>
  <c r="H1132" i="1"/>
  <c r="I1132" i="1" s="1"/>
  <c r="J1132" i="1" s="1"/>
  <c r="H1131" i="1"/>
  <c r="I1131" i="1" s="1"/>
  <c r="J1131" i="1" s="1"/>
  <c r="H1130" i="1"/>
  <c r="I1130" i="1" s="1"/>
  <c r="J1130" i="1" s="1"/>
  <c r="H1129" i="1"/>
  <c r="I1129" i="1" s="1"/>
  <c r="J1129" i="1" s="1"/>
  <c r="H1128" i="1"/>
  <c r="I1128" i="1" s="1"/>
  <c r="J1128" i="1" s="1"/>
  <c r="H1127" i="1"/>
  <c r="I1127" i="1" s="1"/>
  <c r="J1127" i="1" s="1"/>
  <c r="H1126" i="1"/>
  <c r="I1126" i="1" s="1"/>
  <c r="J1126" i="1" s="1"/>
  <c r="H1125" i="1"/>
  <c r="I1125" i="1" s="1"/>
  <c r="J1125" i="1" s="1"/>
  <c r="H1120" i="1"/>
  <c r="I1120" i="1" s="1"/>
  <c r="J1120" i="1" s="1"/>
  <c r="H1119" i="1"/>
  <c r="I1119" i="1" s="1"/>
  <c r="J1119" i="1" s="1"/>
  <c r="H1118" i="1"/>
  <c r="I1118" i="1" s="1"/>
  <c r="J1118" i="1" s="1"/>
  <c r="H1117" i="1"/>
  <c r="I1117" i="1" s="1"/>
  <c r="J1117" i="1" s="1"/>
  <c r="H1116" i="1"/>
  <c r="I1116" i="1" s="1"/>
  <c r="J1116" i="1" s="1"/>
  <c r="H1115" i="1"/>
  <c r="I1115" i="1" s="1"/>
  <c r="J1115" i="1" s="1"/>
  <c r="I1114" i="1"/>
  <c r="J1114" i="1" s="1"/>
  <c r="H1114" i="1"/>
  <c r="H1113" i="1"/>
  <c r="I1113" i="1" s="1"/>
  <c r="J1113" i="1" s="1"/>
  <c r="H1112" i="1"/>
  <c r="I1112" i="1" s="1"/>
  <c r="J1112" i="1" s="1"/>
  <c r="H1111" i="1"/>
  <c r="I1111" i="1" s="1"/>
  <c r="J1111" i="1" s="1"/>
  <c r="H1110" i="1"/>
  <c r="I1110" i="1" s="1"/>
  <c r="J1110" i="1" s="1"/>
  <c r="H1109" i="1"/>
  <c r="I1109" i="1" s="1"/>
  <c r="J1109" i="1" s="1"/>
  <c r="H1108" i="1"/>
  <c r="I1108" i="1" s="1"/>
  <c r="J1108" i="1" s="1"/>
  <c r="H1107" i="1"/>
  <c r="I1107" i="1" s="1"/>
  <c r="J1107" i="1" s="1"/>
  <c r="H1106" i="1"/>
  <c r="I1106" i="1" s="1"/>
  <c r="J1106" i="1" s="1"/>
  <c r="H1105" i="1"/>
  <c r="I1105" i="1" s="1"/>
  <c r="J1105" i="1" s="1"/>
  <c r="H1104" i="1"/>
  <c r="I1104" i="1" s="1"/>
  <c r="J1104" i="1" s="1"/>
  <c r="H1103" i="1"/>
  <c r="I1103" i="1" s="1"/>
  <c r="J1103" i="1" s="1"/>
  <c r="H1102" i="1"/>
  <c r="I1102" i="1" s="1"/>
  <c r="J1102" i="1" s="1"/>
  <c r="H1101" i="1"/>
  <c r="I1101" i="1" s="1"/>
  <c r="J1101" i="1" s="1"/>
  <c r="H1100" i="1"/>
  <c r="I1100" i="1" s="1"/>
  <c r="J1100" i="1" s="1"/>
  <c r="H1099" i="1"/>
  <c r="I1099" i="1" s="1"/>
  <c r="J1099" i="1" s="1"/>
  <c r="H1098" i="1"/>
  <c r="I1098" i="1" s="1"/>
  <c r="J1098" i="1" s="1"/>
  <c r="H1097" i="1"/>
  <c r="I1097" i="1" s="1"/>
  <c r="J1097" i="1" s="1"/>
  <c r="H1096" i="1"/>
  <c r="I1096" i="1" s="1"/>
  <c r="J1096" i="1" s="1"/>
  <c r="H1095" i="1"/>
  <c r="I1095" i="1" s="1"/>
  <c r="J1095" i="1" s="1"/>
  <c r="H1094" i="1"/>
  <c r="I1094" i="1" s="1"/>
  <c r="J1094" i="1" s="1"/>
  <c r="H1093" i="1"/>
  <c r="I1093" i="1" s="1"/>
  <c r="J1093" i="1" s="1"/>
  <c r="H1092" i="1"/>
  <c r="I1092" i="1" s="1"/>
  <c r="J1092" i="1" s="1"/>
  <c r="H1091" i="1"/>
  <c r="I1091" i="1" s="1"/>
  <c r="J1091" i="1" s="1"/>
  <c r="H1090" i="1"/>
  <c r="I1090" i="1" s="1"/>
  <c r="J1090" i="1" s="1"/>
  <c r="H1089" i="1"/>
  <c r="I1089" i="1" s="1"/>
  <c r="J1089" i="1" s="1"/>
  <c r="H1088" i="1"/>
  <c r="I1088" i="1" s="1"/>
  <c r="J1088" i="1" s="1"/>
  <c r="H1087" i="1"/>
  <c r="I1087" i="1" s="1"/>
  <c r="J1087" i="1" s="1"/>
  <c r="H1086" i="1"/>
  <c r="I1086" i="1" s="1"/>
  <c r="J1086" i="1" s="1"/>
  <c r="H1085" i="1"/>
  <c r="I1085" i="1" s="1"/>
  <c r="J1085" i="1" s="1"/>
  <c r="H1080" i="1"/>
  <c r="I1080" i="1" s="1"/>
  <c r="J1080" i="1" s="1"/>
  <c r="H1079" i="1"/>
  <c r="I1079" i="1" s="1"/>
  <c r="J1079" i="1" s="1"/>
  <c r="H1078" i="1"/>
  <c r="I1078" i="1" s="1"/>
  <c r="J1078" i="1" s="1"/>
  <c r="H1077" i="1"/>
  <c r="I1077" i="1" s="1"/>
  <c r="J1077" i="1" s="1"/>
  <c r="H1076" i="1"/>
  <c r="I1076" i="1" s="1"/>
  <c r="J1076" i="1" s="1"/>
  <c r="H1075" i="1"/>
  <c r="I1075" i="1" s="1"/>
  <c r="J1075" i="1" s="1"/>
  <c r="H1074" i="1"/>
  <c r="I1074" i="1" s="1"/>
  <c r="J1074" i="1" s="1"/>
  <c r="H1073" i="1"/>
  <c r="I1073" i="1" s="1"/>
  <c r="J1073" i="1" s="1"/>
  <c r="H1072" i="1"/>
  <c r="I1072" i="1" s="1"/>
  <c r="J1072" i="1" s="1"/>
  <c r="H1071" i="1"/>
  <c r="I1071" i="1" s="1"/>
  <c r="J1071" i="1" s="1"/>
  <c r="H1070" i="1"/>
  <c r="I1070" i="1" s="1"/>
  <c r="J1070" i="1" s="1"/>
  <c r="H1069" i="1"/>
  <c r="I1069" i="1" s="1"/>
  <c r="J1069" i="1" s="1"/>
  <c r="H1068" i="1"/>
  <c r="I1068" i="1" s="1"/>
  <c r="J1068" i="1" s="1"/>
  <c r="H1067" i="1"/>
  <c r="I1067" i="1" s="1"/>
  <c r="J1067" i="1" s="1"/>
  <c r="H1066" i="1"/>
  <c r="I1066" i="1" s="1"/>
  <c r="J1066" i="1" s="1"/>
  <c r="H1065" i="1"/>
  <c r="I1065" i="1" s="1"/>
  <c r="J1065" i="1" s="1"/>
  <c r="H1064" i="1"/>
  <c r="I1064" i="1" s="1"/>
  <c r="J1064" i="1" s="1"/>
  <c r="H1063" i="1"/>
  <c r="I1063" i="1" s="1"/>
  <c r="J1063" i="1" s="1"/>
  <c r="H1062" i="1"/>
  <c r="I1062" i="1" s="1"/>
  <c r="J1062" i="1" s="1"/>
  <c r="H1061" i="1"/>
  <c r="I1061" i="1" s="1"/>
  <c r="J1061" i="1" s="1"/>
  <c r="H1060" i="1"/>
  <c r="I1060" i="1" s="1"/>
  <c r="J1060" i="1" s="1"/>
  <c r="H1059" i="1"/>
  <c r="I1059" i="1" s="1"/>
  <c r="J1059" i="1" s="1"/>
  <c r="H1058" i="1"/>
  <c r="I1058" i="1" s="1"/>
  <c r="J1058" i="1" s="1"/>
  <c r="H1057" i="1"/>
  <c r="I1057" i="1" s="1"/>
  <c r="J1057" i="1" s="1"/>
  <c r="H1056" i="1"/>
  <c r="I1056" i="1" s="1"/>
  <c r="J1056" i="1" s="1"/>
  <c r="H1055" i="1"/>
  <c r="I1055" i="1" s="1"/>
  <c r="J1055" i="1" s="1"/>
  <c r="H1054" i="1"/>
  <c r="I1054" i="1" s="1"/>
  <c r="J1054" i="1" s="1"/>
  <c r="H1053" i="1"/>
  <c r="I1053" i="1" s="1"/>
  <c r="J1053" i="1" s="1"/>
  <c r="H1052" i="1"/>
  <c r="I1052" i="1" s="1"/>
  <c r="J1052" i="1" s="1"/>
  <c r="H1051" i="1"/>
  <c r="I1051" i="1" s="1"/>
  <c r="J1051" i="1" s="1"/>
  <c r="H1050" i="1"/>
  <c r="I1050" i="1" s="1"/>
  <c r="J1050" i="1" s="1"/>
  <c r="H1049" i="1"/>
  <c r="I1049" i="1" s="1"/>
  <c r="J1049" i="1" s="1"/>
  <c r="H1048" i="1"/>
  <c r="I1048" i="1" s="1"/>
  <c r="J1048" i="1" s="1"/>
  <c r="I1047" i="1"/>
  <c r="J1047" i="1" s="1"/>
  <c r="H1047" i="1"/>
  <c r="H1046" i="1"/>
  <c r="I1046" i="1" s="1"/>
  <c r="J1046" i="1" s="1"/>
  <c r="H1045" i="1"/>
  <c r="I1045" i="1" s="1"/>
  <c r="J1045" i="1" s="1"/>
  <c r="H1040" i="1"/>
  <c r="I1040" i="1" s="1"/>
  <c r="J1040" i="1" s="1"/>
  <c r="H1039" i="1"/>
  <c r="I1039" i="1" s="1"/>
  <c r="J1039" i="1" s="1"/>
  <c r="H1038" i="1"/>
  <c r="I1038" i="1" s="1"/>
  <c r="J1038" i="1" s="1"/>
  <c r="H1037" i="1"/>
  <c r="I1037" i="1" s="1"/>
  <c r="J1037" i="1" s="1"/>
  <c r="H1036" i="1"/>
  <c r="I1036" i="1" s="1"/>
  <c r="J1036" i="1" s="1"/>
  <c r="H1035" i="1"/>
  <c r="I1035" i="1" s="1"/>
  <c r="J1035" i="1" s="1"/>
  <c r="H1034" i="1"/>
  <c r="I1034" i="1" s="1"/>
  <c r="J1034" i="1" s="1"/>
  <c r="H1033" i="1"/>
  <c r="I1033" i="1" s="1"/>
  <c r="J1033" i="1" s="1"/>
  <c r="H1032" i="1"/>
  <c r="I1032" i="1" s="1"/>
  <c r="J1032" i="1" s="1"/>
  <c r="H1031" i="1"/>
  <c r="I1031" i="1" s="1"/>
  <c r="J1031" i="1" s="1"/>
  <c r="H1030" i="1"/>
  <c r="I1030" i="1" s="1"/>
  <c r="J1030" i="1" s="1"/>
  <c r="H1029" i="1"/>
  <c r="I1029" i="1" s="1"/>
  <c r="J1029" i="1" s="1"/>
  <c r="H1028" i="1"/>
  <c r="I1028" i="1" s="1"/>
  <c r="J1028" i="1" s="1"/>
  <c r="H1027" i="1"/>
  <c r="I1027" i="1" s="1"/>
  <c r="J1027" i="1" s="1"/>
  <c r="H1026" i="1"/>
  <c r="I1026" i="1" s="1"/>
  <c r="J1026" i="1" s="1"/>
  <c r="H1025" i="1"/>
  <c r="I1025" i="1" s="1"/>
  <c r="J1025" i="1" s="1"/>
  <c r="J1024" i="1"/>
  <c r="H1024" i="1"/>
  <c r="I1024" i="1" s="1"/>
  <c r="H1023" i="1"/>
  <c r="I1023" i="1" s="1"/>
  <c r="J1023" i="1" s="1"/>
  <c r="H1022" i="1"/>
  <c r="I1022" i="1" s="1"/>
  <c r="J1022" i="1" s="1"/>
  <c r="H1021" i="1"/>
  <c r="I1021" i="1" s="1"/>
  <c r="J1021" i="1" s="1"/>
  <c r="H1020" i="1"/>
  <c r="I1020" i="1" s="1"/>
  <c r="J1020" i="1" s="1"/>
  <c r="H1019" i="1"/>
  <c r="I1019" i="1" s="1"/>
  <c r="J1019" i="1" s="1"/>
  <c r="H1018" i="1"/>
  <c r="I1018" i="1" s="1"/>
  <c r="J1018" i="1" s="1"/>
  <c r="H1017" i="1"/>
  <c r="I1017" i="1" s="1"/>
  <c r="J1017" i="1" s="1"/>
  <c r="H1016" i="1"/>
  <c r="I1016" i="1" s="1"/>
  <c r="J1016" i="1" s="1"/>
  <c r="H1015" i="1"/>
  <c r="I1015" i="1" s="1"/>
  <c r="J1015" i="1" s="1"/>
  <c r="H1014" i="1"/>
  <c r="I1014" i="1" s="1"/>
  <c r="J1014" i="1" s="1"/>
  <c r="H1013" i="1"/>
  <c r="I1013" i="1" s="1"/>
  <c r="J1013" i="1" s="1"/>
  <c r="H1012" i="1"/>
  <c r="I1012" i="1" s="1"/>
  <c r="J1012" i="1" s="1"/>
  <c r="H1011" i="1"/>
  <c r="I1011" i="1" s="1"/>
  <c r="J1011" i="1" s="1"/>
  <c r="H1010" i="1"/>
  <c r="I1010" i="1" s="1"/>
  <c r="J1010" i="1" s="1"/>
  <c r="H1009" i="1"/>
  <c r="I1009" i="1" s="1"/>
  <c r="J1009" i="1" s="1"/>
  <c r="H1008" i="1"/>
  <c r="I1008" i="1" s="1"/>
  <c r="J1008" i="1" s="1"/>
  <c r="H1007" i="1"/>
  <c r="I1007" i="1" s="1"/>
  <c r="J1007" i="1" s="1"/>
  <c r="H1006" i="1"/>
  <c r="I1006" i="1" s="1"/>
  <c r="J1006" i="1" s="1"/>
  <c r="H1005" i="1"/>
  <c r="I1005" i="1" s="1"/>
  <c r="J1005" i="1" s="1"/>
  <c r="H1000" i="1"/>
  <c r="I1000" i="1" s="1"/>
  <c r="J1000" i="1" s="1"/>
  <c r="H999" i="1"/>
  <c r="I999" i="1" s="1"/>
  <c r="J999" i="1" s="1"/>
  <c r="H998" i="1"/>
  <c r="I998" i="1" s="1"/>
  <c r="J998" i="1" s="1"/>
  <c r="H997" i="1"/>
  <c r="I997" i="1" s="1"/>
  <c r="J997" i="1" s="1"/>
  <c r="H996" i="1"/>
  <c r="I996" i="1" s="1"/>
  <c r="J996" i="1" s="1"/>
  <c r="H995" i="1"/>
  <c r="I995" i="1" s="1"/>
  <c r="J995" i="1" s="1"/>
  <c r="H994" i="1"/>
  <c r="I994" i="1" s="1"/>
  <c r="J994" i="1" s="1"/>
  <c r="H993" i="1"/>
  <c r="I993" i="1" s="1"/>
  <c r="J993" i="1" s="1"/>
  <c r="H992" i="1"/>
  <c r="I992" i="1" s="1"/>
  <c r="J992" i="1" s="1"/>
  <c r="H991" i="1"/>
  <c r="I991" i="1" s="1"/>
  <c r="J991" i="1" s="1"/>
  <c r="H990" i="1"/>
  <c r="I990" i="1" s="1"/>
  <c r="J990" i="1" s="1"/>
  <c r="H989" i="1"/>
  <c r="I989" i="1" s="1"/>
  <c r="J989" i="1" s="1"/>
  <c r="H988" i="1"/>
  <c r="I988" i="1" s="1"/>
  <c r="J988" i="1" s="1"/>
  <c r="H987" i="1"/>
  <c r="I987" i="1" s="1"/>
  <c r="J987" i="1" s="1"/>
  <c r="H986" i="1"/>
  <c r="I986" i="1" s="1"/>
  <c r="J986" i="1" s="1"/>
  <c r="H985" i="1"/>
  <c r="I985" i="1" s="1"/>
  <c r="J985" i="1" s="1"/>
  <c r="H984" i="1"/>
  <c r="I984" i="1" s="1"/>
  <c r="J984" i="1" s="1"/>
  <c r="H983" i="1"/>
  <c r="I983" i="1" s="1"/>
  <c r="J983" i="1" s="1"/>
  <c r="H982" i="1"/>
  <c r="I982" i="1" s="1"/>
  <c r="J982" i="1" s="1"/>
  <c r="H981" i="1"/>
  <c r="I981" i="1" s="1"/>
  <c r="J981" i="1" s="1"/>
  <c r="H980" i="1"/>
  <c r="I980" i="1" s="1"/>
  <c r="J980" i="1" s="1"/>
  <c r="H979" i="1"/>
  <c r="I979" i="1" s="1"/>
  <c r="J979" i="1" s="1"/>
  <c r="H978" i="1"/>
  <c r="I978" i="1" s="1"/>
  <c r="J978" i="1" s="1"/>
  <c r="H977" i="1"/>
  <c r="I977" i="1" s="1"/>
  <c r="J977" i="1" s="1"/>
  <c r="H976" i="1"/>
  <c r="I976" i="1" s="1"/>
  <c r="J976" i="1" s="1"/>
  <c r="H975" i="1"/>
  <c r="I975" i="1" s="1"/>
  <c r="J975" i="1" s="1"/>
  <c r="H974" i="1"/>
  <c r="I974" i="1" s="1"/>
  <c r="J974" i="1" s="1"/>
  <c r="H973" i="1"/>
  <c r="I973" i="1" s="1"/>
  <c r="J973" i="1" s="1"/>
  <c r="H972" i="1"/>
  <c r="I972" i="1" s="1"/>
  <c r="J972" i="1" s="1"/>
  <c r="H971" i="1"/>
  <c r="I971" i="1" s="1"/>
  <c r="J971" i="1" s="1"/>
  <c r="H970" i="1"/>
  <c r="I970" i="1" s="1"/>
  <c r="J970" i="1" s="1"/>
  <c r="H969" i="1"/>
  <c r="I969" i="1" s="1"/>
  <c r="J969" i="1" s="1"/>
  <c r="H968" i="1"/>
  <c r="I968" i="1" s="1"/>
  <c r="J968" i="1" s="1"/>
  <c r="H967" i="1"/>
  <c r="I967" i="1" s="1"/>
  <c r="J967" i="1" s="1"/>
  <c r="H966" i="1"/>
  <c r="I966" i="1" s="1"/>
  <c r="J966" i="1" s="1"/>
  <c r="H965" i="1"/>
  <c r="I965" i="1" s="1"/>
  <c r="J965" i="1" s="1"/>
  <c r="H960" i="1"/>
  <c r="I960" i="1" s="1"/>
  <c r="J960" i="1" s="1"/>
  <c r="H959" i="1"/>
  <c r="I959" i="1" s="1"/>
  <c r="J959" i="1" s="1"/>
  <c r="H958" i="1"/>
  <c r="I958" i="1" s="1"/>
  <c r="J958" i="1" s="1"/>
  <c r="H957" i="1"/>
  <c r="I957" i="1" s="1"/>
  <c r="J957" i="1" s="1"/>
  <c r="H956" i="1"/>
  <c r="I956" i="1" s="1"/>
  <c r="J956" i="1" s="1"/>
  <c r="I955" i="1"/>
  <c r="J955" i="1" s="1"/>
  <c r="H955" i="1"/>
  <c r="H954" i="1"/>
  <c r="I954" i="1" s="1"/>
  <c r="J954" i="1" s="1"/>
  <c r="H953" i="1"/>
  <c r="I953" i="1" s="1"/>
  <c r="J953" i="1" s="1"/>
  <c r="H952" i="1"/>
  <c r="I952" i="1" s="1"/>
  <c r="J952" i="1" s="1"/>
  <c r="H951" i="1"/>
  <c r="I951" i="1" s="1"/>
  <c r="J951" i="1" s="1"/>
  <c r="H950" i="1"/>
  <c r="I950" i="1" s="1"/>
  <c r="J950" i="1" s="1"/>
  <c r="H949" i="1"/>
  <c r="I949" i="1" s="1"/>
  <c r="J949" i="1" s="1"/>
  <c r="H948" i="1"/>
  <c r="I948" i="1" s="1"/>
  <c r="J948" i="1" s="1"/>
  <c r="H947" i="1"/>
  <c r="I947" i="1" s="1"/>
  <c r="J947" i="1" s="1"/>
  <c r="H946" i="1"/>
  <c r="I946" i="1" s="1"/>
  <c r="J946" i="1" s="1"/>
  <c r="H945" i="1"/>
  <c r="I945" i="1" s="1"/>
  <c r="J945" i="1" s="1"/>
  <c r="H944" i="1"/>
  <c r="I944" i="1" s="1"/>
  <c r="J944" i="1" s="1"/>
  <c r="H943" i="1"/>
  <c r="I943" i="1" s="1"/>
  <c r="J943" i="1" s="1"/>
  <c r="H942" i="1"/>
  <c r="I942" i="1" s="1"/>
  <c r="J942" i="1" s="1"/>
  <c r="H941" i="1"/>
  <c r="I941" i="1" s="1"/>
  <c r="J941" i="1" s="1"/>
  <c r="H940" i="1"/>
  <c r="I940" i="1" s="1"/>
  <c r="J940" i="1" s="1"/>
  <c r="H939" i="1"/>
  <c r="I939" i="1" s="1"/>
  <c r="J939" i="1" s="1"/>
  <c r="H938" i="1"/>
  <c r="I938" i="1" s="1"/>
  <c r="J938" i="1" s="1"/>
  <c r="H937" i="1"/>
  <c r="I937" i="1" s="1"/>
  <c r="J937" i="1" s="1"/>
  <c r="H936" i="1"/>
  <c r="I936" i="1" s="1"/>
  <c r="J936" i="1" s="1"/>
  <c r="H935" i="1"/>
  <c r="I935" i="1" s="1"/>
  <c r="J935" i="1" s="1"/>
  <c r="H934" i="1"/>
  <c r="I934" i="1" s="1"/>
  <c r="J934" i="1" s="1"/>
  <c r="H933" i="1"/>
  <c r="I933" i="1" s="1"/>
  <c r="J933" i="1" s="1"/>
  <c r="H932" i="1"/>
  <c r="I932" i="1" s="1"/>
  <c r="J932" i="1" s="1"/>
  <c r="H931" i="1"/>
  <c r="I931" i="1" s="1"/>
  <c r="J931" i="1" s="1"/>
  <c r="H930" i="1"/>
  <c r="I930" i="1" s="1"/>
  <c r="J930" i="1" s="1"/>
  <c r="H929" i="1"/>
  <c r="I929" i="1" s="1"/>
  <c r="J929" i="1" s="1"/>
  <c r="H928" i="1"/>
  <c r="I928" i="1" s="1"/>
  <c r="J928" i="1" s="1"/>
  <c r="H927" i="1"/>
  <c r="I927" i="1" s="1"/>
  <c r="J927" i="1" s="1"/>
  <c r="H926" i="1"/>
  <c r="I926" i="1" s="1"/>
  <c r="J926" i="1" s="1"/>
  <c r="H925" i="1"/>
  <c r="I925" i="1" s="1"/>
  <c r="J925" i="1" s="1"/>
  <c r="H920" i="1"/>
  <c r="I920" i="1" s="1"/>
  <c r="J920" i="1" s="1"/>
  <c r="H919" i="1"/>
  <c r="I919" i="1" s="1"/>
  <c r="J919" i="1" s="1"/>
  <c r="H918" i="1"/>
  <c r="I918" i="1" s="1"/>
  <c r="J918" i="1" s="1"/>
  <c r="H917" i="1"/>
  <c r="I917" i="1" s="1"/>
  <c r="J917" i="1" s="1"/>
  <c r="H916" i="1"/>
  <c r="I916" i="1" s="1"/>
  <c r="J916" i="1" s="1"/>
  <c r="H915" i="1"/>
  <c r="I915" i="1" s="1"/>
  <c r="J915" i="1" s="1"/>
  <c r="H914" i="1"/>
  <c r="I914" i="1" s="1"/>
  <c r="J914" i="1" s="1"/>
  <c r="H913" i="1"/>
  <c r="I913" i="1" s="1"/>
  <c r="J913" i="1" s="1"/>
  <c r="H912" i="1"/>
  <c r="I912" i="1" s="1"/>
  <c r="J912" i="1" s="1"/>
  <c r="H911" i="1"/>
  <c r="I911" i="1" s="1"/>
  <c r="J911" i="1" s="1"/>
  <c r="H910" i="1"/>
  <c r="I910" i="1" s="1"/>
  <c r="J910" i="1" s="1"/>
  <c r="H909" i="1"/>
  <c r="I909" i="1" s="1"/>
  <c r="J909" i="1" s="1"/>
  <c r="H908" i="1"/>
  <c r="I908" i="1" s="1"/>
  <c r="J908" i="1" s="1"/>
  <c r="H907" i="1"/>
  <c r="I907" i="1" s="1"/>
  <c r="J907" i="1" s="1"/>
  <c r="H906" i="1"/>
  <c r="I906" i="1" s="1"/>
  <c r="J906" i="1" s="1"/>
  <c r="H905" i="1"/>
  <c r="I905" i="1" s="1"/>
  <c r="J905" i="1" s="1"/>
  <c r="H904" i="1"/>
  <c r="I904" i="1" s="1"/>
  <c r="J904" i="1" s="1"/>
  <c r="H903" i="1"/>
  <c r="I903" i="1" s="1"/>
  <c r="J903" i="1" s="1"/>
  <c r="H902" i="1"/>
  <c r="I902" i="1" s="1"/>
  <c r="J902" i="1" s="1"/>
  <c r="H901" i="1"/>
  <c r="I901" i="1" s="1"/>
  <c r="J901" i="1" s="1"/>
  <c r="H900" i="1"/>
  <c r="I900" i="1" s="1"/>
  <c r="J900" i="1" s="1"/>
  <c r="H899" i="1"/>
  <c r="I899" i="1" s="1"/>
  <c r="J899" i="1" s="1"/>
  <c r="H898" i="1"/>
  <c r="I898" i="1" s="1"/>
  <c r="J898" i="1" s="1"/>
  <c r="H897" i="1"/>
  <c r="I897" i="1" s="1"/>
  <c r="J897" i="1" s="1"/>
  <c r="H896" i="1"/>
  <c r="I896" i="1" s="1"/>
  <c r="J896" i="1" s="1"/>
  <c r="H895" i="1"/>
  <c r="I895" i="1" s="1"/>
  <c r="J895" i="1" s="1"/>
  <c r="H894" i="1"/>
  <c r="I894" i="1" s="1"/>
  <c r="J894" i="1" s="1"/>
  <c r="H893" i="1"/>
  <c r="I893" i="1" s="1"/>
  <c r="J893" i="1" s="1"/>
  <c r="H892" i="1"/>
  <c r="I892" i="1" s="1"/>
  <c r="J892" i="1" s="1"/>
  <c r="H891" i="1"/>
  <c r="I891" i="1" s="1"/>
  <c r="J891" i="1" s="1"/>
  <c r="H890" i="1"/>
  <c r="I890" i="1" s="1"/>
  <c r="J890" i="1" s="1"/>
  <c r="H889" i="1"/>
  <c r="I889" i="1" s="1"/>
  <c r="J889" i="1" s="1"/>
  <c r="H888" i="1"/>
  <c r="I888" i="1" s="1"/>
  <c r="J888" i="1" s="1"/>
  <c r="H887" i="1"/>
  <c r="I887" i="1" s="1"/>
  <c r="J887" i="1" s="1"/>
  <c r="H886" i="1"/>
  <c r="I886" i="1" s="1"/>
  <c r="J886" i="1" s="1"/>
  <c r="I885" i="1"/>
  <c r="J885" i="1" s="1"/>
  <c r="H885" i="1"/>
  <c r="H880" i="1"/>
  <c r="I880" i="1" s="1"/>
  <c r="J880" i="1" s="1"/>
  <c r="H879" i="1"/>
  <c r="I879" i="1" s="1"/>
  <c r="J879" i="1" s="1"/>
  <c r="H878" i="1"/>
  <c r="I878" i="1" s="1"/>
  <c r="J878" i="1" s="1"/>
  <c r="H877" i="1"/>
  <c r="I877" i="1" s="1"/>
  <c r="J877" i="1" s="1"/>
  <c r="H876" i="1"/>
  <c r="I876" i="1" s="1"/>
  <c r="J876" i="1" s="1"/>
  <c r="H875" i="1"/>
  <c r="I875" i="1" s="1"/>
  <c r="J875" i="1" s="1"/>
  <c r="H874" i="1"/>
  <c r="I874" i="1" s="1"/>
  <c r="J874" i="1" s="1"/>
  <c r="H873" i="1"/>
  <c r="I873" i="1" s="1"/>
  <c r="J873" i="1" s="1"/>
  <c r="H872" i="1"/>
  <c r="I872" i="1" s="1"/>
  <c r="J872" i="1" s="1"/>
  <c r="H871" i="1"/>
  <c r="I871" i="1" s="1"/>
  <c r="J871" i="1" s="1"/>
  <c r="H870" i="1"/>
  <c r="I870" i="1" s="1"/>
  <c r="J870" i="1" s="1"/>
  <c r="H869" i="1"/>
  <c r="I869" i="1" s="1"/>
  <c r="J869" i="1" s="1"/>
  <c r="H868" i="1"/>
  <c r="I868" i="1" s="1"/>
  <c r="J868" i="1" s="1"/>
  <c r="H867" i="1"/>
  <c r="I867" i="1" s="1"/>
  <c r="J867" i="1" s="1"/>
  <c r="H866" i="1"/>
  <c r="I866" i="1" s="1"/>
  <c r="J866" i="1" s="1"/>
  <c r="H865" i="1"/>
  <c r="I865" i="1" s="1"/>
  <c r="J865" i="1" s="1"/>
  <c r="H864" i="1"/>
  <c r="I864" i="1" s="1"/>
  <c r="J864" i="1" s="1"/>
  <c r="H863" i="1"/>
  <c r="I863" i="1" s="1"/>
  <c r="J863" i="1" s="1"/>
  <c r="H862" i="1"/>
  <c r="I862" i="1" s="1"/>
  <c r="J862" i="1" s="1"/>
  <c r="H861" i="1"/>
  <c r="I861" i="1" s="1"/>
  <c r="J861" i="1" s="1"/>
  <c r="H860" i="1"/>
  <c r="I860" i="1" s="1"/>
  <c r="J860" i="1" s="1"/>
  <c r="H859" i="1"/>
  <c r="I859" i="1" s="1"/>
  <c r="J859" i="1" s="1"/>
  <c r="H858" i="1"/>
  <c r="I858" i="1" s="1"/>
  <c r="J858" i="1" s="1"/>
  <c r="H857" i="1"/>
  <c r="I857" i="1" s="1"/>
  <c r="J857" i="1" s="1"/>
  <c r="H856" i="1"/>
  <c r="I856" i="1" s="1"/>
  <c r="J856" i="1" s="1"/>
  <c r="H855" i="1"/>
  <c r="I855" i="1" s="1"/>
  <c r="J855" i="1" s="1"/>
  <c r="H854" i="1"/>
  <c r="I854" i="1" s="1"/>
  <c r="J854" i="1" s="1"/>
  <c r="H853" i="1"/>
  <c r="I853" i="1" s="1"/>
  <c r="J853" i="1" s="1"/>
  <c r="H852" i="1"/>
  <c r="I852" i="1" s="1"/>
  <c r="J852" i="1" s="1"/>
  <c r="H851" i="1"/>
  <c r="I851" i="1" s="1"/>
  <c r="J851" i="1" s="1"/>
  <c r="H850" i="1"/>
  <c r="I850" i="1" s="1"/>
  <c r="J850" i="1" s="1"/>
  <c r="H849" i="1"/>
  <c r="I849" i="1" s="1"/>
  <c r="J849" i="1" s="1"/>
  <c r="H848" i="1"/>
  <c r="I848" i="1" s="1"/>
  <c r="J848" i="1" s="1"/>
  <c r="H847" i="1"/>
  <c r="I847" i="1" s="1"/>
  <c r="J847" i="1" s="1"/>
  <c r="H846" i="1"/>
  <c r="I846" i="1" s="1"/>
  <c r="J846" i="1" s="1"/>
  <c r="H845" i="1"/>
  <c r="I845" i="1" s="1"/>
  <c r="J845" i="1" s="1"/>
  <c r="H840" i="1"/>
  <c r="I840" i="1" s="1"/>
  <c r="J840" i="1" s="1"/>
  <c r="I839" i="1"/>
  <c r="J839" i="1" s="1"/>
  <c r="H839" i="1"/>
  <c r="H838" i="1"/>
  <c r="I838" i="1" s="1"/>
  <c r="J838" i="1" s="1"/>
  <c r="H837" i="1"/>
  <c r="I837" i="1" s="1"/>
  <c r="J837" i="1" s="1"/>
  <c r="H836" i="1"/>
  <c r="I836" i="1" s="1"/>
  <c r="J836" i="1" s="1"/>
  <c r="H835" i="1"/>
  <c r="I835" i="1" s="1"/>
  <c r="J835" i="1" s="1"/>
  <c r="H834" i="1"/>
  <c r="I834" i="1" s="1"/>
  <c r="J834" i="1" s="1"/>
  <c r="H833" i="1"/>
  <c r="I833" i="1" s="1"/>
  <c r="J833" i="1" s="1"/>
  <c r="H832" i="1"/>
  <c r="I832" i="1" s="1"/>
  <c r="J832" i="1" s="1"/>
  <c r="H831" i="1"/>
  <c r="I831" i="1" s="1"/>
  <c r="J831" i="1" s="1"/>
  <c r="H830" i="1"/>
  <c r="I830" i="1" s="1"/>
  <c r="J830" i="1" s="1"/>
  <c r="H829" i="1"/>
  <c r="I829" i="1" s="1"/>
  <c r="J829" i="1" s="1"/>
  <c r="H828" i="1"/>
  <c r="I828" i="1" s="1"/>
  <c r="J828" i="1" s="1"/>
  <c r="H827" i="1"/>
  <c r="I827" i="1" s="1"/>
  <c r="J827" i="1" s="1"/>
  <c r="H826" i="1"/>
  <c r="I826" i="1" s="1"/>
  <c r="J826" i="1" s="1"/>
  <c r="H825" i="1"/>
  <c r="I825" i="1" s="1"/>
  <c r="J825" i="1" s="1"/>
  <c r="H824" i="1"/>
  <c r="I824" i="1" s="1"/>
  <c r="J824" i="1" s="1"/>
  <c r="H823" i="1"/>
  <c r="I823" i="1" s="1"/>
  <c r="J823" i="1" s="1"/>
  <c r="H822" i="1"/>
  <c r="I822" i="1" s="1"/>
  <c r="J822" i="1" s="1"/>
  <c r="H821" i="1"/>
  <c r="I821" i="1" s="1"/>
  <c r="J821" i="1" s="1"/>
  <c r="H820" i="1"/>
  <c r="I820" i="1" s="1"/>
  <c r="J820" i="1" s="1"/>
  <c r="H819" i="1"/>
  <c r="I819" i="1" s="1"/>
  <c r="J819" i="1" s="1"/>
  <c r="H818" i="1"/>
  <c r="I818" i="1" s="1"/>
  <c r="J818" i="1" s="1"/>
  <c r="H817" i="1"/>
  <c r="I817" i="1" s="1"/>
  <c r="J817" i="1" s="1"/>
  <c r="H816" i="1"/>
  <c r="I816" i="1" s="1"/>
  <c r="J816" i="1" s="1"/>
  <c r="H815" i="1"/>
  <c r="I815" i="1" s="1"/>
  <c r="J815" i="1" s="1"/>
  <c r="H814" i="1"/>
  <c r="I814" i="1" s="1"/>
  <c r="J814" i="1" s="1"/>
  <c r="H813" i="1"/>
  <c r="I813" i="1" s="1"/>
  <c r="J813" i="1" s="1"/>
  <c r="H812" i="1"/>
  <c r="I812" i="1" s="1"/>
  <c r="J812" i="1" s="1"/>
  <c r="H811" i="1"/>
  <c r="I811" i="1" s="1"/>
  <c r="J811" i="1" s="1"/>
  <c r="H810" i="1"/>
  <c r="I810" i="1" s="1"/>
  <c r="J810" i="1" s="1"/>
  <c r="H809" i="1"/>
  <c r="I809" i="1" s="1"/>
  <c r="J809" i="1" s="1"/>
  <c r="H808" i="1"/>
  <c r="I808" i="1" s="1"/>
  <c r="J808" i="1" s="1"/>
  <c r="H807" i="1"/>
  <c r="I807" i="1" s="1"/>
  <c r="J807" i="1" s="1"/>
  <c r="H806" i="1"/>
  <c r="I806" i="1" s="1"/>
  <c r="J806" i="1" s="1"/>
  <c r="H805" i="1"/>
  <c r="I805" i="1" s="1"/>
  <c r="J805" i="1" s="1"/>
  <c r="H800" i="1"/>
  <c r="I800" i="1" s="1"/>
  <c r="J800" i="1" s="1"/>
  <c r="H799" i="1"/>
  <c r="I799" i="1" s="1"/>
  <c r="J799" i="1" s="1"/>
  <c r="H798" i="1"/>
  <c r="I798" i="1" s="1"/>
  <c r="J798" i="1" s="1"/>
  <c r="H797" i="1"/>
  <c r="I797" i="1" s="1"/>
  <c r="J797" i="1" s="1"/>
  <c r="I796" i="1"/>
  <c r="J796" i="1" s="1"/>
  <c r="H796" i="1"/>
  <c r="H795" i="1"/>
  <c r="I795" i="1" s="1"/>
  <c r="J795" i="1" s="1"/>
  <c r="H794" i="1"/>
  <c r="I794" i="1" s="1"/>
  <c r="J794" i="1" s="1"/>
  <c r="H793" i="1"/>
  <c r="I793" i="1" s="1"/>
  <c r="J793" i="1" s="1"/>
  <c r="H792" i="1"/>
  <c r="I792" i="1" s="1"/>
  <c r="J792" i="1" s="1"/>
  <c r="H791" i="1"/>
  <c r="I791" i="1" s="1"/>
  <c r="J791" i="1" s="1"/>
  <c r="H790" i="1"/>
  <c r="I790" i="1" s="1"/>
  <c r="J790" i="1" s="1"/>
  <c r="H789" i="1"/>
  <c r="I789" i="1" s="1"/>
  <c r="J789" i="1" s="1"/>
  <c r="H788" i="1"/>
  <c r="I788" i="1" s="1"/>
  <c r="J788" i="1" s="1"/>
  <c r="H787" i="1"/>
  <c r="I787" i="1" s="1"/>
  <c r="J787" i="1" s="1"/>
  <c r="H786" i="1"/>
  <c r="I786" i="1" s="1"/>
  <c r="J786" i="1" s="1"/>
  <c r="H785" i="1"/>
  <c r="I785" i="1" s="1"/>
  <c r="J785" i="1" s="1"/>
  <c r="H784" i="1"/>
  <c r="I784" i="1" s="1"/>
  <c r="J784" i="1" s="1"/>
  <c r="H783" i="1"/>
  <c r="I783" i="1" s="1"/>
  <c r="J783" i="1" s="1"/>
  <c r="H782" i="1"/>
  <c r="I782" i="1" s="1"/>
  <c r="J782" i="1" s="1"/>
  <c r="H781" i="1"/>
  <c r="I781" i="1" s="1"/>
  <c r="J781" i="1" s="1"/>
  <c r="H780" i="1"/>
  <c r="I780" i="1" s="1"/>
  <c r="J780" i="1" s="1"/>
  <c r="H779" i="1"/>
  <c r="I779" i="1" s="1"/>
  <c r="J779" i="1" s="1"/>
  <c r="H778" i="1"/>
  <c r="I778" i="1" s="1"/>
  <c r="J778" i="1" s="1"/>
  <c r="H777" i="1"/>
  <c r="I777" i="1" s="1"/>
  <c r="J777" i="1" s="1"/>
  <c r="H776" i="1"/>
  <c r="I776" i="1" s="1"/>
  <c r="J776" i="1" s="1"/>
  <c r="H775" i="1"/>
  <c r="I775" i="1" s="1"/>
  <c r="J775" i="1" s="1"/>
  <c r="H774" i="1"/>
  <c r="I774" i="1" s="1"/>
  <c r="J774" i="1" s="1"/>
  <c r="H773" i="1"/>
  <c r="I773" i="1" s="1"/>
  <c r="J773" i="1" s="1"/>
  <c r="H772" i="1"/>
  <c r="I772" i="1" s="1"/>
  <c r="J772" i="1" s="1"/>
  <c r="H771" i="1"/>
  <c r="I771" i="1" s="1"/>
  <c r="J771" i="1" s="1"/>
  <c r="H770" i="1"/>
  <c r="I770" i="1" s="1"/>
  <c r="J770" i="1" s="1"/>
  <c r="H769" i="1"/>
  <c r="I769" i="1" s="1"/>
  <c r="J769" i="1" s="1"/>
  <c r="H768" i="1"/>
  <c r="I768" i="1" s="1"/>
  <c r="J768" i="1" s="1"/>
  <c r="H767" i="1"/>
  <c r="I767" i="1" s="1"/>
  <c r="J767" i="1" s="1"/>
  <c r="H766" i="1"/>
  <c r="I766" i="1" s="1"/>
  <c r="J766" i="1" s="1"/>
  <c r="H765" i="1"/>
  <c r="I765" i="1" s="1"/>
  <c r="J765" i="1" s="1"/>
  <c r="H760" i="1"/>
  <c r="I760" i="1" s="1"/>
  <c r="J760" i="1" s="1"/>
  <c r="H759" i="1"/>
  <c r="I759" i="1" s="1"/>
  <c r="J759" i="1" s="1"/>
  <c r="H758" i="1"/>
  <c r="I758" i="1" s="1"/>
  <c r="J758" i="1" s="1"/>
  <c r="H757" i="1"/>
  <c r="I757" i="1" s="1"/>
  <c r="J757" i="1" s="1"/>
  <c r="H756" i="1"/>
  <c r="I756" i="1" s="1"/>
  <c r="J756" i="1" s="1"/>
  <c r="H755" i="1"/>
  <c r="I755" i="1" s="1"/>
  <c r="J755" i="1" s="1"/>
  <c r="H754" i="1"/>
  <c r="I754" i="1" s="1"/>
  <c r="J754" i="1" s="1"/>
  <c r="H753" i="1"/>
  <c r="I753" i="1" s="1"/>
  <c r="J753" i="1" s="1"/>
  <c r="H752" i="1"/>
  <c r="I752" i="1" s="1"/>
  <c r="J752" i="1" s="1"/>
  <c r="H751" i="1"/>
  <c r="I751" i="1" s="1"/>
  <c r="J751" i="1" s="1"/>
  <c r="H750" i="1"/>
  <c r="I750" i="1" s="1"/>
  <c r="J750" i="1" s="1"/>
  <c r="H749" i="1"/>
  <c r="I749" i="1" s="1"/>
  <c r="J749" i="1" s="1"/>
  <c r="H748" i="1"/>
  <c r="I748" i="1" s="1"/>
  <c r="J748" i="1" s="1"/>
  <c r="H747" i="1"/>
  <c r="I747" i="1" s="1"/>
  <c r="J747" i="1" s="1"/>
  <c r="H746" i="1"/>
  <c r="I746" i="1" s="1"/>
  <c r="J746" i="1" s="1"/>
  <c r="H745" i="1"/>
  <c r="I745" i="1" s="1"/>
  <c r="J745" i="1" s="1"/>
  <c r="H744" i="1"/>
  <c r="I744" i="1" s="1"/>
  <c r="J744" i="1" s="1"/>
  <c r="H743" i="1"/>
  <c r="I743" i="1" s="1"/>
  <c r="J743" i="1" s="1"/>
  <c r="H742" i="1"/>
  <c r="I742" i="1" s="1"/>
  <c r="J742" i="1" s="1"/>
  <c r="H741" i="1"/>
  <c r="I741" i="1" s="1"/>
  <c r="J741" i="1" s="1"/>
  <c r="H740" i="1"/>
  <c r="I740" i="1" s="1"/>
  <c r="J740" i="1" s="1"/>
  <c r="H739" i="1"/>
  <c r="I739" i="1" s="1"/>
  <c r="J739" i="1" s="1"/>
  <c r="H738" i="1"/>
  <c r="I738" i="1" s="1"/>
  <c r="J738" i="1" s="1"/>
  <c r="H737" i="1"/>
  <c r="I737" i="1" s="1"/>
  <c r="J737" i="1" s="1"/>
  <c r="H736" i="1"/>
  <c r="I736" i="1" s="1"/>
  <c r="J736" i="1" s="1"/>
  <c r="H735" i="1"/>
  <c r="I735" i="1" s="1"/>
  <c r="J735" i="1" s="1"/>
  <c r="H734" i="1"/>
  <c r="I734" i="1" s="1"/>
  <c r="J734" i="1" s="1"/>
  <c r="H733" i="1"/>
  <c r="I733" i="1" s="1"/>
  <c r="J733" i="1" s="1"/>
  <c r="H732" i="1"/>
  <c r="I732" i="1" s="1"/>
  <c r="J732" i="1" s="1"/>
  <c r="H731" i="1"/>
  <c r="I731" i="1" s="1"/>
  <c r="J731" i="1" s="1"/>
  <c r="H730" i="1"/>
  <c r="I730" i="1" s="1"/>
  <c r="J730" i="1" s="1"/>
  <c r="H729" i="1"/>
  <c r="I729" i="1" s="1"/>
  <c r="J729" i="1" s="1"/>
  <c r="H728" i="1"/>
  <c r="I728" i="1" s="1"/>
  <c r="J728" i="1" s="1"/>
  <c r="H727" i="1"/>
  <c r="I727" i="1" s="1"/>
  <c r="J727" i="1" s="1"/>
  <c r="H726" i="1"/>
  <c r="I726" i="1" s="1"/>
  <c r="J726" i="1" s="1"/>
  <c r="H725" i="1"/>
  <c r="I725" i="1" s="1"/>
  <c r="J725" i="1" s="1"/>
  <c r="I720" i="1"/>
  <c r="J720" i="1" s="1"/>
  <c r="H720" i="1"/>
  <c r="H719" i="1"/>
  <c r="I719" i="1" s="1"/>
  <c r="J719" i="1" s="1"/>
  <c r="H718" i="1"/>
  <c r="I718" i="1" s="1"/>
  <c r="J718" i="1" s="1"/>
  <c r="H717" i="1"/>
  <c r="I717" i="1" s="1"/>
  <c r="J717" i="1" s="1"/>
  <c r="H716" i="1"/>
  <c r="I716" i="1" s="1"/>
  <c r="J716" i="1" s="1"/>
  <c r="H715" i="1"/>
  <c r="I715" i="1" s="1"/>
  <c r="J715" i="1" s="1"/>
  <c r="H714" i="1"/>
  <c r="I714" i="1" s="1"/>
  <c r="J714" i="1" s="1"/>
  <c r="H713" i="1"/>
  <c r="I713" i="1" s="1"/>
  <c r="J713" i="1" s="1"/>
  <c r="H712" i="1"/>
  <c r="I712" i="1" s="1"/>
  <c r="J712" i="1" s="1"/>
  <c r="H711" i="1"/>
  <c r="I711" i="1" s="1"/>
  <c r="J711" i="1" s="1"/>
  <c r="H710" i="1"/>
  <c r="I710" i="1" s="1"/>
  <c r="J710" i="1" s="1"/>
  <c r="H709" i="1"/>
  <c r="I709" i="1" s="1"/>
  <c r="J709" i="1" s="1"/>
  <c r="H708" i="1"/>
  <c r="I708" i="1" s="1"/>
  <c r="J708" i="1" s="1"/>
  <c r="H707" i="1"/>
  <c r="I707" i="1" s="1"/>
  <c r="J707" i="1" s="1"/>
  <c r="H706" i="1"/>
  <c r="I706" i="1" s="1"/>
  <c r="J706" i="1" s="1"/>
  <c r="H705" i="1"/>
  <c r="I705" i="1" s="1"/>
  <c r="J705" i="1" s="1"/>
  <c r="H704" i="1"/>
  <c r="I704" i="1" s="1"/>
  <c r="J704" i="1" s="1"/>
  <c r="H703" i="1"/>
  <c r="I703" i="1" s="1"/>
  <c r="J703" i="1" s="1"/>
  <c r="H702" i="1"/>
  <c r="I702" i="1" s="1"/>
  <c r="J702" i="1" s="1"/>
  <c r="H701" i="1"/>
  <c r="I701" i="1" s="1"/>
  <c r="J701" i="1" s="1"/>
  <c r="H700" i="1"/>
  <c r="I700" i="1" s="1"/>
  <c r="J700" i="1" s="1"/>
  <c r="H699" i="1"/>
  <c r="I699" i="1" s="1"/>
  <c r="J699" i="1" s="1"/>
  <c r="H698" i="1"/>
  <c r="I698" i="1" s="1"/>
  <c r="J698" i="1" s="1"/>
  <c r="H697" i="1"/>
  <c r="I697" i="1" s="1"/>
  <c r="J697" i="1" s="1"/>
  <c r="H696" i="1"/>
  <c r="I696" i="1" s="1"/>
  <c r="J696" i="1" s="1"/>
  <c r="H695" i="1"/>
  <c r="I695" i="1" s="1"/>
  <c r="J695" i="1" s="1"/>
  <c r="H694" i="1"/>
  <c r="I694" i="1" s="1"/>
  <c r="J694" i="1" s="1"/>
  <c r="H693" i="1"/>
  <c r="I693" i="1" s="1"/>
  <c r="J693" i="1" s="1"/>
  <c r="H692" i="1"/>
  <c r="I692" i="1" s="1"/>
  <c r="J692" i="1" s="1"/>
  <c r="H691" i="1"/>
  <c r="I691" i="1" s="1"/>
  <c r="J691" i="1" s="1"/>
  <c r="H690" i="1"/>
  <c r="I690" i="1" s="1"/>
  <c r="J690" i="1" s="1"/>
  <c r="H689" i="1"/>
  <c r="I689" i="1" s="1"/>
  <c r="J689" i="1" s="1"/>
  <c r="H688" i="1"/>
  <c r="I688" i="1" s="1"/>
  <c r="J688" i="1" s="1"/>
  <c r="H687" i="1"/>
  <c r="I687" i="1" s="1"/>
  <c r="J687" i="1" s="1"/>
  <c r="H686" i="1"/>
  <c r="I686" i="1" s="1"/>
  <c r="J686" i="1" s="1"/>
  <c r="H685" i="1"/>
  <c r="I685" i="1" s="1"/>
  <c r="J685" i="1" s="1"/>
  <c r="H680" i="1"/>
  <c r="I680" i="1" s="1"/>
  <c r="J680" i="1" s="1"/>
  <c r="H679" i="1"/>
  <c r="I679" i="1" s="1"/>
  <c r="J679" i="1" s="1"/>
  <c r="H678" i="1"/>
  <c r="I678" i="1" s="1"/>
  <c r="J678" i="1" s="1"/>
  <c r="H677" i="1"/>
  <c r="I677" i="1" s="1"/>
  <c r="J677" i="1" s="1"/>
  <c r="H676" i="1"/>
  <c r="I676" i="1" s="1"/>
  <c r="J676" i="1" s="1"/>
  <c r="H675" i="1"/>
  <c r="I675" i="1" s="1"/>
  <c r="J675" i="1" s="1"/>
  <c r="H674" i="1"/>
  <c r="I674" i="1" s="1"/>
  <c r="J674" i="1" s="1"/>
  <c r="H673" i="1"/>
  <c r="I673" i="1" s="1"/>
  <c r="J673" i="1" s="1"/>
  <c r="H672" i="1"/>
  <c r="I672" i="1" s="1"/>
  <c r="J672" i="1" s="1"/>
  <c r="H671" i="1"/>
  <c r="I671" i="1" s="1"/>
  <c r="J671" i="1" s="1"/>
  <c r="H670" i="1"/>
  <c r="I670" i="1" s="1"/>
  <c r="J670" i="1" s="1"/>
  <c r="H669" i="1"/>
  <c r="I669" i="1" s="1"/>
  <c r="J669" i="1" s="1"/>
  <c r="H668" i="1"/>
  <c r="I668" i="1" s="1"/>
  <c r="J668" i="1" s="1"/>
  <c r="H667" i="1"/>
  <c r="I667" i="1" s="1"/>
  <c r="J667" i="1" s="1"/>
  <c r="H666" i="1"/>
  <c r="I666" i="1" s="1"/>
  <c r="J666" i="1" s="1"/>
  <c r="H665" i="1"/>
  <c r="I665" i="1" s="1"/>
  <c r="J665" i="1" s="1"/>
  <c r="H664" i="1"/>
  <c r="I664" i="1" s="1"/>
  <c r="J664" i="1" s="1"/>
  <c r="H663" i="1"/>
  <c r="I663" i="1" s="1"/>
  <c r="J663" i="1" s="1"/>
  <c r="H662" i="1"/>
  <c r="I662" i="1" s="1"/>
  <c r="J662" i="1" s="1"/>
  <c r="H661" i="1"/>
  <c r="I661" i="1" s="1"/>
  <c r="J661" i="1" s="1"/>
  <c r="H660" i="1"/>
  <c r="I660" i="1" s="1"/>
  <c r="J660" i="1" s="1"/>
  <c r="H659" i="1"/>
  <c r="I659" i="1" s="1"/>
  <c r="J659" i="1" s="1"/>
  <c r="H658" i="1"/>
  <c r="I658" i="1" s="1"/>
  <c r="J658" i="1" s="1"/>
  <c r="H657" i="1"/>
  <c r="I657" i="1" s="1"/>
  <c r="J657" i="1" s="1"/>
  <c r="H656" i="1"/>
  <c r="I656" i="1" s="1"/>
  <c r="J656" i="1" s="1"/>
  <c r="H655" i="1"/>
  <c r="I655" i="1" s="1"/>
  <c r="J655" i="1" s="1"/>
  <c r="H654" i="1"/>
  <c r="I654" i="1" s="1"/>
  <c r="J654" i="1" s="1"/>
  <c r="H653" i="1"/>
  <c r="I653" i="1" s="1"/>
  <c r="J653" i="1" s="1"/>
  <c r="H652" i="1"/>
  <c r="I652" i="1" s="1"/>
  <c r="J652" i="1" s="1"/>
  <c r="H651" i="1"/>
  <c r="I651" i="1" s="1"/>
  <c r="J651" i="1" s="1"/>
  <c r="H650" i="1"/>
  <c r="I650" i="1" s="1"/>
  <c r="J650" i="1" s="1"/>
  <c r="H649" i="1"/>
  <c r="I649" i="1" s="1"/>
  <c r="J649" i="1" s="1"/>
  <c r="H648" i="1"/>
  <c r="I648" i="1" s="1"/>
  <c r="J648" i="1" s="1"/>
  <c r="H647" i="1"/>
  <c r="I647" i="1" s="1"/>
  <c r="J647" i="1" s="1"/>
  <c r="H646" i="1"/>
  <c r="I646" i="1" s="1"/>
  <c r="J646" i="1" s="1"/>
  <c r="H645" i="1"/>
  <c r="I645" i="1" s="1"/>
  <c r="J645" i="1" s="1"/>
  <c r="H640" i="1"/>
  <c r="I640" i="1" s="1"/>
  <c r="J640" i="1" s="1"/>
  <c r="H639" i="1"/>
  <c r="I639" i="1" s="1"/>
  <c r="J639" i="1" s="1"/>
  <c r="H638" i="1"/>
  <c r="I638" i="1" s="1"/>
  <c r="J638" i="1" s="1"/>
  <c r="H637" i="1"/>
  <c r="I637" i="1" s="1"/>
  <c r="J637" i="1" s="1"/>
  <c r="H636" i="1"/>
  <c r="I636" i="1" s="1"/>
  <c r="J636" i="1" s="1"/>
  <c r="H635" i="1"/>
  <c r="I635" i="1" s="1"/>
  <c r="J635" i="1" s="1"/>
  <c r="H634" i="1"/>
  <c r="I634" i="1" s="1"/>
  <c r="J634" i="1" s="1"/>
  <c r="H633" i="1"/>
  <c r="I633" i="1" s="1"/>
  <c r="J633" i="1" s="1"/>
  <c r="H632" i="1"/>
  <c r="I632" i="1" s="1"/>
  <c r="J632" i="1" s="1"/>
  <c r="H631" i="1"/>
  <c r="I631" i="1" s="1"/>
  <c r="J631" i="1" s="1"/>
  <c r="H630" i="1"/>
  <c r="I630" i="1" s="1"/>
  <c r="J630" i="1" s="1"/>
  <c r="H629" i="1"/>
  <c r="I629" i="1" s="1"/>
  <c r="J629" i="1" s="1"/>
  <c r="H628" i="1"/>
  <c r="I628" i="1" s="1"/>
  <c r="J628" i="1" s="1"/>
  <c r="H627" i="1"/>
  <c r="I627" i="1" s="1"/>
  <c r="J627" i="1" s="1"/>
  <c r="H626" i="1"/>
  <c r="I626" i="1" s="1"/>
  <c r="J626" i="1" s="1"/>
  <c r="H625" i="1"/>
  <c r="I625" i="1" s="1"/>
  <c r="J625" i="1" s="1"/>
  <c r="H624" i="1"/>
  <c r="I624" i="1" s="1"/>
  <c r="J624" i="1" s="1"/>
  <c r="H623" i="1"/>
  <c r="I623" i="1" s="1"/>
  <c r="J623" i="1" s="1"/>
  <c r="H622" i="1"/>
  <c r="I622" i="1" s="1"/>
  <c r="J622" i="1" s="1"/>
  <c r="H621" i="1"/>
  <c r="I621" i="1" s="1"/>
  <c r="J621" i="1" s="1"/>
  <c r="H620" i="1"/>
  <c r="I620" i="1" s="1"/>
  <c r="J620" i="1" s="1"/>
  <c r="H619" i="1"/>
  <c r="I619" i="1" s="1"/>
  <c r="J619" i="1" s="1"/>
  <c r="H618" i="1"/>
  <c r="I618" i="1" s="1"/>
  <c r="J618" i="1" s="1"/>
  <c r="H617" i="1"/>
  <c r="I617" i="1" s="1"/>
  <c r="J617" i="1" s="1"/>
  <c r="H616" i="1"/>
  <c r="I616" i="1" s="1"/>
  <c r="J616" i="1" s="1"/>
  <c r="H615" i="1"/>
  <c r="I615" i="1" s="1"/>
  <c r="J615" i="1" s="1"/>
  <c r="H614" i="1"/>
  <c r="I614" i="1" s="1"/>
  <c r="J614" i="1" s="1"/>
  <c r="H613" i="1"/>
  <c r="I613" i="1" s="1"/>
  <c r="J613" i="1" s="1"/>
  <c r="H612" i="1"/>
  <c r="I612" i="1" s="1"/>
  <c r="J612" i="1" s="1"/>
  <c r="H611" i="1"/>
  <c r="I611" i="1" s="1"/>
  <c r="J611" i="1" s="1"/>
  <c r="H610" i="1"/>
  <c r="I610" i="1" s="1"/>
  <c r="J610" i="1" s="1"/>
  <c r="H609" i="1"/>
  <c r="I609" i="1" s="1"/>
  <c r="J609" i="1" s="1"/>
  <c r="H608" i="1"/>
  <c r="I608" i="1" s="1"/>
  <c r="J608" i="1" s="1"/>
  <c r="H607" i="1"/>
  <c r="I607" i="1" s="1"/>
  <c r="J607" i="1" s="1"/>
  <c r="H606" i="1"/>
  <c r="I606" i="1" s="1"/>
  <c r="J606" i="1" s="1"/>
  <c r="H605" i="1"/>
  <c r="I605" i="1" s="1"/>
  <c r="J605" i="1" s="1"/>
  <c r="H600" i="1"/>
  <c r="I600" i="1" s="1"/>
  <c r="J600" i="1" s="1"/>
  <c r="H599" i="1"/>
  <c r="I599" i="1" s="1"/>
  <c r="J599" i="1" s="1"/>
  <c r="H598" i="1"/>
  <c r="I598" i="1" s="1"/>
  <c r="J598" i="1" s="1"/>
  <c r="H597" i="1"/>
  <c r="I597" i="1" s="1"/>
  <c r="J597" i="1" s="1"/>
  <c r="H596" i="1"/>
  <c r="I596" i="1" s="1"/>
  <c r="J596" i="1" s="1"/>
  <c r="H595" i="1"/>
  <c r="I595" i="1" s="1"/>
  <c r="J595" i="1" s="1"/>
  <c r="H594" i="1"/>
  <c r="I594" i="1" s="1"/>
  <c r="J594" i="1" s="1"/>
  <c r="H593" i="1"/>
  <c r="I593" i="1" s="1"/>
  <c r="J593" i="1" s="1"/>
  <c r="H592" i="1"/>
  <c r="I592" i="1" s="1"/>
  <c r="J592" i="1" s="1"/>
  <c r="H591" i="1"/>
  <c r="I591" i="1" s="1"/>
  <c r="J591" i="1" s="1"/>
  <c r="H590" i="1"/>
  <c r="I590" i="1" s="1"/>
  <c r="J590" i="1" s="1"/>
  <c r="H589" i="1"/>
  <c r="I589" i="1" s="1"/>
  <c r="J589" i="1" s="1"/>
  <c r="H588" i="1"/>
  <c r="I588" i="1" s="1"/>
  <c r="J588" i="1" s="1"/>
  <c r="H587" i="1"/>
  <c r="I587" i="1" s="1"/>
  <c r="J587" i="1" s="1"/>
  <c r="H586" i="1"/>
  <c r="I586" i="1" s="1"/>
  <c r="J586" i="1" s="1"/>
  <c r="H585" i="1"/>
  <c r="I585" i="1" s="1"/>
  <c r="J585" i="1" s="1"/>
  <c r="H584" i="1"/>
  <c r="I584" i="1" s="1"/>
  <c r="J584" i="1" s="1"/>
  <c r="H583" i="1"/>
  <c r="I583" i="1" s="1"/>
  <c r="J583" i="1" s="1"/>
  <c r="H582" i="1"/>
  <c r="I582" i="1" s="1"/>
  <c r="J582" i="1" s="1"/>
  <c r="H581" i="1"/>
  <c r="I581" i="1" s="1"/>
  <c r="J581" i="1" s="1"/>
  <c r="H580" i="1"/>
  <c r="I580" i="1" s="1"/>
  <c r="J580" i="1" s="1"/>
  <c r="H579" i="1"/>
  <c r="I579" i="1" s="1"/>
  <c r="J579" i="1" s="1"/>
  <c r="H578" i="1"/>
  <c r="I578" i="1" s="1"/>
  <c r="J578" i="1" s="1"/>
  <c r="H577" i="1"/>
  <c r="I577" i="1" s="1"/>
  <c r="J577" i="1" s="1"/>
  <c r="H576" i="1"/>
  <c r="I576" i="1" s="1"/>
  <c r="J576" i="1" s="1"/>
  <c r="H575" i="1"/>
  <c r="I575" i="1" s="1"/>
  <c r="J575" i="1" s="1"/>
  <c r="H574" i="1"/>
  <c r="I574" i="1" s="1"/>
  <c r="J574" i="1" s="1"/>
  <c r="H573" i="1"/>
  <c r="I573" i="1" s="1"/>
  <c r="J573" i="1" s="1"/>
  <c r="H572" i="1"/>
  <c r="I572" i="1" s="1"/>
  <c r="J572" i="1" s="1"/>
  <c r="H571" i="1"/>
  <c r="I571" i="1" s="1"/>
  <c r="J571" i="1" s="1"/>
  <c r="H570" i="1"/>
  <c r="I570" i="1" s="1"/>
  <c r="J570" i="1" s="1"/>
  <c r="H569" i="1"/>
  <c r="I569" i="1" s="1"/>
  <c r="J569" i="1" s="1"/>
  <c r="H568" i="1"/>
  <c r="I568" i="1" s="1"/>
  <c r="J568" i="1" s="1"/>
  <c r="H567" i="1"/>
  <c r="I567" i="1" s="1"/>
  <c r="J567" i="1" s="1"/>
  <c r="H566" i="1"/>
  <c r="I566" i="1" s="1"/>
  <c r="J566" i="1" s="1"/>
  <c r="H565" i="1"/>
  <c r="I565" i="1" s="1"/>
  <c r="J565" i="1" s="1"/>
  <c r="H560" i="1"/>
  <c r="I560" i="1" s="1"/>
  <c r="J560" i="1" s="1"/>
  <c r="I559" i="1"/>
  <c r="J559" i="1" s="1"/>
  <c r="H559" i="1"/>
  <c r="H558" i="1"/>
  <c r="I558" i="1" s="1"/>
  <c r="J558" i="1" s="1"/>
  <c r="H557" i="1"/>
  <c r="I557" i="1" s="1"/>
  <c r="J557" i="1" s="1"/>
  <c r="H556" i="1"/>
  <c r="I556" i="1" s="1"/>
  <c r="J556" i="1" s="1"/>
  <c r="H555" i="1"/>
  <c r="I555" i="1" s="1"/>
  <c r="J555" i="1" s="1"/>
  <c r="H554" i="1"/>
  <c r="I554" i="1" s="1"/>
  <c r="J554" i="1" s="1"/>
  <c r="H553" i="1"/>
  <c r="I553" i="1" s="1"/>
  <c r="J553" i="1" s="1"/>
  <c r="H552" i="1"/>
  <c r="I552" i="1" s="1"/>
  <c r="J552" i="1" s="1"/>
  <c r="H551" i="1"/>
  <c r="I551" i="1" s="1"/>
  <c r="J551" i="1" s="1"/>
  <c r="H550" i="1"/>
  <c r="I550" i="1" s="1"/>
  <c r="J550" i="1" s="1"/>
  <c r="H549" i="1"/>
  <c r="I549" i="1" s="1"/>
  <c r="J549" i="1" s="1"/>
  <c r="H548" i="1"/>
  <c r="I548" i="1" s="1"/>
  <c r="J548" i="1" s="1"/>
  <c r="H547" i="1"/>
  <c r="I547" i="1" s="1"/>
  <c r="J547" i="1" s="1"/>
  <c r="H546" i="1"/>
  <c r="I546" i="1" s="1"/>
  <c r="J546" i="1" s="1"/>
  <c r="H545" i="1"/>
  <c r="I545" i="1" s="1"/>
  <c r="J545" i="1" s="1"/>
  <c r="H544" i="1"/>
  <c r="I544" i="1" s="1"/>
  <c r="J544" i="1" s="1"/>
  <c r="H543" i="1"/>
  <c r="I543" i="1" s="1"/>
  <c r="J543" i="1" s="1"/>
  <c r="H542" i="1"/>
  <c r="I542" i="1" s="1"/>
  <c r="J542" i="1" s="1"/>
  <c r="H541" i="1"/>
  <c r="I541" i="1" s="1"/>
  <c r="J541" i="1" s="1"/>
  <c r="H540" i="1"/>
  <c r="I540" i="1" s="1"/>
  <c r="J540" i="1" s="1"/>
  <c r="H539" i="1"/>
  <c r="I539" i="1" s="1"/>
  <c r="J539" i="1" s="1"/>
  <c r="H538" i="1"/>
  <c r="I538" i="1" s="1"/>
  <c r="J538" i="1" s="1"/>
  <c r="H537" i="1"/>
  <c r="I537" i="1" s="1"/>
  <c r="J537" i="1" s="1"/>
  <c r="H536" i="1"/>
  <c r="I536" i="1" s="1"/>
  <c r="J536" i="1" s="1"/>
  <c r="H535" i="1"/>
  <c r="I535" i="1" s="1"/>
  <c r="J535" i="1" s="1"/>
  <c r="H534" i="1"/>
  <c r="I534" i="1" s="1"/>
  <c r="J534" i="1" s="1"/>
  <c r="H533" i="1"/>
  <c r="I533" i="1" s="1"/>
  <c r="J533" i="1" s="1"/>
  <c r="H532" i="1"/>
  <c r="I532" i="1" s="1"/>
  <c r="J532" i="1" s="1"/>
  <c r="H531" i="1"/>
  <c r="I531" i="1" s="1"/>
  <c r="J531" i="1" s="1"/>
  <c r="H530" i="1"/>
  <c r="I530" i="1" s="1"/>
  <c r="J530" i="1" s="1"/>
  <c r="H529" i="1"/>
  <c r="I529" i="1" s="1"/>
  <c r="J529" i="1" s="1"/>
  <c r="H528" i="1"/>
  <c r="I528" i="1" s="1"/>
  <c r="J528" i="1" s="1"/>
  <c r="H527" i="1"/>
  <c r="I527" i="1" s="1"/>
  <c r="J527" i="1" s="1"/>
  <c r="H526" i="1"/>
  <c r="I526" i="1" s="1"/>
  <c r="J526" i="1" s="1"/>
  <c r="H525" i="1"/>
  <c r="I525" i="1" s="1"/>
  <c r="J525" i="1" s="1"/>
  <c r="H520" i="1"/>
  <c r="I520" i="1" s="1"/>
  <c r="J520" i="1" s="1"/>
  <c r="H519" i="1"/>
  <c r="I519" i="1" s="1"/>
  <c r="J519" i="1" s="1"/>
  <c r="H518" i="1"/>
  <c r="I518" i="1" s="1"/>
  <c r="J518" i="1" s="1"/>
  <c r="H517" i="1"/>
  <c r="I517" i="1" s="1"/>
  <c r="J517" i="1" s="1"/>
  <c r="H516" i="1"/>
  <c r="I516" i="1" s="1"/>
  <c r="J516" i="1" s="1"/>
  <c r="H515" i="1"/>
  <c r="I515" i="1" s="1"/>
  <c r="J515" i="1" s="1"/>
  <c r="H514" i="1"/>
  <c r="I514" i="1" s="1"/>
  <c r="J514" i="1" s="1"/>
  <c r="H513" i="1"/>
  <c r="I513" i="1" s="1"/>
  <c r="J513" i="1" s="1"/>
  <c r="H512" i="1"/>
  <c r="I512" i="1" s="1"/>
  <c r="J512" i="1" s="1"/>
  <c r="H511" i="1"/>
  <c r="I511" i="1" s="1"/>
  <c r="J511" i="1" s="1"/>
  <c r="H510" i="1"/>
  <c r="I510" i="1" s="1"/>
  <c r="J510" i="1" s="1"/>
  <c r="H509" i="1"/>
  <c r="I509" i="1" s="1"/>
  <c r="J509" i="1" s="1"/>
  <c r="H508" i="1"/>
  <c r="I508" i="1" s="1"/>
  <c r="J508" i="1" s="1"/>
  <c r="H507" i="1"/>
  <c r="I507" i="1" s="1"/>
  <c r="J507" i="1" s="1"/>
  <c r="H506" i="1"/>
  <c r="I506" i="1" s="1"/>
  <c r="J506" i="1" s="1"/>
  <c r="H505" i="1"/>
  <c r="I505" i="1" s="1"/>
  <c r="J505" i="1" s="1"/>
  <c r="H504" i="1"/>
  <c r="I504" i="1" s="1"/>
  <c r="J504" i="1" s="1"/>
  <c r="H503" i="1"/>
  <c r="I503" i="1" s="1"/>
  <c r="J503" i="1" s="1"/>
  <c r="H502" i="1"/>
  <c r="I502" i="1" s="1"/>
  <c r="J502" i="1" s="1"/>
  <c r="H501" i="1"/>
  <c r="I501" i="1" s="1"/>
  <c r="J501" i="1" s="1"/>
  <c r="H500" i="1"/>
  <c r="I500" i="1" s="1"/>
  <c r="J500" i="1" s="1"/>
  <c r="H499" i="1"/>
  <c r="I499" i="1" s="1"/>
  <c r="J499" i="1" s="1"/>
  <c r="H498" i="1"/>
  <c r="I498" i="1" s="1"/>
  <c r="J498" i="1" s="1"/>
  <c r="H497" i="1"/>
  <c r="I497" i="1" s="1"/>
  <c r="J497" i="1" s="1"/>
  <c r="H496" i="1"/>
  <c r="I496" i="1" s="1"/>
  <c r="J496" i="1" s="1"/>
  <c r="H495" i="1"/>
  <c r="I495" i="1" s="1"/>
  <c r="J495" i="1" s="1"/>
  <c r="H494" i="1"/>
  <c r="I494" i="1" s="1"/>
  <c r="J494" i="1" s="1"/>
  <c r="H493" i="1"/>
  <c r="I493" i="1" s="1"/>
  <c r="J493" i="1" s="1"/>
  <c r="H492" i="1"/>
  <c r="I492" i="1" s="1"/>
  <c r="J492" i="1" s="1"/>
  <c r="H491" i="1"/>
  <c r="I491" i="1" s="1"/>
  <c r="J491" i="1" s="1"/>
  <c r="H490" i="1"/>
  <c r="I490" i="1" s="1"/>
  <c r="J490" i="1" s="1"/>
  <c r="H489" i="1"/>
  <c r="I489" i="1" s="1"/>
  <c r="J489" i="1" s="1"/>
  <c r="H488" i="1"/>
  <c r="I488" i="1" s="1"/>
  <c r="J488" i="1" s="1"/>
  <c r="H487" i="1"/>
  <c r="I487" i="1" s="1"/>
  <c r="J487" i="1" s="1"/>
  <c r="H486" i="1"/>
  <c r="I486" i="1" s="1"/>
  <c r="J486" i="1" s="1"/>
  <c r="H485" i="1"/>
  <c r="I485" i="1" s="1"/>
  <c r="J485" i="1" s="1"/>
  <c r="H480" i="1"/>
  <c r="I480" i="1" s="1"/>
  <c r="J480" i="1" s="1"/>
  <c r="H479" i="1"/>
  <c r="I479" i="1" s="1"/>
  <c r="J479" i="1" s="1"/>
  <c r="H478" i="1"/>
  <c r="I478" i="1" s="1"/>
  <c r="J478" i="1" s="1"/>
  <c r="H477" i="1"/>
  <c r="I477" i="1" s="1"/>
  <c r="J477" i="1" s="1"/>
  <c r="H476" i="1"/>
  <c r="I476" i="1" s="1"/>
  <c r="J476" i="1" s="1"/>
  <c r="H475" i="1"/>
  <c r="I475" i="1" s="1"/>
  <c r="J475" i="1" s="1"/>
  <c r="H474" i="1"/>
  <c r="I474" i="1" s="1"/>
  <c r="J474" i="1" s="1"/>
  <c r="H473" i="1"/>
  <c r="I473" i="1" s="1"/>
  <c r="J473" i="1" s="1"/>
  <c r="H472" i="1"/>
  <c r="I472" i="1" s="1"/>
  <c r="J472" i="1" s="1"/>
  <c r="H471" i="1"/>
  <c r="I471" i="1" s="1"/>
  <c r="J471" i="1" s="1"/>
  <c r="H470" i="1"/>
  <c r="I470" i="1" s="1"/>
  <c r="J470" i="1" s="1"/>
  <c r="H469" i="1"/>
  <c r="I469" i="1" s="1"/>
  <c r="J469" i="1" s="1"/>
  <c r="H468" i="1"/>
  <c r="I468" i="1" s="1"/>
  <c r="J468" i="1" s="1"/>
  <c r="H467" i="1"/>
  <c r="I467" i="1" s="1"/>
  <c r="J467" i="1" s="1"/>
  <c r="H466" i="1"/>
  <c r="I466" i="1" s="1"/>
  <c r="J466" i="1" s="1"/>
  <c r="H465" i="1"/>
  <c r="I465" i="1" s="1"/>
  <c r="J465" i="1" s="1"/>
  <c r="H464" i="1"/>
  <c r="I464" i="1" s="1"/>
  <c r="J464" i="1" s="1"/>
  <c r="H463" i="1"/>
  <c r="I463" i="1" s="1"/>
  <c r="J463" i="1" s="1"/>
  <c r="H462" i="1"/>
  <c r="I462" i="1" s="1"/>
  <c r="J462" i="1" s="1"/>
  <c r="H461" i="1"/>
  <c r="I461" i="1" s="1"/>
  <c r="J461" i="1" s="1"/>
  <c r="H460" i="1"/>
  <c r="I460" i="1" s="1"/>
  <c r="J460" i="1" s="1"/>
  <c r="H459" i="1"/>
  <c r="I459" i="1" s="1"/>
  <c r="J459" i="1" s="1"/>
  <c r="H458" i="1"/>
  <c r="I458" i="1" s="1"/>
  <c r="J458" i="1" s="1"/>
  <c r="H457" i="1"/>
  <c r="I457" i="1" s="1"/>
  <c r="J457" i="1" s="1"/>
  <c r="H456" i="1"/>
  <c r="I456" i="1" s="1"/>
  <c r="J456" i="1" s="1"/>
  <c r="H455" i="1"/>
  <c r="I455" i="1" s="1"/>
  <c r="J455" i="1" s="1"/>
  <c r="H454" i="1"/>
  <c r="I454" i="1" s="1"/>
  <c r="J454" i="1" s="1"/>
  <c r="H453" i="1"/>
  <c r="I453" i="1" s="1"/>
  <c r="J453" i="1" s="1"/>
  <c r="H452" i="1"/>
  <c r="I452" i="1" s="1"/>
  <c r="J452" i="1" s="1"/>
  <c r="I451" i="1"/>
  <c r="J451" i="1" s="1"/>
  <c r="H451" i="1"/>
  <c r="H450" i="1"/>
  <c r="I450" i="1" s="1"/>
  <c r="J450" i="1" s="1"/>
  <c r="H449" i="1"/>
  <c r="I449" i="1" s="1"/>
  <c r="J449" i="1" s="1"/>
  <c r="H448" i="1"/>
  <c r="I448" i="1" s="1"/>
  <c r="J448" i="1" s="1"/>
  <c r="H447" i="1"/>
  <c r="I447" i="1" s="1"/>
  <c r="J447" i="1" s="1"/>
  <c r="H446" i="1"/>
  <c r="I446" i="1" s="1"/>
  <c r="J446" i="1" s="1"/>
  <c r="H445" i="1"/>
  <c r="I445" i="1" s="1"/>
  <c r="J445" i="1" s="1"/>
  <c r="H440" i="1"/>
  <c r="I440" i="1" s="1"/>
  <c r="J440" i="1" s="1"/>
  <c r="H439" i="1"/>
  <c r="I439" i="1" s="1"/>
  <c r="J439" i="1" s="1"/>
  <c r="H438" i="1"/>
  <c r="I438" i="1" s="1"/>
  <c r="J438" i="1" s="1"/>
  <c r="H437" i="1"/>
  <c r="I437" i="1" s="1"/>
  <c r="J437" i="1" s="1"/>
  <c r="H436" i="1"/>
  <c r="I436" i="1" s="1"/>
  <c r="J436" i="1" s="1"/>
  <c r="H435" i="1"/>
  <c r="I435" i="1" s="1"/>
  <c r="J435" i="1" s="1"/>
  <c r="H434" i="1"/>
  <c r="I434" i="1" s="1"/>
  <c r="J434" i="1" s="1"/>
  <c r="H433" i="1"/>
  <c r="I433" i="1" s="1"/>
  <c r="J433" i="1" s="1"/>
  <c r="H432" i="1"/>
  <c r="I432" i="1" s="1"/>
  <c r="J432" i="1" s="1"/>
  <c r="H431" i="1"/>
  <c r="I431" i="1" s="1"/>
  <c r="J431" i="1" s="1"/>
  <c r="H430" i="1"/>
  <c r="I430" i="1" s="1"/>
  <c r="J430" i="1" s="1"/>
  <c r="H429" i="1"/>
  <c r="I429" i="1" s="1"/>
  <c r="J429" i="1" s="1"/>
  <c r="H428" i="1"/>
  <c r="I428" i="1" s="1"/>
  <c r="J428" i="1" s="1"/>
  <c r="H427" i="1"/>
  <c r="I427" i="1" s="1"/>
  <c r="J427" i="1" s="1"/>
  <c r="H426" i="1"/>
  <c r="I426" i="1" s="1"/>
  <c r="J426" i="1" s="1"/>
  <c r="H425" i="1"/>
  <c r="I425" i="1" s="1"/>
  <c r="J425" i="1" s="1"/>
  <c r="H424" i="1"/>
  <c r="I424" i="1" s="1"/>
  <c r="J424" i="1" s="1"/>
  <c r="H423" i="1"/>
  <c r="I423" i="1" s="1"/>
  <c r="J423" i="1" s="1"/>
  <c r="H422" i="1"/>
  <c r="I422" i="1" s="1"/>
  <c r="J422" i="1" s="1"/>
  <c r="H421" i="1"/>
  <c r="I421" i="1" s="1"/>
  <c r="J421" i="1" s="1"/>
  <c r="H420" i="1"/>
  <c r="I420" i="1" s="1"/>
  <c r="J420" i="1" s="1"/>
  <c r="H419" i="1"/>
  <c r="I419" i="1" s="1"/>
  <c r="J419" i="1" s="1"/>
  <c r="H418" i="1"/>
  <c r="I418" i="1" s="1"/>
  <c r="J418" i="1" s="1"/>
  <c r="H417" i="1"/>
  <c r="I417" i="1" s="1"/>
  <c r="J417" i="1" s="1"/>
  <c r="H416" i="1"/>
  <c r="I416" i="1" s="1"/>
  <c r="J416" i="1" s="1"/>
  <c r="H415" i="1"/>
  <c r="I415" i="1" s="1"/>
  <c r="J415" i="1" s="1"/>
  <c r="H414" i="1"/>
  <c r="I414" i="1" s="1"/>
  <c r="J414" i="1" s="1"/>
  <c r="H413" i="1"/>
  <c r="I413" i="1" s="1"/>
  <c r="J413" i="1" s="1"/>
  <c r="H412" i="1"/>
  <c r="I412" i="1" s="1"/>
  <c r="J412" i="1" s="1"/>
  <c r="H411" i="1"/>
  <c r="I411" i="1" s="1"/>
  <c r="J411" i="1" s="1"/>
  <c r="H410" i="1"/>
  <c r="I410" i="1" s="1"/>
  <c r="J410" i="1" s="1"/>
  <c r="H409" i="1"/>
  <c r="I409" i="1" s="1"/>
  <c r="J409" i="1" s="1"/>
  <c r="H408" i="1"/>
  <c r="I408" i="1" s="1"/>
  <c r="J408" i="1" s="1"/>
  <c r="H407" i="1"/>
  <c r="I407" i="1" s="1"/>
  <c r="J407" i="1" s="1"/>
  <c r="H406" i="1"/>
  <c r="I406" i="1" s="1"/>
  <c r="J406" i="1" s="1"/>
  <c r="H405" i="1"/>
  <c r="I405" i="1" s="1"/>
  <c r="J405" i="1" s="1"/>
  <c r="H400" i="1"/>
  <c r="I400" i="1" s="1"/>
  <c r="J400" i="1" s="1"/>
  <c r="H399" i="1"/>
  <c r="I399" i="1" s="1"/>
  <c r="J399" i="1" s="1"/>
  <c r="H398" i="1"/>
  <c r="I398" i="1" s="1"/>
  <c r="J398" i="1" s="1"/>
  <c r="H397" i="1"/>
  <c r="I397" i="1" s="1"/>
  <c r="J397" i="1" s="1"/>
  <c r="H396" i="1"/>
  <c r="I396" i="1" s="1"/>
  <c r="J396" i="1" s="1"/>
  <c r="H395" i="1"/>
  <c r="I395" i="1" s="1"/>
  <c r="J395" i="1" s="1"/>
  <c r="H394" i="1"/>
  <c r="I394" i="1" s="1"/>
  <c r="J394" i="1" s="1"/>
  <c r="H393" i="1"/>
  <c r="I393" i="1" s="1"/>
  <c r="J393" i="1" s="1"/>
  <c r="H392" i="1"/>
  <c r="I392" i="1" s="1"/>
  <c r="J392" i="1" s="1"/>
  <c r="H391" i="1"/>
  <c r="I391" i="1" s="1"/>
  <c r="J391" i="1" s="1"/>
  <c r="H390" i="1"/>
  <c r="I390" i="1" s="1"/>
  <c r="J390" i="1" s="1"/>
  <c r="H389" i="1"/>
  <c r="I389" i="1" s="1"/>
  <c r="J389" i="1" s="1"/>
  <c r="H388" i="1"/>
  <c r="I388" i="1" s="1"/>
  <c r="J388" i="1" s="1"/>
  <c r="H387" i="1"/>
  <c r="I387" i="1" s="1"/>
  <c r="J387" i="1" s="1"/>
  <c r="H386" i="1"/>
  <c r="I386" i="1" s="1"/>
  <c r="J386" i="1" s="1"/>
  <c r="H385" i="1"/>
  <c r="I385" i="1" s="1"/>
  <c r="J385" i="1" s="1"/>
  <c r="H384" i="1"/>
  <c r="I384" i="1" s="1"/>
  <c r="J384" i="1" s="1"/>
  <c r="H383" i="1"/>
  <c r="I383" i="1" s="1"/>
  <c r="J383" i="1" s="1"/>
  <c r="H382" i="1"/>
  <c r="I382" i="1" s="1"/>
  <c r="J382" i="1" s="1"/>
  <c r="H381" i="1"/>
  <c r="I381" i="1" s="1"/>
  <c r="J381" i="1" s="1"/>
  <c r="H380" i="1"/>
  <c r="I380" i="1" s="1"/>
  <c r="J380" i="1" s="1"/>
  <c r="H379" i="1"/>
  <c r="I379" i="1" s="1"/>
  <c r="J379" i="1" s="1"/>
  <c r="H378" i="1"/>
  <c r="I378" i="1" s="1"/>
  <c r="J378" i="1" s="1"/>
  <c r="H377" i="1"/>
  <c r="I377" i="1" s="1"/>
  <c r="J377" i="1" s="1"/>
  <c r="H376" i="1"/>
  <c r="I376" i="1" s="1"/>
  <c r="J376" i="1" s="1"/>
  <c r="H375" i="1"/>
  <c r="I375" i="1" s="1"/>
  <c r="J375" i="1" s="1"/>
  <c r="H374" i="1"/>
  <c r="I374" i="1" s="1"/>
  <c r="J374" i="1" s="1"/>
  <c r="H373" i="1"/>
  <c r="I373" i="1" s="1"/>
  <c r="J373" i="1" s="1"/>
  <c r="H372" i="1"/>
  <c r="I372" i="1" s="1"/>
  <c r="J372" i="1" s="1"/>
  <c r="H371" i="1"/>
  <c r="I371" i="1" s="1"/>
  <c r="J371" i="1" s="1"/>
  <c r="H370" i="1"/>
  <c r="I370" i="1" s="1"/>
  <c r="J370" i="1" s="1"/>
  <c r="H369" i="1"/>
  <c r="I369" i="1" s="1"/>
  <c r="J369" i="1" s="1"/>
  <c r="H368" i="1"/>
  <c r="I368" i="1" s="1"/>
  <c r="J368" i="1" s="1"/>
  <c r="H367" i="1"/>
  <c r="I367" i="1" s="1"/>
  <c r="J367" i="1" s="1"/>
  <c r="H366" i="1"/>
  <c r="I366" i="1" s="1"/>
  <c r="J366" i="1" s="1"/>
  <c r="H365" i="1"/>
  <c r="I365" i="1" s="1"/>
  <c r="J365" i="1" s="1"/>
  <c r="H360" i="1"/>
  <c r="I360" i="1" s="1"/>
  <c r="J360" i="1" s="1"/>
  <c r="H359" i="1"/>
  <c r="I359" i="1" s="1"/>
  <c r="J359" i="1" s="1"/>
  <c r="H358" i="1"/>
  <c r="I358" i="1" s="1"/>
  <c r="J358" i="1" s="1"/>
  <c r="H357" i="1"/>
  <c r="I357" i="1" s="1"/>
  <c r="J357" i="1" s="1"/>
  <c r="H356" i="1"/>
  <c r="I356" i="1" s="1"/>
  <c r="J356" i="1" s="1"/>
  <c r="H355" i="1"/>
  <c r="I355" i="1" s="1"/>
  <c r="J355" i="1" s="1"/>
  <c r="I354" i="1"/>
  <c r="J354" i="1" s="1"/>
  <c r="H354" i="1"/>
  <c r="H353" i="1"/>
  <c r="I353" i="1" s="1"/>
  <c r="J353" i="1" s="1"/>
  <c r="H352" i="1"/>
  <c r="I352" i="1" s="1"/>
  <c r="J352" i="1" s="1"/>
  <c r="H351" i="1"/>
  <c r="I351" i="1" s="1"/>
  <c r="J351" i="1" s="1"/>
  <c r="H350" i="1"/>
  <c r="I350" i="1" s="1"/>
  <c r="J350" i="1" s="1"/>
  <c r="H349" i="1"/>
  <c r="I349" i="1" s="1"/>
  <c r="J349" i="1" s="1"/>
  <c r="H348" i="1"/>
  <c r="I348" i="1" s="1"/>
  <c r="J348" i="1" s="1"/>
  <c r="H347" i="1"/>
  <c r="I347" i="1" s="1"/>
  <c r="J347" i="1" s="1"/>
  <c r="H346" i="1"/>
  <c r="I346" i="1" s="1"/>
  <c r="J346" i="1" s="1"/>
  <c r="H345" i="1"/>
  <c r="I345" i="1" s="1"/>
  <c r="J345" i="1" s="1"/>
  <c r="H344" i="1"/>
  <c r="I344" i="1" s="1"/>
  <c r="J344" i="1" s="1"/>
  <c r="H343" i="1"/>
  <c r="I343" i="1" s="1"/>
  <c r="J343" i="1" s="1"/>
  <c r="H342" i="1"/>
  <c r="I342" i="1" s="1"/>
  <c r="J342" i="1" s="1"/>
  <c r="H341" i="1"/>
  <c r="I341" i="1" s="1"/>
  <c r="J341" i="1" s="1"/>
  <c r="H340" i="1"/>
  <c r="I340" i="1" s="1"/>
  <c r="J340" i="1" s="1"/>
  <c r="H339" i="1"/>
  <c r="I339" i="1" s="1"/>
  <c r="J339" i="1" s="1"/>
  <c r="H338" i="1"/>
  <c r="I338" i="1" s="1"/>
  <c r="J338" i="1" s="1"/>
  <c r="H337" i="1"/>
  <c r="I337" i="1" s="1"/>
  <c r="J337" i="1" s="1"/>
  <c r="H336" i="1"/>
  <c r="I336" i="1" s="1"/>
  <c r="J336" i="1" s="1"/>
  <c r="H335" i="1"/>
  <c r="I335" i="1" s="1"/>
  <c r="J335" i="1" s="1"/>
  <c r="H334" i="1"/>
  <c r="I334" i="1" s="1"/>
  <c r="J334" i="1" s="1"/>
  <c r="H333" i="1"/>
  <c r="I333" i="1" s="1"/>
  <c r="J333" i="1" s="1"/>
  <c r="H332" i="1"/>
  <c r="I332" i="1" s="1"/>
  <c r="J332" i="1" s="1"/>
  <c r="H331" i="1"/>
  <c r="I331" i="1" s="1"/>
  <c r="J331" i="1" s="1"/>
  <c r="H330" i="1"/>
  <c r="I330" i="1" s="1"/>
  <c r="J330" i="1" s="1"/>
  <c r="H329" i="1"/>
  <c r="I329" i="1" s="1"/>
  <c r="J329" i="1" s="1"/>
  <c r="H328" i="1"/>
  <c r="I328" i="1" s="1"/>
  <c r="J328" i="1" s="1"/>
  <c r="H327" i="1"/>
  <c r="I327" i="1" s="1"/>
  <c r="J327" i="1" s="1"/>
  <c r="H326" i="1"/>
  <c r="I326" i="1" s="1"/>
  <c r="J326" i="1" s="1"/>
  <c r="H325" i="1"/>
  <c r="I325" i="1" s="1"/>
  <c r="J325" i="1" s="1"/>
  <c r="H320" i="1"/>
  <c r="I320" i="1" s="1"/>
  <c r="J320" i="1" s="1"/>
  <c r="H319" i="1"/>
  <c r="I319" i="1" s="1"/>
  <c r="J319" i="1" s="1"/>
  <c r="I318" i="1"/>
  <c r="J318" i="1" s="1"/>
  <c r="H318" i="1"/>
  <c r="H317" i="1"/>
  <c r="I317" i="1" s="1"/>
  <c r="J317" i="1" s="1"/>
  <c r="H316" i="1"/>
  <c r="I316" i="1" s="1"/>
  <c r="J316" i="1" s="1"/>
  <c r="H315" i="1"/>
  <c r="I315" i="1" s="1"/>
  <c r="J315" i="1" s="1"/>
  <c r="H314" i="1"/>
  <c r="I314" i="1" s="1"/>
  <c r="J314" i="1" s="1"/>
  <c r="H313" i="1"/>
  <c r="I313" i="1" s="1"/>
  <c r="J313" i="1" s="1"/>
  <c r="H312" i="1"/>
  <c r="I312" i="1" s="1"/>
  <c r="J312" i="1" s="1"/>
  <c r="H311" i="1"/>
  <c r="I311" i="1" s="1"/>
  <c r="J311" i="1" s="1"/>
  <c r="H310" i="1"/>
  <c r="I310" i="1" s="1"/>
  <c r="J310" i="1" s="1"/>
  <c r="H309" i="1"/>
  <c r="I309" i="1" s="1"/>
  <c r="J309" i="1" s="1"/>
  <c r="H308" i="1"/>
  <c r="I308" i="1" s="1"/>
  <c r="J308" i="1" s="1"/>
  <c r="H307" i="1"/>
  <c r="I307" i="1" s="1"/>
  <c r="J307" i="1" s="1"/>
  <c r="H306" i="1"/>
  <c r="I306" i="1" s="1"/>
  <c r="J306" i="1" s="1"/>
  <c r="H305" i="1"/>
  <c r="I305" i="1" s="1"/>
  <c r="J305" i="1" s="1"/>
  <c r="H304" i="1"/>
  <c r="I304" i="1" s="1"/>
  <c r="J304" i="1" s="1"/>
  <c r="H303" i="1"/>
  <c r="I303" i="1" s="1"/>
  <c r="J303" i="1" s="1"/>
  <c r="H302" i="1"/>
  <c r="I302" i="1" s="1"/>
  <c r="J302" i="1" s="1"/>
  <c r="H301" i="1"/>
  <c r="I301" i="1" s="1"/>
  <c r="J301" i="1" s="1"/>
  <c r="H300" i="1"/>
  <c r="I300" i="1" s="1"/>
  <c r="J300" i="1" s="1"/>
  <c r="H299" i="1"/>
  <c r="I299" i="1" s="1"/>
  <c r="J299" i="1" s="1"/>
  <c r="H298" i="1"/>
  <c r="I298" i="1" s="1"/>
  <c r="J298" i="1" s="1"/>
  <c r="H297" i="1"/>
  <c r="I297" i="1" s="1"/>
  <c r="J297" i="1" s="1"/>
  <c r="H296" i="1"/>
  <c r="I296" i="1" s="1"/>
  <c r="J296" i="1" s="1"/>
  <c r="H295" i="1"/>
  <c r="I295" i="1" s="1"/>
  <c r="J295" i="1" s="1"/>
  <c r="H294" i="1"/>
  <c r="I294" i="1" s="1"/>
  <c r="J294" i="1" s="1"/>
  <c r="H293" i="1"/>
  <c r="I293" i="1" s="1"/>
  <c r="J293" i="1" s="1"/>
  <c r="H292" i="1"/>
  <c r="I292" i="1" s="1"/>
  <c r="J292" i="1" s="1"/>
  <c r="H291" i="1"/>
  <c r="I291" i="1" s="1"/>
  <c r="J291" i="1" s="1"/>
  <c r="H290" i="1"/>
  <c r="I290" i="1" s="1"/>
  <c r="J290" i="1" s="1"/>
  <c r="H289" i="1"/>
  <c r="I289" i="1" s="1"/>
  <c r="J289" i="1" s="1"/>
  <c r="H288" i="1"/>
  <c r="I288" i="1" s="1"/>
  <c r="J288" i="1" s="1"/>
  <c r="H287" i="1"/>
  <c r="I287" i="1" s="1"/>
  <c r="J287" i="1" s="1"/>
  <c r="H286" i="1"/>
  <c r="I286" i="1" s="1"/>
  <c r="J286" i="1" s="1"/>
  <c r="H285" i="1"/>
  <c r="I285" i="1" s="1"/>
  <c r="J285" i="1" s="1"/>
  <c r="H280" i="1"/>
  <c r="I280" i="1" s="1"/>
  <c r="J280" i="1" s="1"/>
  <c r="H279" i="1"/>
  <c r="I279" i="1" s="1"/>
  <c r="J279" i="1" s="1"/>
  <c r="H278" i="1"/>
  <c r="I278" i="1" s="1"/>
  <c r="J278" i="1" s="1"/>
  <c r="H277" i="1"/>
  <c r="I277" i="1" s="1"/>
  <c r="J277" i="1" s="1"/>
  <c r="H276" i="1"/>
  <c r="I276" i="1" s="1"/>
  <c r="J276" i="1" s="1"/>
  <c r="H275" i="1"/>
  <c r="I275" i="1" s="1"/>
  <c r="J275" i="1" s="1"/>
  <c r="H274" i="1"/>
  <c r="I274" i="1" s="1"/>
  <c r="J274" i="1" s="1"/>
  <c r="H273" i="1"/>
  <c r="I273" i="1" s="1"/>
  <c r="J273" i="1" s="1"/>
  <c r="H272" i="1"/>
  <c r="I272" i="1" s="1"/>
  <c r="J272" i="1" s="1"/>
  <c r="H271" i="1"/>
  <c r="I271" i="1" s="1"/>
  <c r="J271" i="1" s="1"/>
  <c r="H270" i="1"/>
  <c r="I270" i="1" s="1"/>
  <c r="J270" i="1" s="1"/>
  <c r="H269" i="1"/>
  <c r="I269" i="1" s="1"/>
  <c r="J269" i="1" s="1"/>
  <c r="H268" i="1"/>
  <c r="I268" i="1" s="1"/>
  <c r="J268" i="1" s="1"/>
  <c r="H267" i="1"/>
  <c r="I267" i="1" s="1"/>
  <c r="J267" i="1" s="1"/>
  <c r="H266" i="1"/>
  <c r="I266" i="1" s="1"/>
  <c r="J266" i="1" s="1"/>
  <c r="H265" i="1"/>
  <c r="I265" i="1" s="1"/>
  <c r="J265" i="1" s="1"/>
  <c r="H264" i="1"/>
  <c r="I264" i="1" s="1"/>
  <c r="J264" i="1" s="1"/>
  <c r="H263" i="1"/>
  <c r="I263" i="1" s="1"/>
  <c r="J263" i="1" s="1"/>
  <c r="H262" i="1"/>
  <c r="I262" i="1" s="1"/>
  <c r="J262" i="1" s="1"/>
  <c r="H261" i="1"/>
  <c r="I261" i="1" s="1"/>
  <c r="J261" i="1" s="1"/>
  <c r="H260" i="1"/>
  <c r="I260" i="1" s="1"/>
  <c r="J260" i="1" s="1"/>
  <c r="H259" i="1"/>
  <c r="I259" i="1" s="1"/>
  <c r="J259" i="1" s="1"/>
  <c r="H258" i="1"/>
  <c r="I258" i="1" s="1"/>
  <c r="J258" i="1" s="1"/>
  <c r="H257" i="1"/>
  <c r="I257" i="1" s="1"/>
  <c r="J257" i="1" s="1"/>
  <c r="H256" i="1"/>
  <c r="I256" i="1" s="1"/>
  <c r="J256" i="1" s="1"/>
  <c r="H255" i="1"/>
  <c r="I255" i="1" s="1"/>
  <c r="J255" i="1" s="1"/>
  <c r="H254" i="1"/>
  <c r="I254" i="1" s="1"/>
  <c r="J254" i="1" s="1"/>
  <c r="H253" i="1"/>
  <c r="I253" i="1" s="1"/>
  <c r="J253" i="1" s="1"/>
  <c r="H252" i="1"/>
  <c r="I252" i="1" s="1"/>
  <c r="J252" i="1" s="1"/>
  <c r="H251" i="1"/>
  <c r="I251" i="1" s="1"/>
  <c r="J251" i="1" s="1"/>
  <c r="H250" i="1"/>
  <c r="I250" i="1" s="1"/>
  <c r="J250" i="1" s="1"/>
  <c r="H249" i="1"/>
  <c r="I249" i="1" s="1"/>
  <c r="J249" i="1" s="1"/>
  <c r="H248" i="1"/>
  <c r="I248" i="1" s="1"/>
  <c r="J248" i="1" s="1"/>
  <c r="H247" i="1"/>
  <c r="I247" i="1" s="1"/>
  <c r="J247" i="1" s="1"/>
  <c r="H246" i="1"/>
  <c r="I246" i="1" s="1"/>
  <c r="J246" i="1" s="1"/>
  <c r="H245" i="1"/>
  <c r="I245" i="1" s="1"/>
  <c r="J245" i="1" s="1"/>
  <c r="H240" i="1"/>
  <c r="I240" i="1" s="1"/>
  <c r="J240" i="1" s="1"/>
  <c r="H239" i="1"/>
  <c r="I239" i="1" s="1"/>
  <c r="J239" i="1" s="1"/>
  <c r="H238" i="1"/>
  <c r="I238" i="1" s="1"/>
  <c r="J238" i="1" s="1"/>
  <c r="H237" i="1"/>
  <c r="I237" i="1" s="1"/>
  <c r="J237" i="1" s="1"/>
  <c r="H236" i="1"/>
  <c r="I236" i="1" s="1"/>
  <c r="J236" i="1" s="1"/>
  <c r="H235" i="1"/>
  <c r="I235" i="1" s="1"/>
  <c r="J235" i="1" s="1"/>
  <c r="I234" i="1"/>
  <c r="J234" i="1" s="1"/>
  <c r="H234" i="1"/>
  <c r="H233" i="1"/>
  <c r="I233" i="1" s="1"/>
  <c r="J233" i="1" s="1"/>
  <c r="H232" i="1"/>
  <c r="I232" i="1" s="1"/>
  <c r="J232" i="1" s="1"/>
  <c r="H231" i="1"/>
  <c r="I231" i="1" s="1"/>
  <c r="J231" i="1" s="1"/>
  <c r="H230" i="1"/>
  <c r="I230" i="1" s="1"/>
  <c r="J230" i="1" s="1"/>
  <c r="H229" i="1"/>
  <c r="I229" i="1" s="1"/>
  <c r="J229" i="1" s="1"/>
  <c r="H228" i="1"/>
  <c r="I228" i="1" s="1"/>
  <c r="J228" i="1" s="1"/>
  <c r="H227" i="1"/>
  <c r="I227" i="1" s="1"/>
  <c r="J227" i="1" s="1"/>
  <c r="H226" i="1"/>
  <c r="I226" i="1" s="1"/>
  <c r="J226" i="1" s="1"/>
  <c r="H225" i="1"/>
  <c r="I225" i="1" s="1"/>
  <c r="J225" i="1" s="1"/>
  <c r="H224" i="1"/>
  <c r="I224" i="1" s="1"/>
  <c r="J224" i="1" s="1"/>
  <c r="H223" i="1"/>
  <c r="I223" i="1" s="1"/>
  <c r="J223" i="1" s="1"/>
  <c r="H222" i="1"/>
  <c r="I222" i="1" s="1"/>
  <c r="J222" i="1" s="1"/>
  <c r="H221" i="1"/>
  <c r="I221" i="1" s="1"/>
  <c r="J221" i="1" s="1"/>
  <c r="H220" i="1"/>
  <c r="I220" i="1" s="1"/>
  <c r="J220" i="1" s="1"/>
  <c r="H219" i="1"/>
  <c r="I219" i="1" s="1"/>
  <c r="J219" i="1" s="1"/>
  <c r="H218" i="1"/>
  <c r="I218" i="1" s="1"/>
  <c r="J218" i="1" s="1"/>
  <c r="H217" i="1"/>
  <c r="I217" i="1" s="1"/>
  <c r="J217" i="1" s="1"/>
  <c r="H216" i="1"/>
  <c r="I216" i="1" s="1"/>
  <c r="J216" i="1" s="1"/>
  <c r="H215" i="1"/>
  <c r="I215" i="1" s="1"/>
  <c r="J215" i="1" s="1"/>
  <c r="H214" i="1"/>
  <c r="I214" i="1" s="1"/>
  <c r="J214" i="1" s="1"/>
  <c r="H213" i="1"/>
  <c r="I213" i="1" s="1"/>
  <c r="J213" i="1" s="1"/>
  <c r="H212" i="1"/>
  <c r="I212" i="1" s="1"/>
  <c r="J212" i="1" s="1"/>
  <c r="H211" i="1"/>
  <c r="I211" i="1" s="1"/>
  <c r="J211" i="1" s="1"/>
  <c r="H210" i="1"/>
  <c r="I210" i="1" s="1"/>
  <c r="J210" i="1" s="1"/>
  <c r="H209" i="1"/>
  <c r="I209" i="1" s="1"/>
  <c r="J209" i="1" s="1"/>
  <c r="H208" i="1"/>
  <c r="I208" i="1" s="1"/>
  <c r="J208" i="1" s="1"/>
  <c r="H207" i="1"/>
  <c r="I207" i="1" s="1"/>
  <c r="J207" i="1" s="1"/>
  <c r="H206" i="1"/>
  <c r="I206" i="1" s="1"/>
  <c r="J206" i="1" s="1"/>
  <c r="H205" i="1"/>
  <c r="I205" i="1" s="1"/>
  <c r="J205" i="1" s="1"/>
  <c r="H200" i="1"/>
  <c r="I200" i="1" s="1"/>
  <c r="J200" i="1" s="1"/>
  <c r="H199" i="1"/>
  <c r="I199" i="1" s="1"/>
  <c r="J199" i="1" s="1"/>
  <c r="H198" i="1"/>
  <c r="I198" i="1" s="1"/>
  <c r="J198" i="1" s="1"/>
  <c r="H197" i="1"/>
  <c r="I197" i="1" s="1"/>
  <c r="J197" i="1" s="1"/>
  <c r="H196" i="1"/>
  <c r="I196" i="1" s="1"/>
  <c r="J196" i="1" s="1"/>
  <c r="H195" i="1"/>
  <c r="I195" i="1" s="1"/>
  <c r="J195" i="1" s="1"/>
  <c r="H194" i="1"/>
  <c r="I194" i="1" s="1"/>
  <c r="J194" i="1" s="1"/>
  <c r="H193" i="1"/>
  <c r="I193" i="1" s="1"/>
  <c r="J193" i="1" s="1"/>
  <c r="H192" i="1"/>
  <c r="I192" i="1" s="1"/>
  <c r="J192" i="1" s="1"/>
  <c r="H191" i="1"/>
  <c r="I191" i="1" s="1"/>
  <c r="J191" i="1" s="1"/>
  <c r="H190" i="1"/>
  <c r="I190" i="1" s="1"/>
  <c r="J190" i="1" s="1"/>
  <c r="H189" i="1"/>
  <c r="I189" i="1" s="1"/>
  <c r="J189" i="1" s="1"/>
  <c r="H188" i="1"/>
  <c r="I188" i="1" s="1"/>
  <c r="J188" i="1" s="1"/>
  <c r="H187" i="1"/>
  <c r="I187" i="1" s="1"/>
  <c r="J187" i="1" s="1"/>
  <c r="H186" i="1"/>
  <c r="I186" i="1" s="1"/>
  <c r="J186" i="1" s="1"/>
  <c r="H185" i="1"/>
  <c r="I185" i="1" s="1"/>
  <c r="J185" i="1" s="1"/>
  <c r="H184" i="1"/>
  <c r="I184" i="1" s="1"/>
  <c r="J184" i="1" s="1"/>
  <c r="H183" i="1"/>
  <c r="I183" i="1" s="1"/>
  <c r="J183" i="1" s="1"/>
  <c r="H182" i="1"/>
  <c r="I182" i="1" s="1"/>
  <c r="J182" i="1" s="1"/>
  <c r="H181" i="1"/>
  <c r="I181" i="1" s="1"/>
  <c r="J181" i="1" s="1"/>
  <c r="H180" i="1"/>
  <c r="I180" i="1" s="1"/>
  <c r="J180" i="1" s="1"/>
  <c r="H179" i="1"/>
  <c r="I179" i="1" s="1"/>
  <c r="J179" i="1" s="1"/>
  <c r="H178" i="1"/>
  <c r="I178" i="1" s="1"/>
  <c r="J178" i="1" s="1"/>
  <c r="H177" i="1"/>
  <c r="I177" i="1" s="1"/>
  <c r="J177" i="1" s="1"/>
  <c r="H176" i="1"/>
  <c r="I176" i="1" s="1"/>
  <c r="J176" i="1" s="1"/>
  <c r="H175" i="1"/>
  <c r="I175" i="1" s="1"/>
  <c r="J175" i="1" s="1"/>
  <c r="H174" i="1"/>
  <c r="I174" i="1" s="1"/>
  <c r="J174" i="1" s="1"/>
  <c r="H173" i="1"/>
  <c r="I173" i="1" s="1"/>
  <c r="J173" i="1" s="1"/>
  <c r="H172" i="1"/>
  <c r="I172" i="1" s="1"/>
  <c r="J172" i="1" s="1"/>
  <c r="H171" i="1"/>
  <c r="I171" i="1" s="1"/>
  <c r="J171" i="1" s="1"/>
  <c r="H170" i="1"/>
  <c r="I170" i="1" s="1"/>
  <c r="J170" i="1" s="1"/>
  <c r="H169" i="1"/>
  <c r="I169" i="1" s="1"/>
  <c r="J16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J165" i="1" s="1"/>
  <c r="H160" i="1"/>
  <c r="I160" i="1" s="1"/>
  <c r="J160" i="1" s="1"/>
  <c r="H159" i="1"/>
  <c r="I159" i="1" s="1"/>
  <c r="J159" i="1" s="1"/>
  <c r="H158" i="1"/>
  <c r="I158" i="1" s="1"/>
  <c r="J158" i="1" s="1"/>
  <c r="H157" i="1"/>
  <c r="I157" i="1" s="1"/>
  <c r="J157" i="1" s="1"/>
  <c r="H156" i="1"/>
  <c r="I156" i="1" s="1"/>
  <c r="J156" i="1" s="1"/>
  <c r="H155" i="1"/>
  <c r="I155" i="1" s="1"/>
  <c r="J155" i="1" s="1"/>
  <c r="H154" i="1"/>
  <c r="I154" i="1" s="1"/>
  <c r="J154" i="1" s="1"/>
  <c r="H153" i="1"/>
  <c r="I153" i="1" s="1"/>
  <c r="J153" i="1" s="1"/>
  <c r="H152" i="1"/>
  <c r="I152" i="1" s="1"/>
  <c r="J152" i="1" s="1"/>
  <c r="H151" i="1"/>
  <c r="I151" i="1" s="1"/>
  <c r="J151" i="1" s="1"/>
  <c r="H150" i="1"/>
  <c r="I150" i="1" s="1"/>
  <c r="J150" i="1" s="1"/>
  <c r="H149" i="1"/>
  <c r="I149" i="1" s="1"/>
  <c r="J149" i="1" s="1"/>
  <c r="H148" i="1"/>
  <c r="I148" i="1" s="1"/>
  <c r="J148" i="1" s="1"/>
  <c r="H147" i="1"/>
  <c r="I147" i="1" s="1"/>
  <c r="J147" i="1" s="1"/>
  <c r="H146" i="1"/>
  <c r="I146" i="1" s="1"/>
  <c r="J146" i="1" s="1"/>
  <c r="H145" i="1"/>
  <c r="I145" i="1" s="1"/>
  <c r="J145" i="1" s="1"/>
  <c r="H144" i="1"/>
  <c r="I144" i="1" s="1"/>
  <c r="J144" i="1" s="1"/>
  <c r="H143" i="1"/>
  <c r="I143" i="1" s="1"/>
  <c r="J143" i="1" s="1"/>
  <c r="H142" i="1"/>
  <c r="I142" i="1" s="1"/>
  <c r="J142" i="1" s="1"/>
  <c r="H141" i="1"/>
  <c r="I141" i="1" s="1"/>
  <c r="J141" i="1" s="1"/>
  <c r="H140" i="1"/>
  <c r="I140" i="1" s="1"/>
  <c r="J140" i="1" s="1"/>
  <c r="H139" i="1"/>
  <c r="I139" i="1" s="1"/>
  <c r="J139" i="1" s="1"/>
  <c r="H138" i="1"/>
  <c r="I138" i="1" s="1"/>
  <c r="J138" i="1" s="1"/>
  <c r="H137" i="1"/>
  <c r="I137" i="1" s="1"/>
  <c r="J137" i="1" s="1"/>
  <c r="H136" i="1"/>
  <c r="I136" i="1" s="1"/>
  <c r="J136" i="1" s="1"/>
  <c r="H135" i="1"/>
  <c r="I135" i="1" s="1"/>
  <c r="J135" i="1" s="1"/>
  <c r="H134" i="1"/>
  <c r="I134" i="1" s="1"/>
  <c r="J134" i="1" s="1"/>
  <c r="H133" i="1"/>
  <c r="I133" i="1" s="1"/>
  <c r="J133" i="1" s="1"/>
  <c r="H132" i="1"/>
  <c r="I132" i="1" s="1"/>
  <c r="J132" i="1" s="1"/>
  <c r="H131" i="1"/>
  <c r="I131" i="1" s="1"/>
  <c r="J131" i="1" s="1"/>
  <c r="H130" i="1"/>
  <c r="I130" i="1" s="1"/>
  <c r="J130" i="1" s="1"/>
  <c r="H129" i="1"/>
  <c r="I129" i="1" s="1"/>
  <c r="J129" i="1" s="1"/>
  <c r="H128" i="1"/>
  <c r="I128" i="1" s="1"/>
  <c r="J128" i="1" s="1"/>
  <c r="H127" i="1"/>
  <c r="I127" i="1" s="1"/>
  <c r="J127" i="1" s="1"/>
  <c r="H126" i="1"/>
  <c r="I126" i="1" s="1"/>
  <c r="J126" i="1" s="1"/>
  <c r="H125" i="1"/>
  <c r="I125" i="1" s="1"/>
  <c r="J125" i="1" s="1"/>
  <c r="H120" i="1"/>
  <c r="I120" i="1" s="1"/>
  <c r="J120" i="1" s="1"/>
  <c r="H119" i="1"/>
  <c r="I119" i="1" s="1"/>
  <c r="J119" i="1" s="1"/>
  <c r="H118" i="1"/>
  <c r="I118" i="1" s="1"/>
  <c r="J118" i="1" s="1"/>
  <c r="H117" i="1"/>
  <c r="I117" i="1" s="1"/>
  <c r="J117" i="1" s="1"/>
  <c r="H116" i="1"/>
  <c r="I116" i="1" s="1"/>
  <c r="J116" i="1" s="1"/>
  <c r="H115" i="1"/>
  <c r="I115" i="1" s="1"/>
  <c r="J115" i="1" s="1"/>
  <c r="H114" i="1"/>
  <c r="I114" i="1" s="1"/>
  <c r="J114" i="1" s="1"/>
  <c r="H113" i="1"/>
  <c r="I113" i="1" s="1"/>
  <c r="J113" i="1" s="1"/>
  <c r="H112" i="1"/>
  <c r="I112" i="1" s="1"/>
  <c r="J112" i="1" s="1"/>
  <c r="H111" i="1"/>
  <c r="I111" i="1" s="1"/>
  <c r="J111" i="1" s="1"/>
  <c r="H110" i="1"/>
  <c r="I110" i="1" s="1"/>
  <c r="J110" i="1" s="1"/>
  <c r="H109" i="1"/>
  <c r="I109" i="1" s="1"/>
  <c r="J109" i="1" s="1"/>
  <c r="H108" i="1"/>
  <c r="I108" i="1" s="1"/>
  <c r="J108" i="1" s="1"/>
  <c r="H107" i="1"/>
  <c r="I107" i="1" s="1"/>
  <c r="J107" i="1" s="1"/>
  <c r="H106" i="1"/>
  <c r="I106" i="1" s="1"/>
  <c r="J106" i="1" s="1"/>
  <c r="H105" i="1"/>
  <c r="I105" i="1" s="1"/>
  <c r="J105" i="1" s="1"/>
  <c r="H104" i="1"/>
  <c r="I104" i="1" s="1"/>
  <c r="J104" i="1" s="1"/>
  <c r="H103" i="1"/>
  <c r="I103" i="1" s="1"/>
  <c r="J103" i="1" s="1"/>
  <c r="H102" i="1"/>
  <c r="I102" i="1" s="1"/>
  <c r="J102" i="1" s="1"/>
  <c r="H101" i="1"/>
  <c r="I101" i="1" s="1"/>
  <c r="J101" i="1" s="1"/>
  <c r="H100" i="1"/>
  <c r="I100" i="1" s="1"/>
  <c r="J100" i="1" s="1"/>
  <c r="H99" i="1"/>
  <c r="I99" i="1" s="1"/>
  <c r="J99" i="1" s="1"/>
  <c r="H98" i="1"/>
  <c r="I98" i="1" s="1"/>
  <c r="J98" i="1" s="1"/>
  <c r="H97" i="1"/>
  <c r="I97" i="1" s="1"/>
  <c r="J97" i="1" s="1"/>
  <c r="H96" i="1"/>
  <c r="I96" i="1" s="1"/>
  <c r="J96" i="1" s="1"/>
  <c r="H95" i="1"/>
  <c r="I95" i="1" s="1"/>
  <c r="J95" i="1" s="1"/>
  <c r="H94" i="1"/>
  <c r="I94" i="1" s="1"/>
  <c r="J94" i="1" s="1"/>
  <c r="H93" i="1"/>
  <c r="I93" i="1" s="1"/>
  <c r="J93" i="1" s="1"/>
  <c r="H92" i="1"/>
  <c r="I92" i="1" s="1"/>
  <c r="J92" i="1" s="1"/>
  <c r="H91" i="1"/>
  <c r="I91" i="1" s="1"/>
  <c r="J91" i="1" s="1"/>
  <c r="H90" i="1"/>
  <c r="I90" i="1" s="1"/>
  <c r="J90" i="1" s="1"/>
  <c r="H89" i="1"/>
  <c r="I89" i="1" s="1"/>
  <c r="J89" i="1" s="1"/>
  <c r="H88" i="1"/>
  <c r="I88" i="1" s="1"/>
  <c r="J88" i="1" s="1"/>
  <c r="H87" i="1"/>
  <c r="I87" i="1" s="1"/>
  <c r="J87" i="1" s="1"/>
  <c r="H86" i="1"/>
  <c r="I86" i="1" s="1"/>
  <c r="J86" i="1" s="1"/>
  <c r="H85" i="1"/>
  <c r="I85" i="1" s="1"/>
  <c r="J85" i="1" s="1"/>
  <c r="H80" i="1"/>
  <c r="I80" i="1" s="1"/>
  <c r="J80" i="1" s="1"/>
  <c r="H79" i="1"/>
  <c r="I79" i="1" s="1"/>
  <c r="J79" i="1" s="1"/>
  <c r="I78" i="1"/>
  <c r="J78" i="1" s="1"/>
  <c r="H78" i="1"/>
  <c r="H77" i="1"/>
  <c r="I77" i="1" s="1"/>
  <c r="J77" i="1" s="1"/>
  <c r="H76" i="1"/>
  <c r="I76" i="1" s="1"/>
  <c r="J76" i="1" s="1"/>
  <c r="H75" i="1"/>
  <c r="I75" i="1" s="1"/>
  <c r="J75" i="1" s="1"/>
  <c r="H74" i="1"/>
  <c r="I74" i="1" s="1"/>
  <c r="J74" i="1" s="1"/>
  <c r="H73" i="1"/>
  <c r="I73" i="1" s="1"/>
  <c r="J73" i="1" s="1"/>
  <c r="H72" i="1"/>
  <c r="I72" i="1" s="1"/>
  <c r="J72" i="1" s="1"/>
  <c r="H71" i="1"/>
  <c r="I71" i="1" s="1"/>
  <c r="J71" i="1" s="1"/>
  <c r="H70" i="1"/>
  <c r="I70" i="1" s="1"/>
  <c r="J70" i="1" s="1"/>
  <c r="H69" i="1"/>
  <c r="I69" i="1" s="1"/>
  <c r="J69" i="1" s="1"/>
  <c r="H68" i="1"/>
  <c r="I68" i="1" s="1"/>
  <c r="J68" i="1" s="1"/>
  <c r="H67" i="1"/>
  <c r="I67" i="1" s="1"/>
  <c r="J67" i="1" s="1"/>
  <c r="H66" i="1"/>
  <c r="I66" i="1" s="1"/>
  <c r="J66" i="1" s="1"/>
  <c r="H65" i="1"/>
  <c r="I65" i="1" s="1"/>
  <c r="J65" i="1" s="1"/>
  <c r="H64" i="1"/>
  <c r="I64" i="1" s="1"/>
  <c r="J64" i="1" s="1"/>
  <c r="H63" i="1"/>
  <c r="I63" i="1" s="1"/>
  <c r="J63" i="1" s="1"/>
  <c r="H62" i="1"/>
  <c r="I62" i="1" s="1"/>
  <c r="J62" i="1" s="1"/>
  <c r="H61" i="1"/>
  <c r="I61" i="1" s="1"/>
  <c r="J61" i="1" s="1"/>
  <c r="H60" i="1"/>
  <c r="I60" i="1" s="1"/>
  <c r="J60" i="1" s="1"/>
  <c r="H59" i="1"/>
  <c r="I59" i="1" s="1"/>
  <c r="J59" i="1" s="1"/>
  <c r="H58" i="1"/>
  <c r="I58" i="1" s="1"/>
  <c r="J58" i="1" s="1"/>
  <c r="H57" i="1"/>
  <c r="I57" i="1" s="1"/>
  <c r="J57" i="1" s="1"/>
  <c r="H56" i="1"/>
  <c r="I56" i="1" s="1"/>
  <c r="J56" i="1" s="1"/>
  <c r="H55" i="1"/>
  <c r="I55" i="1" s="1"/>
  <c r="J55" i="1" s="1"/>
  <c r="H54" i="1"/>
  <c r="I54" i="1" s="1"/>
  <c r="J54" i="1" s="1"/>
  <c r="H53" i="1"/>
  <c r="I53" i="1" s="1"/>
  <c r="J53" i="1" s="1"/>
  <c r="H52" i="1"/>
  <c r="I52" i="1" s="1"/>
  <c r="J52" i="1" s="1"/>
  <c r="H51" i="1"/>
  <c r="I51" i="1" s="1"/>
  <c r="J51" i="1" s="1"/>
  <c r="H50" i="1"/>
  <c r="I50" i="1" s="1"/>
  <c r="J50" i="1" s="1"/>
  <c r="H49" i="1"/>
  <c r="I49" i="1" s="1"/>
  <c r="J49" i="1" s="1"/>
  <c r="H48" i="1"/>
  <c r="I48" i="1" s="1"/>
  <c r="J48" i="1" s="1"/>
  <c r="H47" i="1"/>
  <c r="I47" i="1" s="1"/>
  <c r="J47" i="1" s="1"/>
  <c r="H46" i="1"/>
  <c r="I46" i="1" s="1"/>
  <c r="J46" i="1" s="1"/>
  <c r="H45" i="1"/>
  <c r="I45" i="1" s="1"/>
  <c r="J45" i="1" s="1"/>
  <c r="H8" i="1"/>
  <c r="I8" i="1" s="1"/>
  <c r="J8" i="1" s="1"/>
  <c r="H9" i="1"/>
  <c r="I9" i="1" s="1"/>
  <c r="J9" i="1" s="1"/>
  <c r="H10" i="1"/>
  <c r="I10" i="1" s="1"/>
  <c r="J10" i="1" s="1"/>
  <c r="H11" i="1"/>
  <c r="I11" i="1" s="1"/>
  <c r="J11" i="1" s="1"/>
  <c r="H12" i="1"/>
  <c r="I12" i="1" s="1"/>
  <c r="J12" i="1" s="1"/>
  <c r="H13" i="1"/>
  <c r="I13" i="1" s="1"/>
  <c r="J13" i="1" s="1"/>
  <c r="H14" i="1"/>
  <c r="I14" i="1" s="1"/>
  <c r="J14" i="1" s="1"/>
  <c r="H15" i="1"/>
  <c r="I15" i="1" s="1"/>
  <c r="J15" i="1" s="1"/>
  <c r="H16" i="1"/>
  <c r="I16" i="1" s="1"/>
  <c r="J16" i="1" s="1"/>
  <c r="H17" i="1"/>
  <c r="I17" i="1" s="1"/>
  <c r="J17" i="1" s="1"/>
  <c r="H18" i="1"/>
  <c r="I18" i="1" s="1"/>
  <c r="J18" i="1" s="1"/>
  <c r="H19" i="1"/>
  <c r="I19" i="1" s="1"/>
  <c r="J19" i="1" s="1"/>
  <c r="H20" i="1"/>
  <c r="I20" i="1" s="1"/>
  <c r="J20" i="1" s="1"/>
  <c r="H21" i="1"/>
  <c r="I21" i="1" s="1"/>
  <c r="J21" i="1" s="1"/>
  <c r="H22" i="1"/>
  <c r="I22" i="1" s="1"/>
  <c r="J22" i="1" s="1"/>
  <c r="H23" i="1"/>
  <c r="I23" i="1" s="1"/>
  <c r="J23" i="1" s="1"/>
  <c r="H24" i="1"/>
  <c r="I24" i="1" s="1"/>
  <c r="J24" i="1" s="1"/>
  <c r="H25" i="1"/>
  <c r="I25" i="1" s="1"/>
  <c r="J25" i="1" s="1"/>
  <c r="H26" i="1"/>
  <c r="I26" i="1" s="1"/>
  <c r="J26" i="1" s="1"/>
  <c r="H27" i="1"/>
  <c r="I27" i="1" s="1"/>
  <c r="J27" i="1" s="1"/>
  <c r="H28" i="1"/>
  <c r="I28" i="1" s="1"/>
  <c r="J28" i="1" s="1"/>
  <c r="H29" i="1"/>
  <c r="I29" i="1" s="1"/>
  <c r="J29" i="1" s="1"/>
  <c r="H30" i="1"/>
  <c r="I30" i="1" s="1"/>
  <c r="J30" i="1" s="1"/>
  <c r="H31" i="1"/>
  <c r="I31" i="1" s="1"/>
  <c r="J31" i="1" s="1"/>
  <c r="H32" i="1"/>
  <c r="I32" i="1" s="1"/>
  <c r="J32" i="1" s="1"/>
  <c r="H33" i="1"/>
  <c r="I33" i="1" s="1"/>
  <c r="J33" i="1" s="1"/>
  <c r="H34" i="1"/>
  <c r="I34" i="1" s="1"/>
  <c r="J34" i="1" s="1"/>
  <c r="H35" i="1"/>
  <c r="I35" i="1" s="1"/>
  <c r="J35" i="1" s="1"/>
  <c r="H36" i="1"/>
  <c r="I36" i="1" s="1"/>
  <c r="J36" i="1" s="1"/>
  <c r="H37" i="1"/>
  <c r="I37" i="1" s="1"/>
  <c r="J37" i="1" s="1"/>
  <c r="H38" i="1"/>
  <c r="I38" i="1" s="1"/>
  <c r="J38" i="1" s="1"/>
  <c r="H39" i="1"/>
  <c r="I39" i="1" s="1"/>
  <c r="J39" i="1" s="1"/>
  <c r="H40" i="1"/>
  <c r="I40" i="1" s="1"/>
  <c r="J40" i="1" s="1"/>
  <c r="H7" i="1"/>
  <c r="I7" i="1" s="1"/>
  <c r="H6" i="1"/>
  <c r="I5" i="1"/>
  <c r="J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Onchi Adornetto</author>
  </authors>
  <commentList>
    <comment ref="G4" authorId="0" shapeId="0" xr:uid="{AACC7CBC-11BA-4069-B2CF-A53C17E99DEE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44" authorId="0" shapeId="0" xr:uid="{2287358C-9DD5-4F81-BB41-7B8B83C829D5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84" authorId="0" shapeId="0" xr:uid="{9FBF5C5D-8EBD-4293-82E1-EC857EE8D85A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24" authorId="0" shapeId="0" xr:uid="{4C047B15-785B-4242-981B-9BDE0F3C49FA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64" authorId="0" shapeId="0" xr:uid="{CDBCDB42-639C-4DFA-A6CA-241E69638EC5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204" authorId="0" shapeId="0" xr:uid="{B8C7A8CC-401E-476E-8704-13CE1FE2A53F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244" authorId="0" shapeId="0" xr:uid="{101DE05B-ABA3-411B-9B86-4B1B14FF0EF6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284" authorId="0" shapeId="0" xr:uid="{C413C1BA-5543-477C-9473-BD39C169C238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324" authorId="0" shapeId="0" xr:uid="{0C523D5F-27F6-4631-B045-952FFC0B4A5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364" authorId="0" shapeId="0" xr:uid="{2616777C-220D-415D-B7CE-09DB26E3E9AE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404" authorId="0" shapeId="0" xr:uid="{CFB25F15-0407-4DF1-B0A0-7B484EECC75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444" authorId="0" shapeId="0" xr:uid="{6E712C8C-762D-464D-AD6E-77D70A10A81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484" authorId="0" shapeId="0" xr:uid="{3DC76B69-391D-4245-8FBA-0488551D34B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524" authorId="0" shapeId="0" xr:uid="{A06B23BF-B8B6-41D2-B203-8FA4E36CBA27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564" authorId="0" shapeId="0" xr:uid="{05DDB9D7-7312-43EF-854D-4B926C77A4F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604" authorId="0" shapeId="0" xr:uid="{446C646F-9CD3-430B-8B19-ACE067357BBD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644" authorId="0" shapeId="0" xr:uid="{4F9AF71C-61FF-4D33-B894-6511EEB50C2A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684" authorId="0" shapeId="0" xr:uid="{A35C45FA-2A93-422B-9E08-EA9C0B1533E1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724" authorId="0" shapeId="0" xr:uid="{CB24E716-FBB1-47A3-904C-C2F1C9E2F04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764" authorId="0" shapeId="0" xr:uid="{F8F6B741-480A-4F5E-A211-70DC6BBE1BE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804" authorId="0" shapeId="0" xr:uid="{2C79991A-D490-488B-84C3-B582BCBA9010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844" authorId="0" shapeId="0" xr:uid="{FC6976A2-86C3-4788-A371-808ACEC267E9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884" authorId="0" shapeId="0" xr:uid="{C899ECCF-A1D6-4F28-97AD-8A5FDCAF8310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924" authorId="0" shapeId="0" xr:uid="{E82DDD4C-0327-4AE4-8F12-43B5A318AA2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964" authorId="0" shapeId="0" xr:uid="{71AE3860-9C8B-4D17-A049-5B164BA44DB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004" authorId="0" shapeId="0" xr:uid="{CD186723-B194-4E98-8BCA-006B38C0CCD1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044" authorId="0" shapeId="0" xr:uid="{444BB2BB-26CF-43E3-8CF8-E5BC604C066E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084" authorId="0" shapeId="0" xr:uid="{3E5CE1B0-BB79-49EC-838B-B3989D61D77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124" authorId="0" shapeId="0" xr:uid="{E2D8DA0D-9ED8-4952-8AC6-F88757E4DE9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164" authorId="0" shapeId="0" xr:uid="{99389369-9B1B-4EA0-AF4E-F793032498A6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204" authorId="0" shapeId="0" xr:uid="{DCF1E88D-8A5A-4E15-8E31-1BC1763C9D99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244" authorId="0" shapeId="0" xr:uid="{873F0D6F-848B-4099-8157-993CC73C3D7F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284" authorId="0" shapeId="0" xr:uid="{3230712E-BD40-49C8-BB8F-E5544A5FBB9B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324" authorId="0" shapeId="0" xr:uid="{B16375F3-C87B-443A-AF39-86CF5F05F582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364" authorId="0" shapeId="0" xr:uid="{ED1A5C46-A54B-4089-B54C-7B6FD3933CF9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404" authorId="0" shapeId="0" xr:uid="{82FE36D8-FE20-4500-927E-950AAC761176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444" authorId="0" shapeId="0" xr:uid="{7892F92E-1591-41FB-ACC0-139C607925E6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484" authorId="0" shapeId="0" xr:uid="{E0163486-4032-4C9C-8D71-2740F53E0AF6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524" authorId="0" shapeId="0" xr:uid="{0BDD970B-C57B-44C9-8400-D68DF8FDEC7F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564" authorId="0" shapeId="0" xr:uid="{0AC08F41-2B6C-4619-BD34-DBE24DE8866B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604" authorId="0" shapeId="0" xr:uid="{7B204677-1D96-4401-AA23-C20A1C5DE65C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644" authorId="0" shapeId="0" xr:uid="{DC199DBD-7793-46AA-99EE-43F81124E399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684" authorId="0" shapeId="0" xr:uid="{70A4034B-8507-4647-8FED-EEB635594251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724" authorId="0" shapeId="0" xr:uid="{61A392C7-97F7-4EB9-BC7D-219F275ACE3F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764" authorId="0" shapeId="0" xr:uid="{96C1FABD-5AE7-4872-B15F-96485B6F22A6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804" authorId="0" shapeId="0" xr:uid="{E0E788BC-6848-4799-BD11-9C08D79785C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844" authorId="0" shapeId="0" xr:uid="{69EDFDF8-AEE0-4EF6-A2F5-60814FADB5BF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884" authorId="0" shapeId="0" xr:uid="{4799931B-8F1A-4546-AC8F-E1A8548B8804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924" authorId="0" shapeId="0" xr:uid="{808141DB-D1DA-4EB7-97AD-EC75668CCC75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1964" authorId="0" shapeId="0" xr:uid="{5C73905E-2611-45CC-8E1E-134053AF7110}">
      <text>
        <r>
          <rPr>
            <sz val="9"/>
            <color indexed="81"/>
            <rFont val="Tahoma"/>
            <family val="2"/>
          </rPr>
          <t>Includes the weight of the tin</t>
        </r>
      </text>
    </comment>
    <comment ref="G2004" authorId="0" shapeId="0" xr:uid="{F9B29E40-0217-44B8-9C1A-F18CC5F1BCDB}">
      <text>
        <r>
          <rPr>
            <sz val="9"/>
            <color indexed="81"/>
            <rFont val="Tahoma"/>
            <family val="2"/>
          </rPr>
          <t>Includes the weight of the tin</t>
        </r>
      </text>
    </comment>
  </commentList>
</comments>
</file>

<file path=xl/sharedStrings.xml><?xml version="1.0" encoding="utf-8"?>
<sst xmlns="http://schemas.openxmlformats.org/spreadsheetml/2006/main" count="7361" uniqueCount="75">
  <si>
    <t>Sample Date</t>
  </si>
  <si>
    <t>Root Sample ID</t>
  </si>
  <si>
    <t>Horizon ID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</si>
  <si>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</si>
  <si>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</si>
  <si>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</si>
  <si>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</si>
  <si>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</si>
  <si>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</si>
  <si>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</si>
  <si>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</si>
  <si>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</si>
  <si>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</si>
  <si>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</si>
  <si>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</si>
  <si>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Tin tare (g)</t>
  </si>
  <si>
    <t>Horizon Dry Wt. (g)</t>
  </si>
  <si>
    <t>3g-Dry Wt. (g)</t>
  </si>
  <si>
    <t>3g-Wet Wt. (g)</t>
  </si>
  <si>
    <t>Horizon Wet Wt. (g)</t>
  </si>
  <si>
    <t>Rd.1</t>
  </si>
  <si>
    <t>Rd.2</t>
  </si>
  <si>
    <t>Rd.3</t>
  </si>
  <si>
    <t>Bulk Density (g/cm3)</t>
  </si>
  <si>
    <t>Core Length (cm)</t>
  </si>
  <si>
    <t>A Horizon end depth (cm)</t>
  </si>
  <si>
    <t>B Horizon end depth (cm)</t>
  </si>
  <si>
    <t>N,E, or W</t>
  </si>
  <si>
    <t>% Moisture</t>
  </si>
  <si>
    <t>Ht. (cm)</t>
  </si>
  <si>
    <t>Radius (cm)</t>
  </si>
  <si>
    <t>20329.EF02.19</t>
  </si>
  <si>
    <t>E</t>
  </si>
  <si>
    <t>W</t>
  </si>
  <si>
    <t>20329.EF02.18</t>
  </si>
  <si>
    <t>20350.LH01</t>
  </si>
  <si>
    <t>N</t>
  </si>
  <si>
    <t>20350.LH03</t>
  </si>
  <si>
    <t>20350.LH02</t>
  </si>
  <si>
    <t>20350.LH04</t>
  </si>
  <si>
    <t>20329.CS08</t>
  </si>
  <si>
    <t>20329.CS012</t>
  </si>
  <si>
    <t>20329.EF01.19</t>
  </si>
  <si>
    <t>20329.EF01.18</t>
  </si>
  <si>
    <t>sample dropped</t>
  </si>
  <si>
    <t>20327.CS12</t>
  </si>
  <si>
    <t>20327.CS07</t>
  </si>
  <si>
    <t>20326.CS01</t>
  </si>
  <si>
    <t>20326.CS02</t>
  </si>
  <si>
    <t>20326.CS03</t>
  </si>
  <si>
    <t>20327.CS04</t>
  </si>
  <si>
    <t>20327.CS05</t>
  </si>
  <si>
    <t>sample issue</t>
  </si>
  <si>
    <t>20327.EF02</t>
  </si>
  <si>
    <t>20327.EF02.19</t>
  </si>
  <si>
    <t>20327.CS06</t>
  </si>
  <si>
    <t>R</t>
  </si>
  <si>
    <t>average_3g_wet</t>
  </si>
  <si>
    <t>average_3g_dry</t>
  </si>
  <si>
    <t>average_percmois</t>
  </si>
  <si>
    <t>horizon_dry_g</t>
  </si>
  <si>
    <t>volume_layer</t>
  </si>
  <si>
    <t>S_BD_gcm3</t>
  </si>
  <si>
    <t>core_id</t>
  </si>
  <si>
    <t>date</t>
  </si>
  <si>
    <t>management</t>
  </si>
  <si>
    <t>depth_cm</t>
  </si>
  <si>
    <t>replicate</t>
  </si>
  <si>
    <t>location</t>
  </si>
  <si>
    <t>depth</t>
  </si>
  <si>
    <t>EFO2</t>
  </si>
  <si>
    <t>tower</t>
  </si>
  <si>
    <t>EFO1</t>
  </si>
  <si>
    <t>conventional</t>
  </si>
  <si>
    <t>organic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</si>
</sst>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sz val="11"/>
      <color rgb="FF333333"/>
      <name val="Arial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rgb="FF000000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11" xfId="0" applyBorder="1"/>
    <xf numFmtId="0" fontId="0" fillId="0" borderId="31" xfId="0" applyBorder="1"/>
    <xf numFmtId="0" fontId="0" fillId="0" borderId="13" xfId="0" applyBorder="1"/>
    <xf numFmtId="0" fontId="0" fillId="0" borderId="25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9" xfId="0" applyBorder="1"/>
    <xf numFmtId="0" fontId="0" fillId="0" borderId="24" xfId="0" applyBorder="1"/>
    <xf numFmtId="14" fontId="3" fillId="0" borderId="0" xfId="0" applyNumberFormat="1" applyFont="1" applyAlignment="1">
      <alignment horizontal="left" vertical="center" wrapText="1" indent="1"/>
    </xf>
    <xf numFmtId="0" fontId="0" fillId="0" borderId="3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2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4" fillId="0" borderId="11" xfId="0" applyFont="1" applyBorder="1"/>
    <xf numFmtId="0" fontId="4" fillId="0" borderId="41" xfId="0" applyFont="1" applyBorder="1"/>
    <xf numFmtId="0" fontId="4" fillId="0" borderId="0" xfId="0" applyFont="1"/>
    <xf numFmtId="0" fontId="4" fillId="0" borderId="25" xfId="0" applyFont="1" applyBorder="1"/>
    <xf numFmtId="0" fontId="4" fillId="0" borderId="35" xfId="0" applyFont="1" applyBorder="1"/>
    <xf numFmtId="0" fontId="4" fillId="0" borderId="9" xfId="0" applyFont="1" applyBorder="1"/>
    <xf numFmtId="0" fontId="4" fillId="0" borderId="13" xfId="0" applyFont="1" applyBorder="1"/>
    <xf numFmtId="0" fontId="4" fillId="0" borderId="17" xfId="0" applyFont="1" applyBorder="1"/>
    <xf numFmtId="0" fontId="4" fillId="0" borderId="15" xfId="0" applyFont="1" applyBorder="1"/>
    <xf numFmtId="0" fontId="4" fillId="0" borderId="31" xfId="0" applyFont="1" applyBorder="1"/>
    <xf numFmtId="0" fontId="4" fillId="0" borderId="20" xfId="0" applyFont="1" applyBorder="1"/>
    <xf numFmtId="0" fontId="4" fillId="0" borderId="19" xfId="0" applyFont="1" applyBorder="1"/>
    <xf numFmtId="0" fontId="4" fillId="0" borderId="36" xfId="0" applyFont="1" applyBorder="1"/>
    <xf numFmtId="0" fontId="4" fillId="0" borderId="34" xfId="0" applyFont="1" applyBorder="1"/>
    <xf numFmtId="0" fontId="4" fillId="0" borderId="29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54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29" xfId="0" applyFont="1" applyBorder="1" applyAlignment="1">
      <alignment horizontal="right"/>
    </xf>
    <xf numFmtId="0" fontId="4" fillId="0" borderId="8" xfId="0" applyFont="1" applyBorder="1" applyAlignment="1">
      <alignment horizontal="right"/>
    </xf>
    <xf numFmtId="0" fontId="4" fillId="0" borderId="42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4" fillId="0" borderId="44" xfId="0" applyFont="1" applyBorder="1" applyAlignment="1">
      <alignment horizontal="center"/>
    </xf>
    <xf numFmtId="0" fontId="4" fillId="0" borderId="5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3" borderId="56" xfId="0" applyFont="1" applyFill="1" applyBorder="1" applyAlignment="1">
      <alignment horizontal="center"/>
    </xf>
    <xf numFmtId="0" fontId="4" fillId="3" borderId="46" xfId="0" applyFont="1" applyFill="1" applyBorder="1" applyAlignment="1">
      <alignment horizontal="center"/>
    </xf>
    <xf numFmtId="0" fontId="4" fillId="0" borderId="57" xfId="0" applyFont="1" applyBorder="1" applyAlignment="1">
      <alignment horizontal="right"/>
    </xf>
    <xf numFmtId="0" fontId="4" fillId="0" borderId="44" xfId="0" applyFont="1" applyBorder="1" applyAlignment="1">
      <alignment horizontal="right"/>
    </xf>
    <xf numFmtId="0" fontId="4" fillId="0" borderId="47" xfId="0" applyFont="1" applyBorder="1" applyAlignment="1">
      <alignment horizontal="center"/>
    </xf>
    <xf numFmtId="0" fontId="4" fillId="0" borderId="58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59" xfId="0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4" fillId="0" borderId="47" xfId="0" applyFont="1" applyBorder="1" applyAlignment="1">
      <alignment horizontal="right"/>
    </xf>
    <xf numFmtId="0" fontId="4" fillId="0" borderId="48" xfId="0" applyFont="1" applyBorder="1" applyAlignment="1">
      <alignment horizontal="right"/>
    </xf>
    <xf numFmtId="0" fontId="4" fillId="3" borderId="29" xfId="0" applyFont="1" applyFill="1" applyBorder="1" applyAlignment="1">
      <alignment horizontal="center"/>
    </xf>
    <xf numFmtId="0" fontId="4" fillId="3" borderId="49" xfId="0" applyFont="1" applyFill="1" applyBorder="1" applyAlignment="1">
      <alignment horizontal="center"/>
    </xf>
    <xf numFmtId="0" fontId="4" fillId="0" borderId="23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4" fillId="0" borderId="61" xfId="0" applyFont="1" applyBorder="1" applyAlignment="1">
      <alignment horizontal="center" vertical="center"/>
    </xf>
    <xf numFmtId="0" fontId="4" fillId="0" borderId="62" xfId="0" applyFont="1" applyBorder="1" applyAlignment="1">
      <alignment horizontal="center"/>
    </xf>
    <xf numFmtId="0" fontId="4" fillId="0" borderId="33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0" borderId="52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/>
    </xf>
    <xf numFmtId="0" fontId="4" fillId="0" borderId="0" xfId="0" applyFont="1" applyFill="1" applyBorder="1"/>
    <xf numFmtId="0" fontId="4" fillId="0" borderId="0" xfId="0" applyFont="1" applyBorder="1" applyAlignment="1">
      <alignment horizontal="center"/>
    </xf>
    <xf numFmtId="14" fontId="4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D4E4-DFCF-49DB-8B5B-CDD56C29A895}">
  <dimension ref="A1:J2040"/>
  <sheetViews>
    <sheetView workbookViewId="0">
      <selection activeCell="H5" sqref="H5"/>
    </sheetView>
  </sheetViews>
  <sheetFormatPr baseColWidth="10" defaultColWidth="8.83203125" defaultRowHeight="15" x14ac:dyDescent="0.2"/>
  <cols>
    <col min="1" max="2" width="5" customWidth="1"/>
    <col min="3" max="3" width="7.6640625" customWidth="1"/>
    <col min="4" max="4" width="18.6640625" bestFit="1" customWidth="1"/>
    <col min="5" max="5" width="10.5" bestFit="1" customWidth="1"/>
    <col min="6" max="6" width="14" bestFit="1" customWidth="1"/>
    <col min="7" max="7" width="13.33203125" bestFit="1" customWidth="1"/>
    <col min="8" max="8" width="11" bestFit="1" customWidth="1"/>
    <col min="9" max="9" width="17.5" customWidth="1"/>
    <col min="10" max="10" width="19.5" bestFit="1" customWidth="1"/>
  </cols>
  <sheetData>
    <row r="1" spans="1:10" ht="16" thickBot="1" x14ac:dyDescent="0.25">
      <c r="A1" s="44" t="s">
        <v>1</v>
      </c>
      <c r="B1" s="33"/>
      <c r="C1" s="33"/>
      <c r="D1" s="33" t="s">
        <v>31</v>
      </c>
      <c r="E1" s="34"/>
      <c r="F1" s="9" t="s">
        <v>0</v>
      </c>
      <c r="G1" s="18">
        <v>44159</v>
      </c>
      <c r="H1" s="35" t="s">
        <v>24</v>
      </c>
      <c r="I1" s="36"/>
      <c r="J1" s="1">
        <v>110</v>
      </c>
    </row>
    <row r="2" spans="1:10" ht="16" thickBot="1" x14ac:dyDescent="0.25">
      <c r="A2" s="37" t="s">
        <v>2</v>
      </c>
      <c r="B2" s="38"/>
      <c r="C2" s="38"/>
      <c r="D2" s="38"/>
      <c r="E2" s="39"/>
      <c r="F2" s="40"/>
      <c r="G2" s="41"/>
      <c r="H2" s="42" t="s">
        <v>25</v>
      </c>
      <c r="I2" s="43"/>
      <c r="J2" s="2">
        <v>33</v>
      </c>
    </row>
    <row r="3" spans="1:10" ht="16" thickBot="1" x14ac:dyDescent="0.25">
      <c r="A3" s="45" t="s">
        <v>27</v>
      </c>
      <c r="B3" s="27"/>
      <c r="C3" s="27"/>
      <c r="D3" s="27" t="s">
        <v>33</v>
      </c>
      <c r="E3" s="28"/>
      <c r="F3" s="16" t="s">
        <v>30</v>
      </c>
      <c r="G3" s="16">
        <v>3.81</v>
      </c>
      <c r="H3" s="29" t="s">
        <v>26</v>
      </c>
      <c r="I3" s="30"/>
      <c r="J3" s="3">
        <v>62</v>
      </c>
    </row>
    <row r="4" spans="1:10" x14ac:dyDescent="0.2">
      <c r="A4" s="31"/>
      <c r="B4" s="32"/>
      <c r="C4" s="16" t="s">
        <v>29</v>
      </c>
      <c r="D4" s="16" t="s">
        <v>19</v>
      </c>
      <c r="E4" s="16" t="s">
        <v>15</v>
      </c>
      <c r="F4" s="16" t="s">
        <v>18</v>
      </c>
      <c r="G4" s="16" t="s">
        <v>17</v>
      </c>
      <c r="H4" s="16" t="s">
        <v>28</v>
      </c>
      <c r="I4" s="16" t="s">
        <v>16</v>
      </c>
      <c r="J4" s="17" t="s">
        <v>23</v>
      </c>
    </row>
    <row r="5" spans="1:10" x14ac:dyDescent="0.2">
      <c r="A5" s="19" t="s">
        <v>3</v>
      </c>
      <c r="B5" s="5" t="s">
        <v>20</v>
      </c>
      <c r="C5" s="22">
        <v>10</v>
      </c>
      <c r="D5" s="4"/>
      <c r="E5" s="4">
        <v>1.7210000000000001</v>
      </c>
      <c r="F5" s="4">
        <v>3.5219999999999998</v>
      </c>
      <c r="G5" s="4">
        <v>4.7290000000000001</v>
      </c>
      <c r="H5" s="4">
        <f>(F5-(G5-E5))/F5</f>
        <v>0.14593980692788183</v>
      </c>
      <c r="I5" s="4">
        <f>D5-H5*D5</f>
        <v>0</v>
      </c>
      <c r="J5" s="10">
        <f t="shared" ref="J5:J40" si="0">I5/($G$3^2*C5*PI())</f>
        <v>0</v>
      </c>
    </row>
    <row r="6" spans="1:10" x14ac:dyDescent="0.2">
      <c r="A6" s="20"/>
      <c r="B6" s="6" t="s">
        <v>21</v>
      </c>
      <c r="C6" s="23"/>
      <c r="D6">
        <v>899</v>
      </c>
      <c r="E6">
        <v>1.71</v>
      </c>
      <c r="F6">
        <v>3.4729999999999999</v>
      </c>
      <c r="G6">
        <v>4.6890000000000001</v>
      </c>
      <c r="H6">
        <f t="shared" ref="H6:H8" si="1">(F6-(G6-E6))/F6</f>
        <v>0.14224013820904111</v>
      </c>
      <c r="I6">
        <f>D6-H6*D6</f>
        <v>771.12611575007202</v>
      </c>
      <c r="J6" s="11" t="e">
        <f>I6/($G$3^2*C6*PI())</f>
        <v>#DIV/0!</v>
      </c>
    </row>
    <row r="7" spans="1:10" x14ac:dyDescent="0.2">
      <c r="A7" s="25"/>
      <c r="B7" s="8" t="s">
        <v>22</v>
      </c>
      <c r="C7" s="26"/>
      <c r="D7" s="7"/>
      <c r="E7" s="7">
        <v>1.73</v>
      </c>
      <c r="F7" s="7">
        <v>3.4140000000000001</v>
      </c>
      <c r="G7" s="7">
        <v>4.6559999999999997</v>
      </c>
      <c r="H7" s="7">
        <f t="shared" si="1"/>
        <v>0.14294083186877576</v>
      </c>
      <c r="I7" s="7">
        <f t="shared" ref="I6:I8" si="2">D7-H7*D7</f>
        <v>0</v>
      </c>
      <c r="J7" s="12" t="e">
        <f>I7/($G$3^2*C7*PI())</f>
        <v>#DIV/0!</v>
      </c>
    </row>
    <row r="8" spans="1:10" x14ac:dyDescent="0.2">
      <c r="A8" s="19" t="s">
        <v>4</v>
      </c>
      <c r="B8" s="5" t="s">
        <v>20</v>
      </c>
      <c r="C8" s="23">
        <v>10</v>
      </c>
      <c r="E8">
        <v>1.7230000000000001</v>
      </c>
      <c r="F8">
        <v>3.3359999999999999</v>
      </c>
      <c r="G8">
        <v>4.6360000000000001</v>
      </c>
      <c r="H8" s="4">
        <f t="shared" si="1"/>
        <v>0.12679856115107901</v>
      </c>
      <c r="I8" s="4">
        <f t="shared" si="2"/>
        <v>0</v>
      </c>
      <c r="J8" s="10">
        <f t="shared" si="0"/>
        <v>0</v>
      </c>
    </row>
    <row r="9" spans="1:10" x14ac:dyDescent="0.2">
      <c r="A9" s="20"/>
      <c r="B9" s="6" t="s">
        <v>21</v>
      </c>
      <c r="C9" s="23"/>
      <c r="D9">
        <v>817</v>
      </c>
      <c r="E9">
        <v>1.7170000000000001</v>
      </c>
      <c r="F9">
        <v>3.3079999999999998</v>
      </c>
      <c r="G9">
        <v>4.6109999999999998</v>
      </c>
      <c r="H9">
        <f t="shared" ref="H9:H40" si="3">(F9-(G9-E9))/F9</f>
        <v>0.12515114873035071</v>
      </c>
      <c r="I9">
        <f t="shared" ref="I9:I40" si="4">D9-H9*D9</f>
        <v>714.75151148730345</v>
      </c>
      <c r="J9" s="11" t="e">
        <f t="shared" si="0"/>
        <v>#DIV/0!</v>
      </c>
    </row>
    <row r="10" spans="1:10" x14ac:dyDescent="0.2">
      <c r="A10" s="25"/>
      <c r="B10" s="8" t="s">
        <v>22</v>
      </c>
      <c r="C10" s="26"/>
      <c r="D10" s="7"/>
      <c r="E10" s="7">
        <v>1.724</v>
      </c>
      <c r="F10" s="7">
        <v>3.8889999999999998</v>
      </c>
      <c r="G10" s="7">
        <v>5.133</v>
      </c>
      <c r="H10" s="7">
        <f t="shared" si="3"/>
        <v>0.12342504499871433</v>
      </c>
      <c r="I10" s="7">
        <f t="shared" si="4"/>
        <v>0</v>
      </c>
      <c r="J10" s="12" t="e">
        <f t="shared" si="0"/>
        <v>#DIV/0!</v>
      </c>
    </row>
    <row r="11" spans="1:10" x14ac:dyDescent="0.2">
      <c r="A11" s="19" t="s">
        <v>5</v>
      </c>
      <c r="B11" s="5" t="s">
        <v>20</v>
      </c>
      <c r="C11" s="22">
        <v>10</v>
      </c>
      <c r="D11" s="4"/>
      <c r="E11" s="4">
        <v>1.734</v>
      </c>
      <c r="F11" s="4">
        <v>3.0590000000000002</v>
      </c>
      <c r="G11" s="4">
        <v>4.4400000000000004</v>
      </c>
      <c r="H11" s="4">
        <f t="shared" si="3"/>
        <v>0.11539718862373316</v>
      </c>
      <c r="I11" s="4">
        <f t="shared" si="4"/>
        <v>0</v>
      </c>
      <c r="J11" s="10">
        <f t="shared" si="0"/>
        <v>0</v>
      </c>
    </row>
    <row r="12" spans="1:10" x14ac:dyDescent="0.2">
      <c r="A12" s="20"/>
      <c r="B12" s="6" t="s">
        <v>21</v>
      </c>
      <c r="C12" s="23"/>
      <c r="D12">
        <v>853</v>
      </c>
      <c r="E12">
        <v>1.71</v>
      </c>
      <c r="F12">
        <v>3.391</v>
      </c>
      <c r="G12">
        <v>4.6929999999999996</v>
      </c>
      <c r="H12">
        <f t="shared" si="3"/>
        <v>0.12031849012090839</v>
      </c>
      <c r="I12">
        <f t="shared" si="4"/>
        <v>750.36832792686516</v>
      </c>
      <c r="J12" s="11" t="e">
        <f t="shared" si="0"/>
        <v>#DIV/0!</v>
      </c>
    </row>
    <row r="13" spans="1:10" x14ac:dyDescent="0.2">
      <c r="A13" s="25"/>
      <c r="B13" s="8" t="s">
        <v>22</v>
      </c>
      <c r="C13" s="26"/>
      <c r="D13" s="7"/>
      <c r="E13" s="7">
        <v>1.7250000000000001</v>
      </c>
      <c r="F13" s="7">
        <v>3.1659999999999999</v>
      </c>
      <c r="G13" s="7">
        <v>4.4859999999999998</v>
      </c>
      <c r="H13" s="7">
        <f t="shared" si="3"/>
        <v>0.12792166771951999</v>
      </c>
      <c r="I13" s="7">
        <f t="shared" si="4"/>
        <v>0</v>
      </c>
      <c r="J13" s="12" t="e">
        <f t="shared" si="0"/>
        <v>#DIV/0!</v>
      </c>
    </row>
    <row r="14" spans="1:10" x14ac:dyDescent="0.2">
      <c r="A14" s="19" t="s">
        <v>6</v>
      </c>
      <c r="B14" s="5" t="s">
        <v>20</v>
      </c>
      <c r="C14" s="22">
        <v>10</v>
      </c>
      <c r="D14" s="4"/>
      <c r="E14" s="4">
        <v>1.714</v>
      </c>
      <c r="F14" s="4">
        <v>3.1560000000000001</v>
      </c>
      <c r="G14" s="4">
        <v>4.4429999999999996</v>
      </c>
      <c r="H14" s="4">
        <f t="shared" si="3"/>
        <v>0.13529784537389114</v>
      </c>
      <c r="I14" s="4">
        <f t="shared" si="4"/>
        <v>0</v>
      </c>
      <c r="J14" s="10">
        <f t="shared" si="0"/>
        <v>0</v>
      </c>
    </row>
    <row r="15" spans="1:10" x14ac:dyDescent="0.2">
      <c r="A15" s="20"/>
      <c r="B15" s="6" t="s">
        <v>21</v>
      </c>
      <c r="C15" s="23"/>
      <c r="D15">
        <v>884</v>
      </c>
      <c r="E15">
        <v>1.7490000000000001</v>
      </c>
      <c r="F15">
        <v>3.3319999999999999</v>
      </c>
      <c r="G15">
        <v>4.6479999999999997</v>
      </c>
      <c r="H15">
        <f t="shared" si="3"/>
        <v>0.12995198079231701</v>
      </c>
      <c r="I15">
        <f t="shared" si="4"/>
        <v>769.12244897959181</v>
      </c>
      <c r="J15" s="11" t="e">
        <f t="shared" si="0"/>
        <v>#DIV/0!</v>
      </c>
    </row>
    <row r="16" spans="1:10" x14ac:dyDescent="0.2">
      <c r="A16" s="25"/>
      <c r="B16" s="8" t="s">
        <v>22</v>
      </c>
      <c r="C16" s="26"/>
      <c r="D16" s="7"/>
      <c r="E16" s="7">
        <v>1.7410000000000001</v>
      </c>
      <c r="F16" s="7">
        <v>3.6859999999999999</v>
      </c>
      <c r="G16" s="7">
        <v>4.9470000000000001</v>
      </c>
      <c r="H16" s="7">
        <f t="shared" si="3"/>
        <v>0.13022246337493218</v>
      </c>
      <c r="I16" s="7">
        <f t="shared" si="4"/>
        <v>0</v>
      </c>
      <c r="J16" s="12" t="e">
        <f t="shared" si="0"/>
        <v>#DIV/0!</v>
      </c>
    </row>
    <row r="17" spans="1:10" x14ac:dyDescent="0.2">
      <c r="A17" s="19" t="s">
        <v>7</v>
      </c>
      <c r="B17" s="5" t="s">
        <v>20</v>
      </c>
      <c r="C17" s="22">
        <v>10</v>
      </c>
      <c r="D17" s="4"/>
      <c r="E17" s="4">
        <v>1.742</v>
      </c>
      <c r="F17" s="4">
        <v>3.11</v>
      </c>
      <c r="G17" s="4">
        <v>4.4870000000000001</v>
      </c>
      <c r="H17" s="4">
        <f t="shared" si="3"/>
        <v>0.11736334405144687</v>
      </c>
      <c r="I17" s="4">
        <f t="shared" si="4"/>
        <v>0</v>
      </c>
      <c r="J17" s="10">
        <f t="shared" si="0"/>
        <v>0</v>
      </c>
    </row>
    <row r="18" spans="1:10" x14ac:dyDescent="0.2">
      <c r="A18" s="20"/>
      <c r="B18" s="6" t="s">
        <v>21</v>
      </c>
      <c r="C18" s="23"/>
      <c r="D18">
        <v>876</v>
      </c>
      <c r="E18">
        <v>1.738</v>
      </c>
      <c r="F18">
        <v>3.2040000000000002</v>
      </c>
      <c r="G18">
        <v>4.532</v>
      </c>
      <c r="H18">
        <f t="shared" si="3"/>
        <v>0.12796504369538081</v>
      </c>
      <c r="I18">
        <f t="shared" si="4"/>
        <v>763.90262172284645</v>
      </c>
      <c r="J18" s="11" t="e">
        <f t="shared" si="0"/>
        <v>#DIV/0!</v>
      </c>
    </row>
    <row r="19" spans="1:10" x14ac:dyDescent="0.2">
      <c r="A19" s="25"/>
      <c r="B19" s="8" t="s">
        <v>22</v>
      </c>
      <c r="C19" s="26"/>
      <c r="D19" s="7"/>
      <c r="E19" s="7">
        <v>1.712</v>
      </c>
      <c r="F19" s="7">
        <v>3.1859999999999999</v>
      </c>
      <c r="G19" s="7">
        <v>4.4720000000000004</v>
      </c>
      <c r="H19" s="7">
        <f t="shared" si="3"/>
        <v>0.13370998116760807</v>
      </c>
      <c r="I19" s="7">
        <f t="shared" si="4"/>
        <v>0</v>
      </c>
      <c r="J19" s="12" t="e">
        <f t="shared" si="0"/>
        <v>#DIV/0!</v>
      </c>
    </row>
    <row r="20" spans="1:10" x14ac:dyDescent="0.2">
      <c r="A20" s="19" t="s">
        <v>8</v>
      </c>
      <c r="B20" s="5" t="s">
        <v>20</v>
      </c>
      <c r="C20" s="22">
        <v>10</v>
      </c>
      <c r="D20" s="4"/>
      <c r="E20" s="4">
        <v>1.7170000000000001</v>
      </c>
      <c r="F20" s="4">
        <v>3.2440000000000002</v>
      </c>
      <c r="G20" s="4">
        <v>4.4779999999999998</v>
      </c>
      <c r="H20" s="4">
        <f t="shared" si="3"/>
        <v>0.14889025893958091</v>
      </c>
      <c r="I20" s="4">
        <f t="shared" si="4"/>
        <v>0</v>
      </c>
      <c r="J20" s="10">
        <f t="shared" si="0"/>
        <v>0</v>
      </c>
    </row>
    <row r="21" spans="1:10" x14ac:dyDescent="0.2">
      <c r="A21" s="20"/>
      <c r="B21" s="6" t="s">
        <v>21</v>
      </c>
      <c r="C21" s="23"/>
      <c r="D21">
        <v>913</v>
      </c>
      <c r="E21">
        <v>1.722</v>
      </c>
      <c r="F21">
        <v>3.1819999999999999</v>
      </c>
      <c r="G21">
        <v>4.41</v>
      </c>
      <c r="H21">
        <f t="shared" si="3"/>
        <v>0.15524827152734122</v>
      </c>
      <c r="I21">
        <f t="shared" si="4"/>
        <v>771.25832809553754</v>
      </c>
      <c r="J21" s="11" t="e">
        <f t="shared" si="0"/>
        <v>#DIV/0!</v>
      </c>
    </row>
    <row r="22" spans="1:10" x14ac:dyDescent="0.2">
      <c r="A22" s="25"/>
      <c r="B22" s="8" t="s">
        <v>22</v>
      </c>
      <c r="C22" s="26"/>
      <c r="D22" s="7"/>
      <c r="E22" s="7">
        <v>1.7410000000000001</v>
      </c>
      <c r="F22" s="7">
        <v>3.1819999999999999</v>
      </c>
      <c r="G22" s="7">
        <v>4.4749999999999996</v>
      </c>
      <c r="H22" s="7">
        <f t="shared" si="3"/>
        <v>0.14079195474544323</v>
      </c>
      <c r="I22" s="7">
        <f t="shared" si="4"/>
        <v>0</v>
      </c>
      <c r="J22" s="12" t="e">
        <f t="shared" si="0"/>
        <v>#DIV/0!</v>
      </c>
    </row>
    <row r="23" spans="1:10" x14ac:dyDescent="0.2">
      <c r="A23" s="19" t="s">
        <v>9</v>
      </c>
      <c r="B23" s="5" t="s">
        <v>20</v>
      </c>
      <c r="C23" s="22">
        <v>10</v>
      </c>
      <c r="D23" s="4"/>
      <c r="E23" s="4">
        <v>1.7130000000000001</v>
      </c>
      <c r="F23" s="4">
        <v>3.64</v>
      </c>
      <c r="G23" s="4">
        <v>5.0190000000000001</v>
      </c>
      <c r="H23" s="4">
        <f t="shared" si="3"/>
        <v>9.1758241758241779E-2</v>
      </c>
      <c r="I23" s="4">
        <f t="shared" si="4"/>
        <v>0</v>
      </c>
      <c r="J23" s="10">
        <f t="shared" si="0"/>
        <v>0</v>
      </c>
    </row>
    <row r="24" spans="1:10" x14ac:dyDescent="0.2">
      <c r="A24" s="20"/>
      <c r="B24" s="6" t="s">
        <v>21</v>
      </c>
      <c r="C24" s="23"/>
      <c r="D24">
        <v>770</v>
      </c>
      <c r="E24">
        <v>1.716</v>
      </c>
      <c r="F24">
        <v>3.3410000000000002</v>
      </c>
      <c r="G24">
        <v>4.7830000000000004</v>
      </c>
      <c r="H24">
        <f t="shared" si="3"/>
        <v>8.2011373840167615E-2</v>
      </c>
      <c r="I24">
        <f t="shared" si="4"/>
        <v>706.85124214307098</v>
      </c>
      <c r="J24" s="11" t="e">
        <f t="shared" si="0"/>
        <v>#DIV/0!</v>
      </c>
    </row>
    <row r="25" spans="1:10" x14ac:dyDescent="0.2">
      <c r="A25" s="25"/>
      <c r="B25" s="8" t="s">
        <v>22</v>
      </c>
      <c r="C25" s="26"/>
      <c r="D25" s="7"/>
      <c r="E25" s="7">
        <v>1.732</v>
      </c>
      <c r="F25" s="7">
        <v>3.7440000000000002</v>
      </c>
      <c r="G25" s="7">
        <v>5.0839999999999996</v>
      </c>
      <c r="H25" s="7">
        <f t="shared" si="3"/>
        <v>0.10470085470085491</v>
      </c>
      <c r="I25" s="7">
        <f t="shared" si="4"/>
        <v>0</v>
      </c>
      <c r="J25" s="12" t="e">
        <f t="shared" si="0"/>
        <v>#DIV/0!</v>
      </c>
    </row>
    <row r="26" spans="1:10" x14ac:dyDescent="0.2">
      <c r="A26" s="19" t="s">
        <v>10</v>
      </c>
      <c r="B26" s="5" t="s">
        <v>20</v>
      </c>
      <c r="C26" s="22">
        <v>10</v>
      </c>
      <c r="D26" s="4"/>
      <c r="E26" s="4">
        <v>1.7330000000000001</v>
      </c>
      <c r="F26" s="4">
        <v>3.1360000000000001</v>
      </c>
      <c r="G26" s="4">
        <v>4.5229999999999997</v>
      </c>
      <c r="H26" s="4">
        <f t="shared" si="3"/>
        <v>0.1103316326530614</v>
      </c>
      <c r="I26" s="4">
        <f t="shared" si="4"/>
        <v>0</v>
      </c>
      <c r="J26" s="10">
        <f t="shared" si="0"/>
        <v>0</v>
      </c>
    </row>
    <row r="27" spans="1:10" x14ac:dyDescent="0.2">
      <c r="A27" s="20"/>
      <c r="B27" s="6" t="s">
        <v>21</v>
      </c>
      <c r="C27" s="23"/>
      <c r="D27">
        <v>753</v>
      </c>
      <c r="E27">
        <v>1.7390000000000001</v>
      </c>
      <c r="F27">
        <v>3.032</v>
      </c>
      <c r="G27">
        <v>4.4189999999999996</v>
      </c>
      <c r="H27">
        <f t="shared" si="3"/>
        <v>0.11609498680738796</v>
      </c>
      <c r="I27">
        <f t="shared" si="4"/>
        <v>665.58047493403683</v>
      </c>
      <c r="J27" s="11" t="e">
        <f t="shared" si="0"/>
        <v>#DIV/0!</v>
      </c>
    </row>
    <row r="28" spans="1:10" x14ac:dyDescent="0.2">
      <c r="A28" s="25"/>
      <c r="B28" s="8" t="s">
        <v>22</v>
      </c>
      <c r="C28" s="26"/>
      <c r="D28" s="7"/>
      <c r="E28" s="7">
        <v>1.7150000000000001</v>
      </c>
      <c r="F28" s="7">
        <v>3.2130000000000001</v>
      </c>
      <c r="G28" s="7">
        <v>4.6120000000000001</v>
      </c>
      <c r="H28" s="7">
        <f t="shared" si="3"/>
        <v>9.8350451291627713E-2</v>
      </c>
      <c r="I28" s="7">
        <f t="shared" si="4"/>
        <v>0</v>
      </c>
      <c r="J28" s="12" t="e">
        <f t="shared" si="0"/>
        <v>#DIV/0!</v>
      </c>
    </row>
    <row r="29" spans="1:10" x14ac:dyDescent="0.2">
      <c r="A29" s="19" t="s">
        <v>11</v>
      </c>
      <c r="B29" s="5" t="s">
        <v>20</v>
      </c>
      <c r="C29" s="22">
        <v>10</v>
      </c>
      <c r="D29" s="4"/>
      <c r="E29" s="4">
        <v>1.7330000000000001</v>
      </c>
      <c r="F29" s="4">
        <v>3.4550000000000001</v>
      </c>
      <c r="G29" s="4">
        <v>4.7220000000000004</v>
      </c>
      <c r="H29" s="4">
        <f t="shared" si="3"/>
        <v>0.13487698986975391</v>
      </c>
      <c r="I29" s="4">
        <f t="shared" si="4"/>
        <v>0</v>
      </c>
      <c r="J29" s="10">
        <f t="shared" si="0"/>
        <v>0</v>
      </c>
    </row>
    <row r="30" spans="1:10" x14ac:dyDescent="0.2">
      <c r="A30" s="20"/>
      <c r="B30" s="6" t="s">
        <v>21</v>
      </c>
      <c r="C30" s="23"/>
      <c r="D30">
        <v>864</v>
      </c>
      <c r="E30">
        <v>1.7150000000000001</v>
      </c>
      <c r="F30">
        <v>3.141</v>
      </c>
      <c r="G30">
        <v>4.43</v>
      </c>
      <c r="H30">
        <f t="shared" si="3"/>
        <v>0.13562559694364856</v>
      </c>
      <c r="I30">
        <f t="shared" si="4"/>
        <v>746.81948424068764</v>
      </c>
      <c r="J30" s="11" t="e">
        <f t="shared" si="0"/>
        <v>#DIV/0!</v>
      </c>
    </row>
    <row r="31" spans="1:10" x14ac:dyDescent="0.2">
      <c r="A31" s="25"/>
      <c r="B31" s="8" t="s">
        <v>22</v>
      </c>
      <c r="C31" s="26"/>
      <c r="D31" s="7"/>
      <c r="E31" s="7">
        <v>1.724</v>
      </c>
      <c r="F31" s="7">
        <v>3.25</v>
      </c>
      <c r="G31" s="7">
        <v>4.5019999999999998</v>
      </c>
      <c r="H31" s="7">
        <f t="shared" si="3"/>
        <v>0.14523076923076936</v>
      </c>
      <c r="I31" s="7">
        <f t="shared" si="4"/>
        <v>0</v>
      </c>
      <c r="J31" s="12" t="e">
        <f t="shared" si="0"/>
        <v>#DIV/0!</v>
      </c>
    </row>
    <row r="32" spans="1:10" x14ac:dyDescent="0.2">
      <c r="A32" s="19" t="s">
        <v>12</v>
      </c>
      <c r="B32" s="5" t="s">
        <v>20</v>
      </c>
      <c r="C32" s="22">
        <v>10</v>
      </c>
      <c r="D32" s="4"/>
      <c r="E32" s="4">
        <v>1.726</v>
      </c>
      <c r="F32" s="4">
        <v>3.2029999999999998</v>
      </c>
      <c r="G32" s="4">
        <v>4.3869999999999996</v>
      </c>
      <c r="H32" s="4">
        <f t="shared" si="3"/>
        <v>0.1692163596628162</v>
      </c>
      <c r="I32" s="4">
        <f t="shared" si="4"/>
        <v>0</v>
      </c>
      <c r="J32" s="10">
        <f t="shared" si="0"/>
        <v>0</v>
      </c>
    </row>
    <row r="33" spans="1:10" x14ac:dyDescent="0.2">
      <c r="A33" s="20"/>
      <c r="B33" s="6" t="s">
        <v>21</v>
      </c>
      <c r="C33" s="23"/>
      <c r="D33">
        <v>811</v>
      </c>
      <c r="E33">
        <v>1.7270000000000001</v>
      </c>
      <c r="F33">
        <v>3.5190000000000001</v>
      </c>
      <c r="G33">
        <v>4.6959999999999997</v>
      </c>
      <c r="H33">
        <f t="shared" si="3"/>
        <v>0.15629440181869869</v>
      </c>
      <c r="I33">
        <f t="shared" si="4"/>
        <v>684.24524012503537</v>
      </c>
      <c r="J33" s="11" t="e">
        <f t="shared" si="0"/>
        <v>#DIV/0!</v>
      </c>
    </row>
    <row r="34" spans="1:10" x14ac:dyDescent="0.2">
      <c r="A34" s="25"/>
      <c r="B34" s="8" t="s">
        <v>22</v>
      </c>
      <c r="C34" s="26"/>
      <c r="D34" s="7"/>
      <c r="E34" s="7">
        <v>1.712</v>
      </c>
      <c r="F34" s="7">
        <v>3.2120000000000002</v>
      </c>
      <c r="G34" s="7">
        <v>4.5270000000000001</v>
      </c>
      <c r="H34" s="7">
        <f t="shared" si="3"/>
        <v>0.12359900373598996</v>
      </c>
      <c r="I34" s="7">
        <f t="shared" si="4"/>
        <v>0</v>
      </c>
      <c r="J34" s="12" t="e">
        <f t="shared" si="0"/>
        <v>#DIV/0!</v>
      </c>
    </row>
    <row r="35" spans="1:10" x14ac:dyDescent="0.2">
      <c r="A35" s="19" t="s">
        <v>13</v>
      </c>
      <c r="B35" s="5" t="s">
        <v>20</v>
      </c>
      <c r="C35" s="22">
        <v>10</v>
      </c>
      <c r="D35" s="4"/>
      <c r="E35" s="4">
        <v>1.7130000000000001</v>
      </c>
      <c r="F35" s="4">
        <v>3.6850000000000001</v>
      </c>
      <c r="G35" s="4">
        <v>5.0439999999999996</v>
      </c>
      <c r="H35" s="4">
        <f t="shared" si="3"/>
        <v>9.6065128900949939E-2</v>
      </c>
      <c r="I35" s="4">
        <f t="shared" si="4"/>
        <v>0</v>
      </c>
      <c r="J35" s="10">
        <f t="shared" si="0"/>
        <v>0</v>
      </c>
    </row>
    <row r="36" spans="1:10" x14ac:dyDescent="0.2">
      <c r="A36" s="20"/>
      <c r="B36" s="6" t="s">
        <v>21</v>
      </c>
      <c r="C36" s="23"/>
      <c r="D36">
        <v>571</v>
      </c>
      <c r="E36">
        <v>1.728</v>
      </c>
      <c r="F36">
        <v>3.4340000000000002</v>
      </c>
      <c r="G36">
        <v>4.8170000000000002</v>
      </c>
      <c r="H36">
        <f t="shared" si="3"/>
        <v>0.10046592894583568</v>
      </c>
      <c r="I36">
        <f t="shared" si="4"/>
        <v>513.6339545719278</v>
      </c>
      <c r="J36" s="11" t="e">
        <f t="shared" si="0"/>
        <v>#DIV/0!</v>
      </c>
    </row>
    <row r="37" spans="1:10" x14ac:dyDescent="0.2">
      <c r="A37" s="25"/>
      <c r="B37" s="8" t="s">
        <v>22</v>
      </c>
      <c r="C37" s="26"/>
      <c r="D37" s="7"/>
      <c r="E37" s="7">
        <v>1.734</v>
      </c>
      <c r="F37" s="7">
        <v>3.4550000000000001</v>
      </c>
      <c r="G37" s="7">
        <v>4.8710000000000004</v>
      </c>
      <c r="H37" s="7">
        <f t="shared" si="3"/>
        <v>9.2040520984080929E-2</v>
      </c>
      <c r="I37" s="7">
        <f t="shared" si="4"/>
        <v>0</v>
      </c>
      <c r="J37" s="12" t="e">
        <f t="shared" si="0"/>
        <v>#DIV/0!</v>
      </c>
    </row>
    <row r="38" spans="1:10" x14ac:dyDescent="0.2">
      <c r="A38" s="19" t="s">
        <v>14</v>
      </c>
      <c r="B38" s="5" t="s">
        <v>20</v>
      </c>
      <c r="C38" s="22">
        <v>10</v>
      </c>
      <c r="D38" s="4"/>
      <c r="E38" s="4"/>
      <c r="F38" s="4"/>
      <c r="G38" s="4"/>
      <c r="H38" s="4" t="e">
        <f t="shared" si="3"/>
        <v>#DIV/0!</v>
      </c>
      <c r="I38" s="4" t="e">
        <f t="shared" si="4"/>
        <v>#DIV/0!</v>
      </c>
      <c r="J38" s="10" t="e">
        <f t="shared" si="0"/>
        <v>#DIV/0!</v>
      </c>
    </row>
    <row r="39" spans="1:10" x14ac:dyDescent="0.2">
      <c r="A39" s="20"/>
      <c r="B39" s="6" t="s">
        <v>21</v>
      </c>
      <c r="C39" s="23"/>
      <c r="H39" t="e">
        <f t="shared" si="3"/>
        <v>#DIV/0!</v>
      </c>
      <c r="I39" t="e">
        <f t="shared" si="4"/>
        <v>#DIV/0!</v>
      </c>
      <c r="J39" s="11" t="e">
        <f t="shared" si="0"/>
        <v>#DIV/0!</v>
      </c>
    </row>
    <row r="40" spans="1:10" ht="16" thickBot="1" x14ac:dyDescent="0.25">
      <c r="A40" s="21"/>
      <c r="B40" s="15" t="s">
        <v>22</v>
      </c>
      <c r="C40" s="24"/>
      <c r="D40" s="13"/>
      <c r="E40" s="13"/>
      <c r="F40" s="13"/>
      <c r="G40" s="13"/>
      <c r="H40" s="13" t="e">
        <f t="shared" si="3"/>
        <v>#DIV/0!</v>
      </c>
      <c r="I40" s="13" t="e">
        <f t="shared" si="4"/>
        <v>#DIV/0!</v>
      </c>
      <c r="J40" s="14" t="e">
        <f t="shared" si="0"/>
        <v>#DIV/0!</v>
      </c>
    </row>
    <row r="41" spans="1:10" ht="16" thickBot="1" x14ac:dyDescent="0.25">
      <c r="A41" s="44" t="s">
        <v>1</v>
      </c>
      <c r="B41" s="33"/>
      <c r="C41" s="33"/>
      <c r="D41" s="33" t="s">
        <v>31</v>
      </c>
      <c r="E41" s="34"/>
      <c r="F41" s="9" t="s">
        <v>0</v>
      </c>
      <c r="G41" s="18">
        <v>44159</v>
      </c>
      <c r="H41" s="35" t="s">
        <v>24</v>
      </c>
      <c r="I41" s="36"/>
      <c r="J41" s="1">
        <v>110</v>
      </c>
    </row>
    <row r="42" spans="1:10" ht="16" thickBot="1" x14ac:dyDescent="0.25">
      <c r="A42" s="37" t="s">
        <v>2</v>
      </c>
      <c r="B42" s="38"/>
      <c r="C42" s="38"/>
      <c r="D42" s="38"/>
      <c r="E42" s="39"/>
      <c r="F42" s="40"/>
      <c r="G42" s="41"/>
      <c r="H42" s="42" t="s">
        <v>25</v>
      </c>
      <c r="I42" s="43"/>
      <c r="J42" s="2">
        <v>37</v>
      </c>
    </row>
    <row r="43" spans="1:10" ht="16" thickBot="1" x14ac:dyDescent="0.25">
      <c r="A43" s="45" t="s">
        <v>27</v>
      </c>
      <c r="B43" s="27"/>
      <c r="C43" s="27"/>
      <c r="D43" s="27" t="s">
        <v>32</v>
      </c>
      <c r="E43" s="28"/>
      <c r="F43" s="16" t="s">
        <v>30</v>
      </c>
      <c r="G43" s="16">
        <v>3.81</v>
      </c>
      <c r="H43" s="29" t="s">
        <v>26</v>
      </c>
      <c r="I43" s="30"/>
      <c r="J43" s="3">
        <v>54</v>
      </c>
    </row>
    <row r="44" spans="1:10" x14ac:dyDescent="0.2">
      <c r="A44" s="31"/>
      <c r="B44" s="32"/>
      <c r="C44" s="16" t="s">
        <v>29</v>
      </c>
      <c r="D44" s="16" t="s">
        <v>19</v>
      </c>
      <c r="E44" s="16" t="s">
        <v>15</v>
      </c>
      <c r="F44" s="16" t="s">
        <v>18</v>
      </c>
      <c r="G44" s="16" t="s">
        <v>17</v>
      </c>
      <c r="H44" s="16" t="s">
        <v>28</v>
      </c>
      <c r="I44" s="16" t="s">
        <v>16</v>
      </c>
      <c r="J44" s="17" t="s">
        <v>23</v>
      </c>
    </row>
    <row r="45" spans="1:10" x14ac:dyDescent="0.2">
      <c r="A45" s="19" t="s">
        <v>3</v>
      </c>
      <c r="B45" s="5" t="s">
        <v>20</v>
      </c>
      <c r="C45" s="22">
        <v>10</v>
      </c>
      <c r="D45" s="4"/>
      <c r="E45" s="4">
        <v>1.7330000000000001</v>
      </c>
      <c r="F45" s="4">
        <v>3.9809999999999999</v>
      </c>
      <c r="G45" s="4">
        <v>5.0730000000000004</v>
      </c>
      <c r="H45" s="4">
        <f>(F45-(G45-E45))/F45</f>
        <v>0.16101482039688511</v>
      </c>
      <c r="I45" s="4">
        <f>D45-H45*D45</f>
        <v>0</v>
      </c>
      <c r="J45" s="10">
        <f t="shared" ref="J45:J80" si="5">I45/($G$3^2*C45*PI())</f>
        <v>0</v>
      </c>
    </row>
    <row r="46" spans="1:10" x14ac:dyDescent="0.2">
      <c r="A46" s="20"/>
      <c r="B46" s="6" t="s">
        <v>21</v>
      </c>
      <c r="C46" s="23"/>
      <c r="D46">
        <v>755</v>
      </c>
      <c r="E46">
        <v>1.708</v>
      </c>
      <c r="F46">
        <v>3.3519999999999999</v>
      </c>
      <c r="G46">
        <v>4.5289999999999999</v>
      </c>
      <c r="H46">
        <f t="shared" ref="H46:H80" si="6">(F46-(G46-E46))/F46</f>
        <v>0.15841288782816235</v>
      </c>
      <c r="I46">
        <f t="shared" ref="I46:I80" si="7">D46-H46*D46</f>
        <v>635.39826968973739</v>
      </c>
      <c r="J46" s="11" t="e">
        <f t="shared" si="5"/>
        <v>#DIV/0!</v>
      </c>
    </row>
    <row r="47" spans="1:10" x14ac:dyDescent="0.2">
      <c r="A47" s="25"/>
      <c r="B47" s="8" t="s">
        <v>22</v>
      </c>
      <c r="C47" s="26"/>
      <c r="D47" s="7"/>
      <c r="E47" s="7">
        <v>1.724</v>
      </c>
      <c r="F47" s="7">
        <v>3.133</v>
      </c>
      <c r="G47" s="7">
        <v>4.3570000000000002</v>
      </c>
      <c r="H47" s="7">
        <f t="shared" si="6"/>
        <v>0.15959144589849983</v>
      </c>
      <c r="I47" s="7">
        <f t="shared" si="7"/>
        <v>0</v>
      </c>
      <c r="J47" s="12" t="e">
        <f t="shared" si="5"/>
        <v>#DIV/0!</v>
      </c>
    </row>
    <row r="48" spans="1:10" x14ac:dyDescent="0.2">
      <c r="A48" s="19" t="s">
        <v>4</v>
      </c>
      <c r="B48" s="5" t="s">
        <v>20</v>
      </c>
      <c r="C48" s="23">
        <v>10</v>
      </c>
      <c r="E48">
        <v>1.73</v>
      </c>
      <c r="F48">
        <v>3.351</v>
      </c>
      <c r="G48">
        <v>4.6070000000000002</v>
      </c>
      <c r="H48" s="4">
        <f t="shared" si="6"/>
        <v>0.14145031333930164</v>
      </c>
      <c r="I48" s="4">
        <f t="shared" si="7"/>
        <v>0</v>
      </c>
      <c r="J48" s="10">
        <f t="shared" si="5"/>
        <v>0</v>
      </c>
    </row>
    <row r="49" spans="1:10" x14ac:dyDescent="0.2">
      <c r="A49" s="20"/>
      <c r="B49" s="6" t="s">
        <v>21</v>
      </c>
      <c r="C49" s="23"/>
      <c r="D49">
        <v>840</v>
      </c>
      <c r="E49">
        <v>1.734</v>
      </c>
      <c r="F49">
        <v>3.3290000000000002</v>
      </c>
      <c r="G49">
        <v>4.6159999999999997</v>
      </c>
      <c r="H49">
        <f t="shared" si="6"/>
        <v>0.13427455692400134</v>
      </c>
      <c r="I49">
        <f t="shared" si="7"/>
        <v>727.20937218383892</v>
      </c>
      <c r="J49" s="11" t="e">
        <f t="shared" si="5"/>
        <v>#DIV/0!</v>
      </c>
    </row>
    <row r="50" spans="1:10" x14ac:dyDescent="0.2">
      <c r="A50" s="25"/>
      <c r="B50" s="8" t="s">
        <v>22</v>
      </c>
      <c r="C50" s="26"/>
      <c r="D50" s="7"/>
      <c r="E50" s="7">
        <v>1.726</v>
      </c>
      <c r="F50" s="7">
        <v>3.1739999999999999</v>
      </c>
      <c r="G50" s="7">
        <v>4.4649999999999999</v>
      </c>
      <c r="H50" s="7">
        <f t="shared" si="6"/>
        <v>0.13705103969754256</v>
      </c>
      <c r="I50" s="7">
        <f t="shared" si="7"/>
        <v>0</v>
      </c>
      <c r="J50" s="12" t="e">
        <f t="shared" si="5"/>
        <v>#DIV/0!</v>
      </c>
    </row>
    <row r="51" spans="1:10" x14ac:dyDescent="0.2">
      <c r="A51" s="19" t="s">
        <v>5</v>
      </c>
      <c r="B51" s="5" t="s">
        <v>20</v>
      </c>
      <c r="C51" s="22">
        <v>10</v>
      </c>
      <c r="D51" s="4"/>
      <c r="E51" s="4">
        <v>1.73</v>
      </c>
      <c r="F51" s="4">
        <v>3.17</v>
      </c>
      <c r="G51" s="4">
        <v>4.4610000000000003</v>
      </c>
      <c r="H51" s="4">
        <f t="shared" si="6"/>
        <v>0.13848580441640368</v>
      </c>
      <c r="I51" s="4">
        <f t="shared" si="7"/>
        <v>0</v>
      </c>
      <c r="J51" s="10">
        <f t="shared" si="5"/>
        <v>0</v>
      </c>
    </row>
    <row r="52" spans="1:10" x14ac:dyDescent="0.2">
      <c r="A52" s="20"/>
      <c r="B52" s="6" t="s">
        <v>21</v>
      </c>
      <c r="C52" s="23"/>
      <c r="D52">
        <v>862</v>
      </c>
      <c r="E52">
        <v>1.7150000000000001</v>
      </c>
      <c r="F52">
        <v>3.78</v>
      </c>
      <c r="G52">
        <v>4.9809999999999999</v>
      </c>
      <c r="H52">
        <f t="shared" si="6"/>
        <v>0.13597883597883592</v>
      </c>
      <c r="I52">
        <f t="shared" si="7"/>
        <v>744.78624338624343</v>
      </c>
      <c r="J52" s="11" t="e">
        <f t="shared" si="5"/>
        <v>#DIV/0!</v>
      </c>
    </row>
    <row r="53" spans="1:10" x14ac:dyDescent="0.2">
      <c r="A53" s="25"/>
      <c r="B53" s="8" t="s">
        <v>22</v>
      </c>
      <c r="C53" s="26"/>
      <c r="D53" s="7"/>
      <c r="E53" s="7">
        <v>1.7230000000000001</v>
      </c>
      <c r="F53" s="7">
        <v>3.6219999999999999</v>
      </c>
      <c r="G53" s="7">
        <v>4.8479999999999999</v>
      </c>
      <c r="H53" s="7">
        <f t="shared" si="6"/>
        <v>0.13721700717835447</v>
      </c>
      <c r="I53" s="7">
        <f t="shared" si="7"/>
        <v>0</v>
      </c>
      <c r="J53" s="12" t="e">
        <f t="shared" si="5"/>
        <v>#DIV/0!</v>
      </c>
    </row>
    <row r="54" spans="1:10" x14ac:dyDescent="0.2">
      <c r="A54" s="19" t="s">
        <v>6</v>
      </c>
      <c r="B54" s="5" t="s">
        <v>20</v>
      </c>
      <c r="C54" s="22">
        <v>10</v>
      </c>
      <c r="D54" s="4"/>
      <c r="E54" s="4">
        <v>1.7270000000000001</v>
      </c>
      <c r="F54" s="4">
        <v>3.9790000000000001</v>
      </c>
      <c r="G54" s="4">
        <v>5.157</v>
      </c>
      <c r="H54" s="4">
        <f t="shared" si="6"/>
        <v>0.13797436541844693</v>
      </c>
      <c r="I54" s="4">
        <f t="shared" si="7"/>
        <v>0</v>
      </c>
      <c r="J54" s="10">
        <f t="shared" si="5"/>
        <v>0</v>
      </c>
    </row>
    <row r="55" spans="1:10" x14ac:dyDescent="0.2">
      <c r="A55" s="20"/>
      <c r="B55" s="6" t="s">
        <v>21</v>
      </c>
      <c r="C55" s="23"/>
      <c r="D55">
        <v>847</v>
      </c>
      <c r="E55">
        <v>1.716</v>
      </c>
      <c r="F55">
        <v>3.903</v>
      </c>
      <c r="G55">
        <v>5.08</v>
      </c>
      <c r="H55">
        <f t="shared" si="6"/>
        <v>0.1380988982833718</v>
      </c>
      <c r="I55">
        <f t="shared" si="7"/>
        <v>730.03023315398411</v>
      </c>
      <c r="J55" s="11" t="e">
        <f t="shared" si="5"/>
        <v>#DIV/0!</v>
      </c>
    </row>
    <row r="56" spans="1:10" x14ac:dyDescent="0.2">
      <c r="A56" s="25"/>
      <c r="B56" s="8" t="s">
        <v>22</v>
      </c>
      <c r="C56" s="26"/>
      <c r="D56" s="7"/>
      <c r="E56" s="7">
        <v>1.7310000000000001</v>
      </c>
      <c r="F56" s="7">
        <v>3.3439999999999999</v>
      </c>
      <c r="G56" s="7">
        <v>4.6079999999999997</v>
      </c>
      <c r="H56" s="7">
        <f t="shared" si="6"/>
        <v>0.13965311004784692</v>
      </c>
      <c r="I56" s="7">
        <f t="shared" si="7"/>
        <v>0</v>
      </c>
      <c r="J56" s="12" t="e">
        <f t="shared" si="5"/>
        <v>#DIV/0!</v>
      </c>
    </row>
    <row r="57" spans="1:10" x14ac:dyDescent="0.2">
      <c r="A57" s="19" t="s">
        <v>7</v>
      </c>
      <c r="B57" s="5" t="s">
        <v>20</v>
      </c>
      <c r="C57" s="22">
        <v>10</v>
      </c>
      <c r="D57" s="4"/>
      <c r="E57" s="4">
        <v>1.712</v>
      </c>
      <c r="F57" s="4">
        <v>3.32</v>
      </c>
      <c r="G57" s="4">
        <v>4.5789999999999997</v>
      </c>
      <c r="H57" s="4">
        <f t="shared" si="6"/>
        <v>0.13644578313253009</v>
      </c>
      <c r="I57" s="4">
        <f t="shared" si="7"/>
        <v>0</v>
      </c>
      <c r="J57" s="10">
        <f t="shared" si="5"/>
        <v>0</v>
      </c>
    </row>
    <row r="58" spans="1:10" x14ac:dyDescent="0.2">
      <c r="A58" s="20"/>
      <c r="B58" s="6" t="s">
        <v>21</v>
      </c>
      <c r="C58" s="23"/>
      <c r="D58">
        <v>838</v>
      </c>
      <c r="E58">
        <v>1.732</v>
      </c>
      <c r="F58">
        <v>3.2050000000000001</v>
      </c>
      <c r="G58">
        <v>4.4950000000000001</v>
      </c>
      <c r="H58">
        <f t="shared" si="6"/>
        <v>0.13790951638065527</v>
      </c>
      <c r="I58">
        <f t="shared" si="7"/>
        <v>722.43182527301087</v>
      </c>
      <c r="J58" s="11" t="e">
        <f t="shared" si="5"/>
        <v>#DIV/0!</v>
      </c>
    </row>
    <row r="59" spans="1:10" x14ac:dyDescent="0.2">
      <c r="A59" s="25"/>
      <c r="B59" s="8" t="s">
        <v>22</v>
      </c>
      <c r="C59" s="26"/>
      <c r="D59" s="7"/>
      <c r="E59" s="7">
        <v>1.72</v>
      </c>
      <c r="F59" s="7">
        <v>3.2229999999999999</v>
      </c>
      <c r="G59" s="7">
        <v>4.4770000000000003</v>
      </c>
      <c r="H59" s="7">
        <f t="shared" si="6"/>
        <v>0.14458578963698396</v>
      </c>
      <c r="I59" s="7">
        <f t="shared" si="7"/>
        <v>0</v>
      </c>
      <c r="J59" s="12" t="e">
        <f t="shared" si="5"/>
        <v>#DIV/0!</v>
      </c>
    </row>
    <row r="60" spans="1:10" x14ac:dyDescent="0.2">
      <c r="A60" s="19" t="s">
        <v>8</v>
      </c>
      <c r="B60" s="5" t="s">
        <v>20</v>
      </c>
      <c r="C60" s="22">
        <v>10</v>
      </c>
      <c r="D60" s="4"/>
      <c r="E60" s="4">
        <v>1.7270000000000001</v>
      </c>
      <c r="F60" s="4">
        <v>3.1970000000000001</v>
      </c>
      <c r="G60" s="4">
        <v>4.4939999999999998</v>
      </c>
      <c r="H60" s="4">
        <f t="shared" si="6"/>
        <v>0.13450109477635303</v>
      </c>
      <c r="I60" s="4">
        <f t="shared" si="7"/>
        <v>0</v>
      </c>
      <c r="J60" s="10">
        <f t="shared" si="5"/>
        <v>0</v>
      </c>
    </row>
    <row r="61" spans="1:10" x14ac:dyDescent="0.2">
      <c r="A61" s="20"/>
      <c r="B61" s="6" t="s">
        <v>21</v>
      </c>
      <c r="C61" s="23"/>
      <c r="D61">
        <v>939</v>
      </c>
      <c r="E61">
        <v>1.74</v>
      </c>
      <c r="F61">
        <v>3.3410000000000002</v>
      </c>
      <c r="G61">
        <v>4.6159999999999997</v>
      </c>
      <c r="H61">
        <f t="shared" si="6"/>
        <v>0.13917988626159855</v>
      </c>
      <c r="I61">
        <f t="shared" si="7"/>
        <v>808.31008680035893</v>
      </c>
      <c r="J61" s="11" t="e">
        <f t="shared" si="5"/>
        <v>#DIV/0!</v>
      </c>
    </row>
    <row r="62" spans="1:10" x14ac:dyDescent="0.2">
      <c r="A62" s="25"/>
      <c r="B62" s="8" t="s">
        <v>22</v>
      </c>
      <c r="C62" s="26"/>
      <c r="D62" s="7"/>
      <c r="E62" s="7">
        <v>1.7370000000000001</v>
      </c>
      <c r="F62" s="7">
        <v>3.7679999999999998</v>
      </c>
      <c r="G62" s="7">
        <v>5</v>
      </c>
      <c r="H62" s="7">
        <f t="shared" si="6"/>
        <v>0.13402335456475581</v>
      </c>
      <c r="I62" s="7">
        <f t="shared" si="7"/>
        <v>0</v>
      </c>
      <c r="J62" s="12" t="e">
        <f t="shared" si="5"/>
        <v>#DIV/0!</v>
      </c>
    </row>
    <row r="63" spans="1:10" x14ac:dyDescent="0.2">
      <c r="A63" s="19" t="s">
        <v>9</v>
      </c>
      <c r="B63" s="5" t="s">
        <v>20</v>
      </c>
      <c r="C63" s="22">
        <v>10</v>
      </c>
      <c r="D63" s="4"/>
      <c r="E63" s="4">
        <v>1.716</v>
      </c>
      <c r="F63" s="4">
        <v>3.395</v>
      </c>
      <c r="G63" s="4">
        <v>4.6920000000000002</v>
      </c>
      <c r="H63" s="4">
        <f t="shared" si="6"/>
        <v>0.12341678939617085</v>
      </c>
      <c r="I63" s="4">
        <f t="shared" si="7"/>
        <v>0</v>
      </c>
      <c r="J63" s="10">
        <f t="shared" si="5"/>
        <v>0</v>
      </c>
    </row>
    <row r="64" spans="1:10" x14ac:dyDescent="0.2">
      <c r="A64" s="20"/>
      <c r="B64" s="6" t="s">
        <v>21</v>
      </c>
      <c r="C64" s="23"/>
      <c r="D64">
        <v>986</v>
      </c>
      <c r="E64">
        <v>1.7170000000000001</v>
      </c>
      <c r="F64">
        <v>3.5870000000000002</v>
      </c>
      <c r="G64">
        <v>4.8579999999999997</v>
      </c>
      <c r="H64">
        <f t="shared" si="6"/>
        <v>0.12433788681349334</v>
      </c>
      <c r="I64">
        <f t="shared" si="7"/>
        <v>863.4028436018956</v>
      </c>
      <c r="J64" s="11" t="e">
        <f t="shared" si="5"/>
        <v>#DIV/0!</v>
      </c>
    </row>
    <row r="65" spans="1:10" x14ac:dyDescent="0.2">
      <c r="A65" s="25"/>
      <c r="B65" s="8" t="s">
        <v>22</v>
      </c>
      <c r="C65" s="26"/>
      <c r="D65" s="7"/>
      <c r="E65" s="7">
        <v>1.7210000000000001</v>
      </c>
      <c r="F65" s="7">
        <v>3.2829999999999999</v>
      </c>
      <c r="G65" s="7">
        <v>4.5910000000000002</v>
      </c>
      <c r="H65" s="7">
        <f t="shared" si="6"/>
        <v>0.12579957356076754</v>
      </c>
      <c r="I65" s="7">
        <f t="shared" si="7"/>
        <v>0</v>
      </c>
      <c r="J65" s="12" t="e">
        <f t="shared" si="5"/>
        <v>#DIV/0!</v>
      </c>
    </row>
    <row r="66" spans="1:10" x14ac:dyDescent="0.2">
      <c r="A66" s="19" t="s">
        <v>10</v>
      </c>
      <c r="B66" s="5" t="s">
        <v>20</v>
      </c>
      <c r="C66" s="22">
        <v>10</v>
      </c>
      <c r="D66" s="4"/>
      <c r="E66" s="4">
        <v>1.7270000000000001</v>
      </c>
      <c r="F66" s="4">
        <v>3.18</v>
      </c>
      <c r="G66" s="4">
        <v>4.6900000000000004</v>
      </c>
      <c r="H66" s="4">
        <f t="shared" si="6"/>
        <v>6.823899371069185E-2</v>
      </c>
      <c r="I66" s="4">
        <f t="shared" si="7"/>
        <v>0</v>
      </c>
      <c r="J66" s="10">
        <f t="shared" si="5"/>
        <v>0</v>
      </c>
    </row>
    <row r="67" spans="1:10" x14ac:dyDescent="0.2">
      <c r="A67" s="20"/>
      <c r="B67" s="6" t="s">
        <v>21</v>
      </c>
      <c r="C67" s="23"/>
      <c r="D67">
        <v>812</v>
      </c>
      <c r="E67">
        <v>1.7350000000000001</v>
      </c>
      <c r="F67">
        <v>3.0230000000000001</v>
      </c>
      <c r="G67">
        <v>4.5490000000000004</v>
      </c>
      <c r="H67">
        <f t="shared" si="6"/>
        <v>6.9136619252398307E-2</v>
      </c>
      <c r="I67">
        <f t="shared" si="7"/>
        <v>755.86106516705263</v>
      </c>
      <c r="J67" s="11" t="e">
        <f t="shared" si="5"/>
        <v>#DIV/0!</v>
      </c>
    </row>
    <row r="68" spans="1:10" x14ac:dyDescent="0.2">
      <c r="A68" s="25"/>
      <c r="B68" s="8" t="s">
        <v>22</v>
      </c>
      <c r="C68" s="26"/>
      <c r="D68" s="7"/>
      <c r="E68" s="7">
        <v>4.7309999999999999</v>
      </c>
      <c r="F68" s="7">
        <v>3.4239999999999999</v>
      </c>
      <c r="G68" s="7">
        <v>4.9189999999999996</v>
      </c>
      <c r="H68" s="7">
        <f t="shared" si="6"/>
        <v>0.9450934579439253</v>
      </c>
      <c r="I68" s="7">
        <f t="shared" si="7"/>
        <v>0</v>
      </c>
      <c r="J68" s="12" t="e">
        <f t="shared" si="5"/>
        <v>#DIV/0!</v>
      </c>
    </row>
    <row r="69" spans="1:10" x14ac:dyDescent="0.2">
      <c r="A69" s="19" t="s">
        <v>11</v>
      </c>
      <c r="B69" s="5" t="s">
        <v>20</v>
      </c>
      <c r="C69" s="22">
        <v>10</v>
      </c>
      <c r="D69" s="4"/>
      <c r="E69" s="4">
        <v>1.728</v>
      </c>
      <c r="F69" s="4">
        <v>3.0419999999999998</v>
      </c>
      <c r="G69" s="4">
        <v>4.5990000000000002</v>
      </c>
      <c r="H69" s="4">
        <f t="shared" si="6"/>
        <v>5.6213017751479084E-2</v>
      </c>
      <c r="I69" s="4">
        <f t="shared" si="7"/>
        <v>0</v>
      </c>
      <c r="J69" s="10">
        <f t="shared" si="5"/>
        <v>0</v>
      </c>
    </row>
    <row r="70" spans="1:10" x14ac:dyDescent="0.2">
      <c r="A70" s="20"/>
      <c r="B70" s="6" t="s">
        <v>21</v>
      </c>
      <c r="C70" s="23"/>
      <c r="D70">
        <v>749</v>
      </c>
      <c r="E70">
        <v>1.73</v>
      </c>
      <c r="F70">
        <v>3.081</v>
      </c>
      <c r="G70">
        <v>4.6399999999999997</v>
      </c>
      <c r="H70">
        <f t="shared" si="6"/>
        <v>5.5501460564751789E-2</v>
      </c>
      <c r="I70">
        <f t="shared" si="7"/>
        <v>707.42940603700094</v>
      </c>
      <c r="J70" s="11" t="e">
        <f t="shared" si="5"/>
        <v>#DIV/0!</v>
      </c>
    </row>
    <row r="71" spans="1:10" x14ac:dyDescent="0.2">
      <c r="A71" s="25"/>
      <c r="B71" s="8" t="s">
        <v>22</v>
      </c>
      <c r="C71" s="26"/>
      <c r="D71" s="7"/>
      <c r="E71" s="7">
        <v>1.7150000000000001</v>
      </c>
      <c r="F71" s="7">
        <v>3.266</v>
      </c>
      <c r="G71" s="7">
        <v>4.7619999999999996</v>
      </c>
      <c r="H71" s="7">
        <f t="shared" si="6"/>
        <v>6.7054500918554902E-2</v>
      </c>
      <c r="I71" s="7">
        <f t="shared" si="7"/>
        <v>0</v>
      </c>
      <c r="J71" s="12" t="e">
        <f t="shared" si="5"/>
        <v>#DIV/0!</v>
      </c>
    </row>
    <row r="72" spans="1:10" x14ac:dyDescent="0.2">
      <c r="A72" s="19" t="s">
        <v>12</v>
      </c>
      <c r="B72" s="5" t="s">
        <v>20</v>
      </c>
      <c r="C72" s="22">
        <v>10</v>
      </c>
      <c r="D72" s="4"/>
      <c r="E72" s="4">
        <v>1.71</v>
      </c>
      <c r="F72" s="4">
        <v>3.4350000000000001</v>
      </c>
      <c r="G72" s="4">
        <v>4.9059999999999997</v>
      </c>
      <c r="H72" s="4">
        <f t="shared" si="6"/>
        <v>6.9577874818049584E-2</v>
      </c>
      <c r="I72" s="4">
        <f t="shared" si="7"/>
        <v>0</v>
      </c>
      <c r="J72" s="10">
        <f t="shared" si="5"/>
        <v>0</v>
      </c>
    </row>
    <row r="73" spans="1:10" x14ac:dyDescent="0.2">
      <c r="A73" s="20"/>
      <c r="B73" s="6" t="s">
        <v>21</v>
      </c>
      <c r="C73" s="23"/>
      <c r="D73">
        <v>848</v>
      </c>
      <c r="E73">
        <v>1.7250000000000001</v>
      </c>
      <c r="F73">
        <v>3.242</v>
      </c>
      <c r="G73">
        <v>4.7910000000000004</v>
      </c>
      <c r="H73">
        <f t="shared" si="6"/>
        <v>5.4287476866131931E-2</v>
      </c>
      <c r="I73">
        <f t="shared" si="7"/>
        <v>801.96421961752014</v>
      </c>
      <c r="J73" s="11" t="e">
        <f t="shared" si="5"/>
        <v>#DIV/0!</v>
      </c>
    </row>
    <row r="74" spans="1:10" x14ac:dyDescent="0.2">
      <c r="A74" s="25"/>
      <c r="B74" s="8" t="s">
        <v>22</v>
      </c>
      <c r="C74" s="26"/>
      <c r="D74" s="7"/>
      <c r="E74" s="7">
        <v>1.724</v>
      </c>
      <c r="F74" s="7">
        <v>3.8439999999999999</v>
      </c>
      <c r="G74" s="7">
        <v>5.3159999999999998</v>
      </c>
      <c r="H74" s="7">
        <f t="shared" si="6"/>
        <v>6.5556711758584865E-2</v>
      </c>
      <c r="I74" s="7">
        <f t="shared" si="7"/>
        <v>0</v>
      </c>
      <c r="J74" s="12" t="e">
        <f t="shared" si="5"/>
        <v>#DIV/0!</v>
      </c>
    </row>
    <row r="75" spans="1:10" x14ac:dyDescent="0.2">
      <c r="A75" s="19" t="s">
        <v>13</v>
      </c>
      <c r="B75" s="5" t="s">
        <v>20</v>
      </c>
      <c r="C75" s="22">
        <v>10</v>
      </c>
      <c r="D75" s="4"/>
      <c r="E75" s="4">
        <v>1.728</v>
      </c>
      <c r="F75" s="4">
        <v>3.9769999999999999</v>
      </c>
      <c r="G75" s="4">
        <v>5.4370000000000003</v>
      </c>
      <c r="H75" s="4">
        <f t="shared" si="6"/>
        <v>6.7387477998491166E-2</v>
      </c>
      <c r="I75" s="4">
        <f t="shared" si="7"/>
        <v>0</v>
      </c>
      <c r="J75" s="10">
        <f t="shared" si="5"/>
        <v>0</v>
      </c>
    </row>
    <row r="76" spans="1:10" x14ac:dyDescent="0.2">
      <c r="A76" s="20"/>
      <c r="B76" s="6" t="s">
        <v>21</v>
      </c>
      <c r="C76" s="23"/>
      <c r="D76">
        <v>862</v>
      </c>
      <c r="E76">
        <v>1.7410000000000001</v>
      </c>
      <c r="F76">
        <v>3.0870000000000002</v>
      </c>
      <c r="G76">
        <v>4.6360000000000001</v>
      </c>
      <c r="H76">
        <f t="shared" si="6"/>
        <v>6.219630709426633E-2</v>
      </c>
      <c r="I76">
        <f t="shared" si="7"/>
        <v>808.38678328474248</v>
      </c>
      <c r="J76" s="11" t="e">
        <f t="shared" si="5"/>
        <v>#DIV/0!</v>
      </c>
    </row>
    <row r="77" spans="1:10" x14ac:dyDescent="0.2">
      <c r="A77" s="25"/>
      <c r="B77" s="8" t="s">
        <v>22</v>
      </c>
      <c r="C77" s="26"/>
      <c r="D77" s="7"/>
      <c r="E77" s="7">
        <v>1.73</v>
      </c>
      <c r="F77" s="7">
        <v>3.468</v>
      </c>
      <c r="G77" s="7">
        <v>4.9269999999999996</v>
      </c>
      <c r="H77" s="7">
        <f t="shared" si="6"/>
        <v>7.8143021914648308E-2</v>
      </c>
      <c r="I77" s="7">
        <f t="shared" si="7"/>
        <v>0</v>
      </c>
      <c r="J77" s="12" t="e">
        <f t="shared" si="5"/>
        <v>#DIV/0!</v>
      </c>
    </row>
    <row r="78" spans="1:10" x14ac:dyDescent="0.2">
      <c r="A78" s="19" t="s">
        <v>14</v>
      </c>
      <c r="B78" s="5" t="s">
        <v>20</v>
      </c>
      <c r="C78" s="22">
        <v>10</v>
      </c>
      <c r="D78" s="4"/>
      <c r="E78" s="4"/>
      <c r="F78" s="4"/>
      <c r="G78" s="4"/>
      <c r="H78" s="4" t="e">
        <f t="shared" si="6"/>
        <v>#DIV/0!</v>
      </c>
      <c r="I78" s="4" t="e">
        <f t="shared" si="7"/>
        <v>#DIV/0!</v>
      </c>
      <c r="J78" s="10" t="e">
        <f t="shared" si="5"/>
        <v>#DIV/0!</v>
      </c>
    </row>
    <row r="79" spans="1:10" x14ac:dyDescent="0.2">
      <c r="A79" s="20"/>
      <c r="B79" s="6" t="s">
        <v>21</v>
      </c>
      <c r="C79" s="23"/>
      <c r="H79" t="e">
        <f t="shared" si="6"/>
        <v>#DIV/0!</v>
      </c>
      <c r="I79" t="e">
        <f t="shared" si="7"/>
        <v>#DIV/0!</v>
      </c>
      <c r="J79" s="11" t="e">
        <f t="shared" si="5"/>
        <v>#DIV/0!</v>
      </c>
    </row>
    <row r="80" spans="1:10" ht="16" thickBot="1" x14ac:dyDescent="0.25">
      <c r="A80" s="21"/>
      <c r="B80" s="15" t="s">
        <v>22</v>
      </c>
      <c r="C80" s="24"/>
      <c r="D80" s="13"/>
      <c r="E80" s="13"/>
      <c r="F80" s="13"/>
      <c r="G80" s="13"/>
      <c r="H80" s="13" t="e">
        <f t="shared" si="6"/>
        <v>#DIV/0!</v>
      </c>
      <c r="I80" s="13" t="e">
        <f t="shared" si="7"/>
        <v>#DIV/0!</v>
      </c>
      <c r="J80" s="14" t="e">
        <f t="shared" si="5"/>
        <v>#DIV/0!</v>
      </c>
    </row>
    <row r="81" spans="1:10" ht="16" thickBot="1" x14ac:dyDescent="0.25">
      <c r="A81" s="44" t="s">
        <v>1</v>
      </c>
      <c r="B81" s="33"/>
      <c r="C81" s="33"/>
      <c r="D81" s="33" t="s">
        <v>34</v>
      </c>
      <c r="E81" s="34"/>
      <c r="F81" s="9" t="s">
        <v>0</v>
      </c>
      <c r="G81" s="18">
        <v>44159</v>
      </c>
      <c r="H81" s="35" t="s">
        <v>24</v>
      </c>
      <c r="I81" s="36"/>
      <c r="J81" s="1">
        <v>90</v>
      </c>
    </row>
    <row r="82" spans="1:10" ht="16" thickBot="1" x14ac:dyDescent="0.25">
      <c r="A82" s="37" t="s">
        <v>2</v>
      </c>
      <c r="B82" s="38"/>
      <c r="C82" s="38"/>
      <c r="D82" s="38"/>
      <c r="E82" s="39"/>
      <c r="F82" s="40"/>
      <c r="G82" s="41"/>
      <c r="H82" s="42" t="s">
        <v>25</v>
      </c>
      <c r="I82" s="43"/>
      <c r="J82" s="2">
        <v>20</v>
      </c>
    </row>
    <row r="83" spans="1:10" ht="16" thickBot="1" x14ac:dyDescent="0.25">
      <c r="A83" s="45" t="s">
        <v>27</v>
      </c>
      <c r="B83" s="27"/>
      <c r="C83" s="27"/>
      <c r="D83" s="27" t="s">
        <v>32</v>
      </c>
      <c r="E83" s="28"/>
      <c r="F83" s="16" t="s">
        <v>30</v>
      </c>
      <c r="G83" s="16">
        <v>3.81</v>
      </c>
      <c r="H83" s="29" t="s">
        <v>26</v>
      </c>
      <c r="I83" s="30"/>
      <c r="J83" s="3">
        <v>50</v>
      </c>
    </row>
    <row r="84" spans="1:10" x14ac:dyDescent="0.2">
      <c r="A84" s="31"/>
      <c r="B84" s="32"/>
      <c r="C84" s="16" t="s">
        <v>29</v>
      </c>
      <c r="D84" s="16" t="s">
        <v>19</v>
      </c>
      <c r="E84" s="16" t="s">
        <v>15</v>
      </c>
      <c r="F84" s="16" t="s">
        <v>18</v>
      </c>
      <c r="G84" s="16" t="s">
        <v>17</v>
      </c>
      <c r="H84" s="16" t="s">
        <v>28</v>
      </c>
      <c r="I84" s="16" t="s">
        <v>16</v>
      </c>
      <c r="J84" s="17" t="s">
        <v>23</v>
      </c>
    </row>
    <row r="85" spans="1:10" x14ac:dyDescent="0.2">
      <c r="A85" s="19" t="s">
        <v>3</v>
      </c>
      <c r="B85" s="5" t="s">
        <v>20</v>
      </c>
      <c r="C85" s="22">
        <v>10</v>
      </c>
      <c r="D85" s="4"/>
      <c r="E85" s="4">
        <v>2.456</v>
      </c>
      <c r="F85" s="4">
        <v>3.407</v>
      </c>
      <c r="G85" s="4">
        <v>5.266</v>
      </c>
      <c r="H85" s="4">
        <f>(F85-(G85-E85))/F85</f>
        <v>0.17522747285001466</v>
      </c>
      <c r="I85" s="4">
        <f>D85-H85*D85</f>
        <v>0</v>
      </c>
      <c r="J85" s="10">
        <f t="shared" ref="J85:J120" si="8">I85/($G$3^2*C85*PI())</f>
        <v>0</v>
      </c>
    </row>
    <row r="86" spans="1:10" x14ac:dyDescent="0.2">
      <c r="A86" s="20"/>
      <c r="B86" s="6" t="s">
        <v>21</v>
      </c>
      <c r="C86" s="23"/>
      <c r="D86">
        <v>564</v>
      </c>
      <c r="E86">
        <v>2.4550000000000001</v>
      </c>
      <c r="F86">
        <v>3.3450000000000002</v>
      </c>
      <c r="G86">
        <v>5.3520000000000003</v>
      </c>
      <c r="H86">
        <f t="shared" ref="H86:H120" si="9">(F86-(G86-E86))/F86</f>
        <v>0.13393124065769804</v>
      </c>
      <c r="I86">
        <f t="shared" ref="I86:I120" si="10">D86-H86*D86</f>
        <v>488.46278026905827</v>
      </c>
      <c r="J86" s="11" t="e">
        <f t="shared" si="8"/>
        <v>#DIV/0!</v>
      </c>
    </row>
    <row r="87" spans="1:10" x14ac:dyDescent="0.2">
      <c r="A87" s="25"/>
      <c r="B87" s="8" t="s">
        <v>22</v>
      </c>
      <c r="C87" s="26"/>
      <c r="D87" s="7"/>
      <c r="E87" s="7">
        <v>2.4580000000000002</v>
      </c>
      <c r="F87" s="7">
        <v>3.57</v>
      </c>
      <c r="G87" s="7">
        <v>5.51</v>
      </c>
      <c r="H87" s="7">
        <f t="shared" si="9"/>
        <v>0.14509803921568634</v>
      </c>
      <c r="I87" s="7">
        <f t="shared" si="10"/>
        <v>0</v>
      </c>
      <c r="J87" s="12" t="e">
        <f t="shared" si="8"/>
        <v>#DIV/0!</v>
      </c>
    </row>
    <row r="88" spans="1:10" x14ac:dyDescent="0.2">
      <c r="A88" s="19" t="s">
        <v>4</v>
      </c>
      <c r="B88" s="5" t="s">
        <v>20</v>
      </c>
      <c r="C88" s="23">
        <v>10</v>
      </c>
      <c r="E88">
        <v>2.42</v>
      </c>
      <c r="F88">
        <v>3.4289999999999998</v>
      </c>
      <c r="G88">
        <v>5.5019999999999998</v>
      </c>
      <c r="H88" s="4">
        <f t="shared" si="9"/>
        <v>0.10119568387284923</v>
      </c>
      <c r="I88" s="4">
        <f t="shared" si="10"/>
        <v>0</v>
      </c>
      <c r="J88" s="10">
        <f t="shared" si="8"/>
        <v>0</v>
      </c>
    </row>
    <row r="89" spans="1:10" x14ac:dyDescent="0.2">
      <c r="A89" s="20"/>
      <c r="B89" s="6" t="s">
        <v>21</v>
      </c>
      <c r="C89" s="23"/>
      <c r="D89">
        <v>663</v>
      </c>
      <c r="E89">
        <v>2.4220000000000002</v>
      </c>
      <c r="F89">
        <v>3.7330000000000001</v>
      </c>
      <c r="G89">
        <v>5.7709999999999999</v>
      </c>
      <c r="H89">
        <f t="shared" si="9"/>
        <v>0.1028663273506564</v>
      </c>
      <c r="I89">
        <f t="shared" si="10"/>
        <v>594.79962496651478</v>
      </c>
      <c r="J89" s="11" t="e">
        <f t="shared" si="8"/>
        <v>#DIV/0!</v>
      </c>
    </row>
    <row r="90" spans="1:10" x14ac:dyDescent="0.2">
      <c r="A90" s="25"/>
      <c r="B90" s="8" t="s">
        <v>22</v>
      </c>
      <c r="C90" s="26"/>
      <c r="D90" s="7"/>
      <c r="E90" s="7">
        <v>2.4609999999999999</v>
      </c>
      <c r="F90" s="7">
        <v>3.1419999999999999</v>
      </c>
      <c r="G90" s="7">
        <v>5.298</v>
      </c>
      <c r="H90" s="7">
        <f t="shared" si="9"/>
        <v>9.7071928707829325E-2</v>
      </c>
      <c r="I90" s="7">
        <f t="shared" si="10"/>
        <v>0</v>
      </c>
      <c r="J90" s="12" t="e">
        <f t="shared" si="8"/>
        <v>#DIV/0!</v>
      </c>
    </row>
    <row r="91" spans="1:10" x14ac:dyDescent="0.2">
      <c r="A91" s="19" t="s">
        <v>5</v>
      </c>
      <c r="B91" s="5" t="s">
        <v>20</v>
      </c>
      <c r="C91" s="22">
        <v>10</v>
      </c>
      <c r="D91" s="4"/>
      <c r="E91" s="4">
        <v>2.4580000000000002</v>
      </c>
      <c r="F91" s="4">
        <v>3.4449999999999998</v>
      </c>
      <c r="G91" s="4">
        <v>5.5540000000000003</v>
      </c>
      <c r="H91" s="4">
        <f t="shared" si="9"/>
        <v>0.10130624092888237</v>
      </c>
      <c r="I91" s="4">
        <f t="shared" si="10"/>
        <v>0</v>
      </c>
      <c r="J91" s="10">
        <f t="shared" si="8"/>
        <v>0</v>
      </c>
    </row>
    <row r="92" spans="1:10" x14ac:dyDescent="0.2">
      <c r="A92" s="20"/>
      <c r="B92" s="6" t="s">
        <v>21</v>
      </c>
      <c r="C92" s="23"/>
      <c r="D92">
        <v>801</v>
      </c>
      <c r="E92">
        <v>2.4350000000000001</v>
      </c>
      <c r="F92">
        <v>3.5790000000000002</v>
      </c>
      <c r="G92">
        <v>5.6310000000000002</v>
      </c>
      <c r="H92">
        <f t="shared" si="9"/>
        <v>0.10701313215982118</v>
      </c>
      <c r="I92">
        <f t="shared" si="10"/>
        <v>715.28248113998325</v>
      </c>
      <c r="J92" s="11" t="e">
        <f t="shared" si="8"/>
        <v>#DIV/0!</v>
      </c>
    </row>
    <row r="93" spans="1:10" x14ac:dyDescent="0.2">
      <c r="A93" s="25"/>
      <c r="B93" s="8" t="s">
        <v>22</v>
      </c>
      <c r="C93" s="26"/>
      <c r="D93" s="7"/>
      <c r="E93" s="7">
        <v>2.452</v>
      </c>
      <c r="F93" s="7">
        <v>3.6709999999999998</v>
      </c>
      <c r="G93" s="7">
        <v>5.8029999999999999</v>
      </c>
      <c r="H93" s="7">
        <f t="shared" si="9"/>
        <v>8.7169708526287082E-2</v>
      </c>
      <c r="I93" s="7">
        <f t="shared" si="10"/>
        <v>0</v>
      </c>
      <c r="J93" s="12" t="e">
        <f t="shared" si="8"/>
        <v>#DIV/0!</v>
      </c>
    </row>
    <row r="94" spans="1:10" x14ac:dyDescent="0.2">
      <c r="A94" s="19" t="s">
        <v>6</v>
      </c>
      <c r="B94" s="5" t="s">
        <v>20</v>
      </c>
      <c r="C94" s="22">
        <v>10</v>
      </c>
      <c r="D94" s="4"/>
      <c r="E94" s="4">
        <v>2.46</v>
      </c>
      <c r="F94" s="4">
        <v>3.61</v>
      </c>
      <c r="G94" s="4">
        <v>5.726</v>
      </c>
      <c r="H94" s="4">
        <f t="shared" si="9"/>
        <v>9.5290858725761735E-2</v>
      </c>
      <c r="I94" s="4">
        <f t="shared" si="10"/>
        <v>0</v>
      </c>
      <c r="J94" s="10">
        <f t="shared" si="8"/>
        <v>0</v>
      </c>
    </row>
    <row r="95" spans="1:10" x14ac:dyDescent="0.2">
      <c r="A95" s="20"/>
      <c r="B95" s="6" t="s">
        <v>21</v>
      </c>
      <c r="C95" s="23"/>
      <c r="D95">
        <v>803</v>
      </c>
      <c r="E95">
        <v>2.4590000000000001</v>
      </c>
      <c r="F95">
        <v>3.504</v>
      </c>
      <c r="G95">
        <v>5.5869999999999997</v>
      </c>
      <c r="H95">
        <f t="shared" si="9"/>
        <v>0.10730593607305945</v>
      </c>
      <c r="I95">
        <f t="shared" si="10"/>
        <v>716.83333333333326</v>
      </c>
      <c r="J95" s="11" t="e">
        <f t="shared" si="8"/>
        <v>#DIV/0!</v>
      </c>
    </row>
    <row r="96" spans="1:10" x14ac:dyDescent="0.2">
      <c r="A96" s="25"/>
      <c r="B96" s="8" t="s">
        <v>22</v>
      </c>
      <c r="C96" s="26"/>
      <c r="D96" s="7"/>
      <c r="E96" s="7">
        <v>2.4510000000000001</v>
      </c>
      <c r="F96" s="7">
        <v>3.0880000000000001</v>
      </c>
      <c r="G96" s="7">
        <v>5.2430000000000003</v>
      </c>
      <c r="H96" s="7">
        <f t="shared" si="9"/>
        <v>9.5854922279792684E-2</v>
      </c>
      <c r="I96" s="7">
        <f t="shared" si="10"/>
        <v>0</v>
      </c>
      <c r="J96" s="12" t="e">
        <f t="shared" si="8"/>
        <v>#DIV/0!</v>
      </c>
    </row>
    <row r="97" spans="1:10" x14ac:dyDescent="0.2">
      <c r="A97" s="19" t="s">
        <v>7</v>
      </c>
      <c r="B97" s="5" t="s">
        <v>20</v>
      </c>
      <c r="C97" s="22">
        <v>10</v>
      </c>
      <c r="D97" s="4"/>
      <c r="E97" s="4">
        <v>2.464</v>
      </c>
      <c r="F97" s="4">
        <v>3.7370000000000001</v>
      </c>
      <c r="G97" s="4">
        <v>5.8890000000000002</v>
      </c>
      <c r="H97" s="4">
        <f t="shared" si="9"/>
        <v>8.3489430024083447E-2</v>
      </c>
      <c r="I97" s="4">
        <f t="shared" si="10"/>
        <v>0</v>
      </c>
      <c r="J97" s="10">
        <f t="shared" si="8"/>
        <v>0</v>
      </c>
    </row>
    <row r="98" spans="1:10" x14ac:dyDescent="0.2">
      <c r="A98" s="20"/>
      <c r="B98" s="6" t="s">
        <v>21</v>
      </c>
      <c r="C98" s="23"/>
      <c r="D98">
        <v>1028</v>
      </c>
      <c r="E98">
        <v>2.4670000000000001</v>
      </c>
      <c r="F98">
        <v>3.496</v>
      </c>
      <c r="G98">
        <v>5.6619999999999999</v>
      </c>
      <c r="H98">
        <f t="shared" si="9"/>
        <v>8.6098398169336426E-2</v>
      </c>
      <c r="I98">
        <f t="shared" si="10"/>
        <v>939.49084668192211</v>
      </c>
      <c r="J98" s="11" t="e">
        <f t="shared" si="8"/>
        <v>#DIV/0!</v>
      </c>
    </row>
    <row r="99" spans="1:10" x14ac:dyDescent="0.2">
      <c r="A99" s="25"/>
      <c r="B99" s="8" t="s">
        <v>22</v>
      </c>
      <c r="C99" s="26"/>
      <c r="D99" s="7"/>
      <c r="E99" s="7">
        <v>2.468</v>
      </c>
      <c r="F99" s="7">
        <v>3.3140000000000001</v>
      </c>
      <c r="G99" s="7">
        <v>5.5439999999999996</v>
      </c>
      <c r="H99" s="7">
        <f t="shared" si="9"/>
        <v>7.1816535908268087E-2</v>
      </c>
      <c r="I99" s="7">
        <f t="shared" si="10"/>
        <v>0</v>
      </c>
      <c r="J99" s="12" t="e">
        <f t="shared" si="8"/>
        <v>#DIV/0!</v>
      </c>
    </row>
    <row r="100" spans="1:10" x14ac:dyDescent="0.2">
      <c r="A100" s="19" t="s">
        <v>8</v>
      </c>
      <c r="B100" s="5" t="s">
        <v>20</v>
      </c>
      <c r="C100" s="22">
        <v>10</v>
      </c>
      <c r="D100" s="4"/>
      <c r="E100" s="4">
        <v>2.46</v>
      </c>
      <c r="F100" s="4">
        <v>3.7549999999999999</v>
      </c>
      <c r="G100" s="4">
        <v>6.0140000000000002</v>
      </c>
      <c r="H100" s="4">
        <f t="shared" si="9"/>
        <v>5.3528628495339452E-2</v>
      </c>
      <c r="I100" s="4">
        <f t="shared" si="10"/>
        <v>0</v>
      </c>
      <c r="J100" s="10">
        <f t="shared" si="8"/>
        <v>0</v>
      </c>
    </row>
    <row r="101" spans="1:10" x14ac:dyDescent="0.2">
      <c r="A101" s="20"/>
      <c r="B101" s="6" t="s">
        <v>21</v>
      </c>
      <c r="C101" s="23"/>
      <c r="D101">
        <v>797</v>
      </c>
      <c r="E101">
        <v>2.4590000000000001</v>
      </c>
      <c r="F101">
        <v>3.28</v>
      </c>
      <c r="G101">
        <v>5.5609999999999999</v>
      </c>
      <c r="H101">
        <f t="shared" si="9"/>
        <v>5.4268292682926815E-2</v>
      </c>
      <c r="I101">
        <f t="shared" si="10"/>
        <v>753.74817073170732</v>
      </c>
      <c r="J101" s="11" t="e">
        <f t="shared" si="8"/>
        <v>#DIV/0!</v>
      </c>
    </row>
    <row r="102" spans="1:10" x14ac:dyDescent="0.2">
      <c r="A102" s="25"/>
      <c r="B102" s="8" t="s">
        <v>22</v>
      </c>
      <c r="C102" s="26"/>
      <c r="D102" s="7"/>
      <c r="E102" s="7">
        <v>2.4689999999999999</v>
      </c>
      <c r="F102" s="7">
        <v>3.47</v>
      </c>
      <c r="G102" s="7">
        <v>5.7569999999999997</v>
      </c>
      <c r="H102" s="7">
        <f t="shared" si="9"/>
        <v>5.2449567723343048E-2</v>
      </c>
      <c r="I102" s="7">
        <f t="shared" si="10"/>
        <v>0</v>
      </c>
      <c r="J102" s="12" t="e">
        <f t="shared" si="8"/>
        <v>#DIV/0!</v>
      </c>
    </row>
    <row r="103" spans="1:10" x14ac:dyDescent="0.2">
      <c r="A103" s="19" t="s">
        <v>9</v>
      </c>
      <c r="B103" s="5" t="s">
        <v>20</v>
      </c>
      <c r="C103" s="22">
        <v>10</v>
      </c>
      <c r="D103" s="4"/>
      <c r="E103" s="4">
        <v>2.46</v>
      </c>
      <c r="F103" s="4">
        <v>3.1480000000000001</v>
      </c>
      <c r="G103" s="4">
        <v>5.367</v>
      </c>
      <c r="H103" s="4">
        <f t="shared" si="9"/>
        <v>7.6556543837357077E-2</v>
      </c>
      <c r="I103" s="4">
        <f t="shared" si="10"/>
        <v>0</v>
      </c>
      <c r="J103" s="10">
        <f t="shared" si="8"/>
        <v>0</v>
      </c>
    </row>
    <row r="104" spans="1:10" x14ac:dyDescent="0.2">
      <c r="A104" s="20"/>
      <c r="B104" s="6" t="s">
        <v>21</v>
      </c>
      <c r="C104" s="23"/>
      <c r="D104">
        <v>1056</v>
      </c>
      <c r="E104">
        <v>2.4620000000000002</v>
      </c>
      <c r="F104">
        <v>3.2389999999999999</v>
      </c>
      <c r="G104">
        <v>5.4359999999999999</v>
      </c>
      <c r="H104">
        <f t="shared" si="9"/>
        <v>8.1815375115776509E-2</v>
      </c>
      <c r="I104">
        <f t="shared" si="10"/>
        <v>969.60296387773997</v>
      </c>
      <c r="J104" s="11" t="e">
        <f t="shared" si="8"/>
        <v>#DIV/0!</v>
      </c>
    </row>
    <row r="105" spans="1:10" x14ac:dyDescent="0.2">
      <c r="A105" s="25"/>
      <c r="B105" s="8" t="s">
        <v>22</v>
      </c>
      <c r="C105" s="26"/>
      <c r="D105" s="7"/>
      <c r="E105" s="7">
        <v>2.4369999999999998</v>
      </c>
      <c r="F105" s="7">
        <v>3.84</v>
      </c>
      <c r="G105" s="7">
        <v>5.976</v>
      </c>
      <c r="H105" s="7">
        <f t="shared" si="9"/>
        <v>7.8385416666666596E-2</v>
      </c>
      <c r="I105" s="7">
        <f t="shared" si="10"/>
        <v>0</v>
      </c>
      <c r="J105" s="12" t="e">
        <f t="shared" si="8"/>
        <v>#DIV/0!</v>
      </c>
    </row>
    <row r="106" spans="1:10" x14ac:dyDescent="0.2">
      <c r="A106" s="19" t="s">
        <v>10</v>
      </c>
      <c r="B106" s="5" t="s">
        <v>20</v>
      </c>
      <c r="C106" s="22">
        <v>10</v>
      </c>
      <c r="D106" s="4"/>
      <c r="E106" s="4">
        <v>2.4089999999999998</v>
      </c>
      <c r="F106" s="4">
        <v>3.601</v>
      </c>
      <c r="G106" s="4">
        <v>5.819</v>
      </c>
      <c r="H106" s="4">
        <f t="shared" si="9"/>
        <v>5.3040821993890541E-2</v>
      </c>
      <c r="I106" s="4">
        <f t="shared" si="10"/>
        <v>0</v>
      </c>
      <c r="J106" s="10">
        <f t="shared" si="8"/>
        <v>0</v>
      </c>
    </row>
    <row r="107" spans="1:10" x14ac:dyDescent="0.2">
      <c r="A107" s="20"/>
      <c r="B107" s="6" t="s">
        <v>21</v>
      </c>
      <c r="C107" s="23"/>
      <c r="D107">
        <v>940</v>
      </c>
      <c r="E107">
        <v>2.4350000000000001</v>
      </c>
      <c r="F107">
        <v>3.3260000000000001</v>
      </c>
      <c r="G107">
        <v>5.5739999999999998</v>
      </c>
      <c r="H107">
        <f t="shared" si="9"/>
        <v>5.6223692122669956E-2</v>
      </c>
      <c r="I107">
        <f t="shared" si="10"/>
        <v>887.14972940469022</v>
      </c>
      <c r="J107" s="11" t="e">
        <f t="shared" si="8"/>
        <v>#DIV/0!</v>
      </c>
    </row>
    <row r="108" spans="1:10" x14ac:dyDescent="0.2">
      <c r="A108" s="25"/>
      <c r="B108" s="8" t="s">
        <v>22</v>
      </c>
      <c r="C108" s="26"/>
      <c r="D108" s="7"/>
      <c r="E108" s="7">
        <v>2.4489999999999998</v>
      </c>
      <c r="F108" s="7">
        <v>3.2290000000000001</v>
      </c>
      <c r="G108" s="7">
        <v>5.5</v>
      </c>
      <c r="H108" s="7">
        <f t="shared" si="9"/>
        <v>5.512542582842983E-2</v>
      </c>
      <c r="I108" s="7">
        <f t="shared" si="10"/>
        <v>0</v>
      </c>
      <c r="J108" s="12" t="e">
        <f t="shared" si="8"/>
        <v>#DIV/0!</v>
      </c>
    </row>
    <row r="109" spans="1:10" x14ac:dyDescent="0.2">
      <c r="A109" s="19" t="s">
        <v>11</v>
      </c>
      <c r="B109" s="5" t="s">
        <v>20</v>
      </c>
      <c r="C109" s="22">
        <v>10</v>
      </c>
      <c r="D109" s="4"/>
      <c r="E109" s="4">
        <v>2.4500000000000002</v>
      </c>
      <c r="F109" s="4">
        <v>3.2080000000000002</v>
      </c>
      <c r="G109" s="4">
        <v>5.7690000000000001</v>
      </c>
      <c r="H109" s="4">
        <f t="shared" si="9"/>
        <v>-3.4600997506234341E-2</v>
      </c>
      <c r="I109" s="4">
        <f t="shared" si="10"/>
        <v>0</v>
      </c>
      <c r="J109" s="10">
        <f t="shared" si="8"/>
        <v>0</v>
      </c>
    </row>
    <row r="110" spans="1:10" x14ac:dyDescent="0.2">
      <c r="A110" s="20"/>
      <c r="B110" s="6" t="s">
        <v>21</v>
      </c>
      <c r="C110" s="23"/>
      <c r="D110">
        <v>699</v>
      </c>
      <c r="E110">
        <v>2.4630000000000001</v>
      </c>
      <c r="F110">
        <v>3.52</v>
      </c>
      <c r="G110">
        <v>5.7089999999999996</v>
      </c>
      <c r="H110">
        <f t="shared" si="9"/>
        <v>7.7840909090909224E-2</v>
      </c>
      <c r="I110">
        <f t="shared" si="10"/>
        <v>644.58920454545444</v>
      </c>
      <c r="J110" s="11" t="e">
        <f t="shared" si="8"/>
        <v>#DIV/0!</v>
      </c>
    </row>
    <row r="111" spans="1:10" x14ac:dyDescent="0.2">
      <c r="A111" s="25"/>
      <c r="B111" s="8" t="s">
        <v>22</v>
      </c>
      <c r="C111" s="26"/>
      <c r="D111" s="7"/>
      <c r="E111" s="7">
        <v>2.4660000000000002</v>
      </c>
      <c r="F111" s="7">
        <v>3.7490000000000001</v>
      </c>
      <c r="G111" s="7">
        <v>5.9470000000000001</v>
      </c>
      <c r="H111" s="7">
        <f t="shared" si="9"/>
        <v>7.1485729527874159E-2</v>
      </c>
      <c r="I111" s="7">
        <f t="shared" si="10"/>
        <v>0</v>
      </c>
      <c r="J111" s="12" t="e">
        <f t="shared" si="8"/>
        <v>#DIV/0!</v>
      </c>
    </row>
    <row r="112" spans="1:10" x14ac:dyDescent="0.2">
      <c r="A112" s="19" t="s">
        <v>12</v>
      </c>
      <c r="B112" s="5" t="s">
        <v>20</v>
      </c>
      <c r="C112" s="22">
        <v>10</v>
      </c>
      <c r="D112" s="4"/>
      <c r="E112" s="4"/>
      <c r="F112" s="4"/>
      <c r="G112" s="4"/>
      <c r="H112" s="4" t="e">
        <f t="shared" si="9"/>
        <v>#DIV/0!</v>
      </c>
      <c r="I112" s="4" t="e">
        <f t="shared" si="10"/>
        <v>#DIV/0!</v>
      </c>
      <c r="J112" s="10" t="e">
        <f t="shared" si="8"/>
        <v>#DIV/0!</v>
      </c>
    </row>
    <row r="113" spans="1:10" x14ac:dyDescent="0.2">
      <c r="A113" s="20"/>
      <c r="B113" s="6" t="s">
        <v>21</v>
      </c>
      <c r="C113" s="23"/>
      <c r="H113" t="e">
        <f t="shared" si="9"/>
        <v>#DIV/0!</v>
      </c>
      <c r="I113" t="e">
        <f t="shared" si="10"/>
        <v>#DIV/0!</v>
      </c>
      <c r="J113" s="11" t="e">
        <f t="shared" si="8"/>
        <v>#DIV/0!</v>
      </c>
    </row>
    <row r="114" spans="1:10" x14ac:dyDescent="0.2">
      <c r="A114" s="25"/>
      <c r="B114" s="8" t="s">
        <v>22</v>
      </c>
      <c r="C114" s="26"/>
      <c r="D114" s="7"/>
      <c r="E114" s="7"/>
      <c r="F114" s="7"/>
      <c r="G114" s="7"/>
      <c r="H114" s="7" t="e">
        <f t="shared" si="9"/>
        <v>#DIV/0!</v>
      </c>
      <c r="I114" s="7" t="e">
        <f t="shared" si="10"/>
        <v>#DIV/0!</v>
      </c>
      <c r="J114" s="12" t="e">
        <f t="shared" si="8"/>
        <v>#DIV/0!</v>
      </c>
    </row>
    <row r="115" spans="1:10" x14ac:dyDescent="0.2">
      <c r="A115" s="19" t="s">
        <v>13</v>
      </c>
      <c r="B115" s="5" t="s">
        <v>20</v>
      </c>
      <c r="C115" s="22">
        <v>10</v>
      </c>
      <c r="D115" s="4"/>
      <c r="E115" s="4"/>
      <c r="F115" s="4"/>
      <c r="G115" s="4"/>
      <c r="H115" s="4" t="e">
        <f t="shared" si="9"/>
        <v>#DIV/0!</v>
      </c>
      <c r="I115" s="4" t="e">
        <f t="shared" si="10"/>
        <v>#DIV/0!</v>
      </c>
      <c r="J115" s="10" t="e">
        <f t="shared" si="8"/>
        <v>#DIV/0!</v>
      </c>
    </row>
    <row r="116" spans="1:10" x14ac:dyDescent="0.2">
      <c r="A116" s="20"/>
      <c r="B116" s="6" t="s">
        <v>21</v>
      </c>
      <c r="C116" s="23"/>
      <c r="H116" t="e">
        <f t="shared" si="9"/>
        <v>#DIV/0!</v>
      </c>
      <c r="I116" t="e">
        <f t="shared" si="10"/>
        <v>#DIV/0!</v>
      </c>
      <c r="J116" s="11" t="e">
        <f t="shared" si="8"/>
        <v>#DIV/0!</v>
      </c>
    </row>
    <row r="117" spans="1:10" x14ac:dyDescent="0.2">
      <c r="A117" s="25"/>
      <c r="B117" s="8" t="s">
        <v>22</v>
      </c>
      <c r="C117" s="26"/>
      <c r="D117" s="7"/>
      <c r="E117" s="7"/>
      <c r="F117" s="7"/>
      <c r="G117" s="7"/>
      <c r="H117" s="7" t="e">
        <f t="shared" si="9"/>
        <v>#DIV/0!</v>
      </c>
      <c r="I117" s="7" t="e">
        <f t="shared" si="10"/>
        <v>#DIV/0!</v>
      </c>
      <c r="J117" s="12" t="e">
        <f t="shared" si="8"/>
        <v>#DIV/0!</v>
      </c>
    </row>
    <row r="118" spans="1:10" x14ac:dyDescent="0.2">
      <c r="A118" s="19" t="s">
        <v>14</v>
      </c>
      <c r="B118" s="5" t="s">
        <v>20</v>
      </c>
      <c r="C118" s="22">
        <v>10</v>
      </c>
      <c r="D118" s="4"/>
      <c r="E118" s="4"/>
      <c r="F118" s="4"/>
      <c r="G118" s="4"/>
      <c r="H118" s="4" t="e">
        <f t="shared" si="9"/>
        <v>#DIV/0!</v>
      </c>
      <c r="I118" s="4" t="e">
        <f t="shared" si="10"/>
        <v>#DIV/0!</v>
      </c>
      <c r="J118" s="10" t="e">
        <f t="shared" si="8"/>
        <v>#DIV/0!</v>
      </c>
    </row>
    <row r="119" spans="1:10" x14ac:dyDescent="0.2">
      <c r="A119" s="20"/>
      <c r="B119" s="6" t="s">
        <v>21</v>
      </c>
      <c r="C119" s="23"/>
      <c r="H119" t="e">
        <f t="shared" si="9"/>
        <v>#DIV/0!</v>
      </c>
      <c r="I119" t="e">
        <f t="shared" si="10"/>
        <v>#DIV/0!</v>
      </c>
      <c r="J119" s="11" t="e">
        <f t="shared" si="8"/>
        <v>#DIV/0!</v>
      </c>
    </row>
    <row r="120" spans="1:10" ht="16" thickBot="1" x14ac:dyDescent="0.25">
      <c r="A120" s="21"/>
      <c r="B120" s="15" t="s">
        <v>22</v>
      </c>
      <c r="C120" s="24"/>
      <c r="D120" s="13"/>
      <c r="E120" s="13"/>
      <c r="F120" s="13"/>
      <c r="G120" s="13"/>
      <c r="H120" s="13" t="e">
        <f t="shared" si="9"/>
        <v>#DIV/0!</v>
      </c>
      <c r="I120" s="13" t="e">
        <f t="shared" si="10"/>
        <v>#DIV/0!</v>
      </c>
      <c r="J120" s="14" t="e">
        <f t="shared" si="8"/>
        <v>#DIV/0!</v>
      </c>
    </row>
    <row r="121" spans="1:10" ht="16" thickBot="1" x14ac:dyDescent="0.25">
      <c r="A121" s="44" t="s">
        <v>1</v>
      </c>
      <c r="B121" s="33"/>
      <c r="C121" s="33"/>
      <c r="D121" s="33" t="s">
        <v>34</v>
      </c>
      <c r="E121" s="34"/>
      <c r="F121" s="9" t="s">
        <v>0</v>
      </c>
      <c r="G121" s="18">
        <v>44159</v>
      </c>
      <c r="H121" s="35" t="s">
        <v>24</v>
      </c>
      <c r="I121" s="36"/>
      <c r="J121" s="1">
        <v>110</v>
      </c>
    </row>
    <row r="122" spans="1:10" ht="16" thickBot="1" x14ac:dyDescent="0.25">
      <c r="A122" s="37" t="s">
        <v>2</v>
      </c>
      <c r="B122" s="38"/>
      <c r="C122" s="38"/>
      <c r="D122" s="38"/>
      <c r="E122" s="39"/>
      <c r="F122" s="40"/>
      <c r="G122" s="41"/>
      <c r="H122" s="42" t="s">
        <v>25</v>
      </c>
      <c r="I122" s="43"/>
      <c r="J122" s="2">
        <v>30</v>
      </c>
    </row>
    <row r="123" spans="1:10" ht="16" thickBot="1" x14ac:dyDescent="0.25">
      <c r="A123" s="45" t="s">
        <v>27</v>
      </c>
      <c r="B123" s="27"/>
      <c r="C123" s="27"/>
      <c r="D123" s="27" t="s">
        <v>33</v>
      </c>
      <c r="E123" s="28"/>
      <c r="F123" s="16" t="s">
        <v>30</v>
      </c>
      <c r="G123" s="16">
        <v>3.81</v>
      </c>
      <c r="H123" s="29" t="s">
        <v>26</v>
      </c>
      <c r="I123" s="30"/>
      <c r="J123" s="3">
        <v>40</v>
      </c>
    </row>
    <row r="124" spans="1:10" x14ac:dyDescent="0.2">
      <c r="A124" s="31"/>
      <c r="B124" s="32"/>
      <c r="C124" s="16" t="s">
        <v>29</v>
      </c>
      <c r="D124" s="16" t="s">
        <v>19</v>
      </c>
      <c r="E124" s="16" t="s">
        <v>15</v>
      </c>
      <c r="F124" s="16" t="s">
        <v>18</v>
      </c>
      <c r="G124" s="16" t="s">
        <v>17</v>
      </c>
      <c r="H124" s="16" t="s">
        <v>28</v>
      </c>
      <c r="I124" s="16" t="s">
        <v>16</v>
      </c>
      <c r="J124" s="17" t="s">
        <v>23</v>
      </c>
    </row>
    <row r="125" spans="1:10" x14ac:dyDescent="0.2">
      <c r="A125" s="19" t="s">
        <v>3</v>
      </c>
      <c r="B125" s="5" t="s">
        <v>20</v>
      </c>
      <c r="C125" s="22">
        <v>10</v>
      </c>
      <c r="D125" s="4"/>
      <c r="E125" s="4">
        <v>2.4550000000000001</v>
      </c>
      <c r="F125" s="4">
        <v>3.1970000000000001</v>
      </c>
      <c r="G125" s="4">
        <v>5.22</v>
      </c>
      <c r="H125" s="4">
        <f>(F125-(G125-E125))/F125</f>
        <v>0.13512668126368482</v>
      </c>
      <c r="I125" s="4">
        <f>D125-H125*D125</f>
        <v>0</v>
      </c>
      <c r="J125" s="10">
        <f t="shared" ref="J125:J160" si="11">I125/($G$3^2*C125*PI())</f>
        <v>0</v>
      </c>
    </row>
    <row r="126" spans="1:10" x14ac:dyDescent="0.2">
      <c r="A126" s="20"/>
      <c r="B126" s="6" t="s">
        <v>21</v>
      </c>
      <c r="C126" s="23"/>
      <c r="D126">
        <v>730</v>
      </c>
      <c r="E126">
        <v>2.5619999999999998</v>
      </c>
      <c r="F126">
        <v>3.6040000000000001</v>
      </c>
      <c r="G126">
        <v>5.6</v>
      </c>
      <c r="H126">
        <f t="shared" ref="H126:H160" si="12">(F126-(G126-E126))/F126</f>
        <v>0.15704772475027753</v>
      </c>
      <c r="I126">
        <f t="shared" ref="I126:I160" si="13">D126-H126*D126</f>
        <v>615.35516093229739</v>
      </c>
      <c r="J126" s="11" t="e">
        <f t="shared" si="11"/>
        <v>#DIV/0!</v>
      </c>
    </row>
    <row r="127" spans="1:10" x14ac:dyDescent="0.2">
      <c r="A127" s="25"/>
      <c r="B127" s="8" t="s">
        <v>22</v>
      </c>
      <c r="C127" s="26"/>
      <c r="D127" s="7"/>
      <c r="E127" s="7">
        <v>2.4319999999999999</v>
      </c>
      <c r="F127" s="7">
        <v>3.657</v>
      </c>
      <c r="G127" s="7">
        <v>5.532</v>
      </c>
      <c r="H127" s="7">
        <f t="shared" si="12"/>
        <v>0.15231063713426304</v>
      </c>
      <c r="I127" s="7">
        <f t="shared" si="13"/>
        <v>0</v>
      </c>
      <c r="J127" s="12" t="e">
        <f t="shared" si="11"/>
        <v>#DIV/0!</v>
      </c>
    </row>
    <row r="128" spans="1:10" x14ac:dyDescent="0.2">
      <c r="A128" s="19" t="s">
        <v>4</v>
      </c>
      <c r="B128" s="5" t="s">
        <v>20</v>
      </c>
      <c r="C128" s="23">
        <v>10</v>
      </c>
      <c r="E128">
        <v>2.46</v>
      </c>
      <c r="F128">
        <v>3.948</v>
      </c>
      <c r="G128">
        <v>5.9329999999999998</v>
      </c>
      <c r="H128" s="4">
        <f t="shared" si="12"/>
        <v>0.12031408308004055</v>
      </c>
      <c r="I128" s="4">
        <f t="shared" si="13"/>
        <v>0</v>
      </c>
      <c r="J128" s="10">
        <f t="shared" si="11"/>
        <v>0</v>
      </c>
    </row>
    <row r="129" spans="1:10" x14ac:dyDescent="0.2">
      <c r="A129" s="20"/>
      <c r="B129" s="6" t="s">
        <v>21</v>
      </c>
      <c r="C129" s="23"/>
      <c r="D129">
        <v>818</v>
      </c>
      <c r="E129">
        <v>2.4649999999999999</v>
      </c>
      <c r="F129">
        <v>3.93</v>
      </c>
      <c r="G129">
        <v>5.9080000000000004</v>
      </c>
      <c r="H129">
        <f t="shared" si="12"/>
        <v>0.12391857506361315</v>
      </c>
      <c r="I129">
        <f t="shared" si="13"/>
        <v>716.63460559796442</v>
      </c>
      <c r="J129" s="11" t="e">
        <f t="shared" si="11"/>
        <v>#DIV/0!</v>
      </c>
    </row>
    <row r="130" spans="1:10" x14ac:dyDescent="0.2">
      <c r="A130" s="25"/>
      <c r="B130" s="8" t="s">
        <v>22</v>
      </c>
      <c r="C130" s="26"/>
      <c r="D130" s="7"/>
      <c r="E130" s="7">
        <v>2.4569999999999999</v>
      </c>
      <c r="F130" s="7">
        <v>3.57</v>
      </c>
      <c r="G130" s="7">
        <v>5.5890000000000004</v>
      </c>
      <c r="H130" s="7">
        <f t="shared" si="12"/>
        <v>0.1226890756302519</v>
      </c>
      <c r="I130" s="7">
        <f t="shared" si="13"/>
        <v>0</v>
      </c>
      <c r="J130" s="12" t="e">
        <f t="shared" si="11"/>
        <v>#DIV/0!</v>
      </c>
    </row>
    <row r="131" spans="1:10" x14ac:dyDescent="0.2">
      <c r="A131" s="19" t="s">
        <v>5</v>
      </c>
      <c r="B131" s="5" t="s">
        <v>20</v>
      </c>
      <c r="C131" s="22">
        <v>10</v>
      </c>
      <c r="D131" s="4"/>
      <c r="E131" s="4">
        <v>2.4540000000000002</v>
      </c>
      <c r="F131" s="4">
        <v>3.6659999999999999</v>
      </c>
      <c r="G131" s="4">
        <v>5.6980000000000004</v>
      </c>
      <c r="H131" s="4">
        <f t="shared" si="12"/>
        <v>0.11511183851609376</v>
      </c>
      <c r="I131" s="4">
        <f t="shared" si="13"/>
        <v>0</v>
      </c>
      <c r="J131" s="10">
        <f t="shared" si="11"/>
        <v>0</v>
      </c>
    </row>
    <row r="132" spans="1:10" x14ac:dyDescent="0.2">
      <c r="A132" s="20"/>
      <c r="B132" s="6" t="s">
        <v>21</v>
      </c>
      <c r="C132" s="23"/>
      <c r="D132">
        <v>773</v>
      </c>
      <c r="E132">
        <v>2.4569999999999999</v>
      </c>
      <c r="F132">
        <v>3.5539999999999998</v>
      </c>
      <c r="G132">
        <v>5.6050000000000004</v>
      </c>
      <c r="H132">
        <f t="shared" si="12"/>
        <v>0.11423747889701724</v>
      </c>
      <c r="I132">
        <f t="shared" si="13"/>
        <v>684.69442881260568</v>
      </c>
      <c r="J132" s="11" t="e">
        <f t="shared" si="11"/>
        <v>#DIV/0!</v>
      </c>
    </row>
    <row r="133" spans="1:10" x14ac:dyDescent="0.2">
      <c r="A133" s="25"/>
      <c r="B133" s="8" t="s">
        <v>22</v>
      </c>
      <c r="C133" s="26"/>
      <c r="D133" s="7"/>
      <c r="E133" s="7">
        <v>2.456</v>
      </c>
      <c r="F133" s="7">
        <v>3.5880000000000001</v>
      </c>
      <c r="G133" s="7">
        <v>5.6390000000000002</v>
      </c>
      <c r="H133" s="7">
        <f t="shared" si="12"/>
        <v>0.11287625418060195</v>
      </c>
      <c r="I133" s="7">
        <f t="shared" si="13"/>
        <v>0</v>
      </c>
      <c r="J133" s="12" t="e">
        <f t="shared" si="11"/>
        <v>#DIV/0!</v>
      </c>
    </row>
    <row r="134" spans="1:10" x14ac:dyDescent="0.2">
      <c r="A134" s="19" t="s">
        <v>6</v>
      </c>
      <c r="B134" s="5" t="s">
        <v>20</v>
      </c>
      <c r="C134" s="22">
        <v>10</v>
      </c>
      <c r="D134" s="4"/>
      <c r="E134" s="4">
        <v>2.4510000000000001</v>
      </c>
      <c r="F134" s="4">
        <v>3.5950000000000002</v>
      </c>
      <c r="G134" s="4">
        <v>5.6680000000000001</v>
      </c>
      <c r="H134" s="4">
        <f t="shared" si="12"/>
        <v>0.10514603616133521</v>
      </c>
      <c r="I134" s="4">
        <f t="shared" si="13"/>
        <v>0</v>
      </c>
      <c r="J134" s="10">
        <f t="shared" si="11"/>
        <v>0</v>
      </c>
    </row>
    <row r="135" spans="1:10" x14ac:dyDescent="0.2">
      <c r="A135" s="20"/>
      <c r="B135" s="6" t="s">
        <v>21</v>
      </c>
      <c r="C135" s="23"/>
      <c r="D135">
        <v>767</v>
      </c>
      <c r="E135">
        <v>2.4510000000000001</v>
      </c>
      <c r="F135">
        <v>3.75</v>
      </c>
      <c r="G135">
        <v>5.8310000000000004</v>
      </c>
      <c r="H135">
        <f t="shared" si="12"/>
        <v>9.8666666666666583E-2</v>
      </c>
      <c r="I135">
        <f t="shared" si="13"/>
        <v>691.32266666666669</v>
      </c>
      <c r="J135" s="11" t="e">
        <f t="shared" si="11"/>
        <v>#DIV/0!</v>
      </c>
    </row>
    <row r="136" spans="1:10" x14ac:dyDescent="0.2">
      <c r="A136" s="25"/>
      <c r="B136" s="8" t="s">
        <v>22</v>
      </c>
      <c r="C136" s="26"/>
      <c r="D136" s="7"/>
      <c r="E136" s="7">
        <v>2.456</v>
      </c>
      <c r="F136" s="7">
        <v>3.0449999999999999</v>
      </c>
      <c r="G136" s="7">
        <v>5.1820000000000004</v>
      </c>
      <c r="H136" s="7">
        <f t="shared" si="12"/>
        <v>0.1047619047619046</v>
      </c>
      <c r="I136" s="7">
        <f t="shared" si="13"/>
        <v>0</v>
      </c>
      <c r="J136" s="12" t="e">
        <f t="shared" si="11"/>
        <v>#DIV/0!</v>
      </c>
    </row>
    <row r="137" spans="1:10" x14ac:dyDescent="0.2">
      <c r="A137" s="19" t="s">
        <v>7</v>
      </c>
      <c r="B137" s="5" t="s">
        <v>20</v>
      </c>
      <c r="C137" s="22">
        <v>10</v>
      </c>
      <c r="D137" s="4"/>
      <c r="E137" s="4">
        <v>2.4630000000000001</v>
      </c>
      <c r="F137" s="4">
        <v>3.1749999999999998</v>
      </c>
      <c r="G137" s="4">
        <v>5.3869999999999996</v>
      </c>
      <c r="H137" s="4">
        <f t="shared" si="12"/>
        <v>7.9055118110236328E-2</v>
      </c>
      <c r="I137" s="4">
        <f t="shared" si="13"/>
        <v>0</v>
      </c>
      <c r="J137" s="10">
        <f t="shared" si="11"/>
        <v>0</v>
      </c>
    </row>
    <row r="138" spans="1:10" x14ac:dyDescent="0.2">
      <c r="A138" s="20"/>
      <c r="B138" s="6" t="s">
        <v>21</v>
      </c>
      <c r="C138" s="23"/>
      <c r="D138">
        <v>795</v>
      </c>
      <c r="E138">
        <v>2.4660000000000002</v>
      </c>
      <c r="F138">
        <v>3.5310000000000001</v>
      </c>
      <c r="G138">
        <v>5.7229999999999999</v>
      </c>
      <c r="H138">
        <f t="shared" si="12"/>
        <v>7.7598414047012301E-2</v>
      </c>
      <c r="I138">
        <f t="shared" si="13"/>
        <v>733.30926083262523</v>
      </c>
      <c r="J138" s="11" t="e">
        <f t="shared" si="11"/>
        <v>#DIV/0!</v>
      </c>
    </row>
    <row r="139" spans="1:10" x14ac:dyDescent="0.2">
      <c r="A139" s="25"/>
      <c r="B139" s="8" t="s">
        <v>22</v>
      </c>
      <c r="C139" s="26"/>
      <c r="D139" s="7"/>
      <c r="E139" s="7">
        <v>2.4510000000000001</v>
      </c>
      <c r="F139" s="7">
        <v>3.02</v>
      </c>
      <c r="G139" s="7">
        <v>5.2409999999999997</v>
      </c>
      <c r="H139" s="7">
        <f t="shared" si="12"/>
        <v>7.6158940397351133E-2</v>
      </c>
      <c r="I139" s="7">
        <f t="shared" si="13"/>
        <v>0</v>
      </c>
      <c r="J139" s="12" t="e">
        <f t="shared" si="11"/>
        <v>#DIV/0!</v>
      </c>
    </row>
    <row r="140" spans="1:10" x14ac:dyDescent="0.2">
      <c r="A140" s="19" t="s">
        <v>8</v>
      </c>
      <c r="B140" s="5" t="s">
        <v>20</v>
      </c>
      <c r="C140" s="22">
        <v>10</v>
      </c>
      <c r="D140" s="4"/>
      <c r="E140" s="4">
        <v>2.4609999999999999</v>
      </c>
      <c r="F140" s="4">
        <v>3.09</v>
      </c>
      <c r="G140" s="4">
        <v>5.2839999999999998</v>
      </c>
      <c r="H140" s="4">
        <f t="shared" si="12"/>
        <v>8.6407766990291235E-2</v>
      </c>
      <c r="I140" s="4">
        <f t="shared" si="13"/>
        <v>0</v>
      </c>
      <c r="J140" s="10">
        <f t="shared" si="11"/>
        <v>0</v>
      </c>
    </row>
    <row r="141" spans="1:10" x14ac:dyDescent="0.2">
      <c r="A141" s="20"/>
      <c r="B141" s="6" t="s">
        <v>21</v>
      </c>
      <c r="C141" s="23"/>
      <c r="D141">
        <v>664</v>
      </c>
      <c r="E141">
        <v>2.4470000000000001</v>
      </c>
      <c r="F141">
        <v>3.1880000000000002</v>
      </c>
      <c r="G141">
        <v>5.3680000000000003</v>
      </c>
      <c r="H141">
        <f t="shared" si="12"/>
        <v>8.375156838143033E-2</v>
      </c>
      <c r="I141">
        <f t="shared" si="13"/>
        <v>608.3889585947303</v>
      </c>
      <c r="J141" s="11" t="e">
        <f t="shared" si="11"/>
        <v>#DIV/0!</v>
      </c>
    </row>
    <row r="142" spans="1:10" x14ac:dyDescent="0.2">
      <c r="A142" s="25"/>
      <c r="B142" s="8" t="s">
        <v>22</v>
      </c>
      <c r="C142" s="26"/>
      <c r="D142" s="7"/>
      <c r="E142" s="7">
        <v>2.4569999999999999</v>
      </c>
      <c r="F142" s="7">
        <v>3.407</v>
      </c>
      <c r="G142" s="7">
        <v>5.5880000000000001</v>
      </c>
      <c r="H142" s="7">
        <f t="shared" si="12"/>
        <v>8.1009685940710244E-2</v>
      </c>
      <c r="I142" s="7">
        <f t="shared" si="13"/>
        <v>0</v>
      </c>
      <c r="J142" s="12" t="e">
        <f t="shared" si="11"/>
        <v>#DIV/0!</v>
      </c>
    </row>
    <row r="143" spans="1:10" x14ac:dyDescent="0.2">
      <c r="A143" s="19" t="s">
        <v>9</v>
      </c>
      <c r="B143" s="5" t="s">
        <v>20</v>
      </c>
      <c r="C143" s="22">
        <v>10</v>
      </c>
      <c r="D143" s="4"/>
      <c r="E143" s="4">
        <v>2.4710000000000001</v>
      </c>
      <c r="F143" s="4">
        <v>3.6640000000000001</v>
      </c>
      <c r="G143" s="4">
        <v>5.9050000000000002</v>
      </c>
      <c r="H143" s="4">
        <f t="shared" si="12"/>
        <v>6.2772925764192133E-2</v>
      </c>
      <c r="I143" s="4">
        <f t="shared" si="13"/>
        <v>0</v>
      </c>
      <c r="J143" s="10">
        <f t="shared" si="11"/>
        <v>0</v>
      </c>
    </row>
    <row r="144" spans="1:10" x14ac:dyDescent="0.2">
      <c r="A144" s="20"/>
      <c r="B144" s="6" t="s">
        <v>21</v>
      </c>
      <c r="C144" s="23"/>
      <c r="D144">
        <v>698</v>
      </c>
      <c r="E144">
        <v>2.464</v>
      </c>
      <c r="F144">
        <v>3.1139999999999999</v>
      </c>
      <c r="G144">
        <v>5.3710000000000004</v>
      </c>
      <c r="H144">
        <f t="shared" si="12"/>
        <v>6.6473988439306173E-2</v>
      </c>
      <c r="I144">
        <f t="shared" si="13"/>
        <v>651.60115606936427</v>
      </c>
      <c r="J144" s="11" t="e">
        <f t="shared" si="11"/>
        <v>#DIV/0!</v>
      </c>
    </row>
    <row r="145" spans="1:10" x14ac:dyDescent="0.2">
      <c r="A145" s="25"/>
      <c r="B145" s="8" t="s">
        <v>22</v>
      </c>
      <c r="C145" s="26"/>
      <c r="D145" s="7"/>
      <c r="E145" s="7">
        <v>2.4569999999999999</v>
      </c>
      <c r="F145" s="7">
        <v>3.089</v>
      </c>
      <c r="G145" s="7">
        <v>5.3390000000000004</v>
      </c>
      <c r="H145" s="7">
        <f t="shared" si="12"/>
        <v>6.7011977986403182E-2</v>
      </c>
      <c r="I145" s="7">
        <f t="shared" si="13"/>
        <v>0</v>
      </c>
      <c r="J145" s="12" t="e">
        <f t="shared" si="11"/>
        <v>#DIV/0!</v>
      </c>
    </row>
    <row r="146" spans="1:10" x14ac:dyDescent="0.2">
      <c r="A146" s="19" t="s">
        <v>10</v>
      </c>
      <c r="B146" s="5" t="s">
        <v>20</v>
      </c>
      <c r="C146" s="22">
        <v>10</v>
      </c>
      <c r="D146" s="4"/>
      <c r="E146" s="4">
        <v>2.4489999999999998</v>
      </c>
      <c r="F146" s="4">
        <v>3.5179999999999998</v>
      </c>
      <c r="G146" s="4">
        <v>5.726</v>
      </c>
      <c r="H146" s="4">
        <f t="shared" si="12"/>
        <v>6.8504832291074375E-2</v>
      </c>
      <c r="I146" s="4">
        <f t="shared" si="13"/>
        <v>0</v>
      </c>
      <c r="J146" s="10">
        <f t="shared" si="11"/>
        <v>0</v>
      </c>
    </row>
    <row r="147" spans="1:10" x14ac:dyDescent="0.2">
      <c r="A147" s="20"/>
      <c r="B147" s="6" t="s">
        <v>21</v>
      </c>
      <c r="C147" s="23"/>
      <c r="D147">
        <v>628</v>
      </c>
      <c r="E147">
        <v>2.452</v>
      </c>
      <c r="F147">
        <v>3.4239999999999999</v>
      </c>
      <c r="G147">
        <v>5.649</v>
      </c>
      <c r="H147">
        <f t="shared" si="12"/>
        <v>6.6296728971962579E-2</v>
      </c>
      <c r="I147">
        <f t="shared" si="13"/>
        <v>586.36565420560748</v>
      </c>
      <c r="J147" s="11" t="e">
        <f t="shared" si="11"/>
        <v>#DIV/0!</v>
      </c>
    </row>
    <row r="148" spans="1:10" x14ac:dyDescent="0.2">
      <c r="A148" s="25"/>
      <c r="B148" s="8" t="s">
        <v>22</v>
      </c>
      <c r="C148" s="26"/>
      <c r="D148" s="7"/>
      <c r="E148" s="7">
        <v>2.4609999999999999</v>
      </c>
      <c r="F148" s="7">
        <v>3.1749999999999998</v>
      </c>
      <c r="G148" s="7">
        <v>5.415</v>
      </c>
      <c r="H148" s="7">
        <f t="shared" si="12"/>
        <v>6.960629921259831E-2</v>
      </c>
      <c r="I148" s="7">
        <f t="shared" si="13"/>
        <v>0</v>
      </c>
      <c r="J148" s="12" t="e">
        <f t="shared" si="11"/>
        <v>#DIV/0!</v>
      </c>
    </row>
    <row r="149" spans="1:10" x14ac:dyDescent="0.2">
      <c r="A149" s="19" t="s">
        <v>11</v>
      </c>
      <c r="B149" s="5" t="s">
        <v>20</v>
      </c>
      <c r="C149" s="22">
        <v>10</v>
      </c>
      <c r="D149" s="4"/>
      <c r="E149" s="4">
        <v>2.4670000000000001</v>
      </c>
      <c r="F149" s="4">
        <v>3.0179999999999998</v>
      </c>
      <c r="G149" s="4">
        <v>5.298</v>
      </c>
      <c r="H149" s="4">
        <f t="shared" si="12"/>
        <v>6.1961563949635472E-2</v>
      </c>
      <c r="I149" s="4">
        <f t="shared" si="13"/>
        <v>0</v>
      </c>
      <c r="J149" s="10">
        <f t="shared" si="11"/>
        <v>0</v>
      </c>
    </row>
    <row r="150" spans="1:10" x14ac:dyDescent="0.2">
      <c r="A150" s="20"/>
      <c r="B150" s="6" t="s">
        <v>21</v>
      </c>
      <c r="C150" s="23"/>
      <c r="D150">
        <v>658</v>
      </c>
      <c r="E150">
        <v>2.468</v>
      </c>
      <c r="F150">
        <v>3.5550000000000002</v>
      </c>
      <c r="G150">
        <v>5.7880000000000003</v>
      </c>
      <c r="H150">
        <f t="shared" si="12"/>
        <v>6.6104078762306576E-2</v>
      </c>
      <c r="I150">
        <f t="shared" si="13"/>
        <v>614.50351617440231</v>
      </c>
      <c r="J150" s="11" t="e">
        <f t="shared" si="11"/>
        <v>#DIV/0!</v>
      </c>
    </row>
    <row r="151" spans="1:10" x14ac:dyDescent="0.2">
      <c r="A151" s="25"/>
      <c r="B151" s="8" t="s">
        <v>22</v>
      </c>
      <c r="C151" s="26"/>
      <c r="D151" s="7"/>
      <c r="E151" s="7">
        <v>2.4529999999999998</v>
      </c>
      <c r="F151" s="7">
        <v>3.48</v>
      </c>
      <c r="G151" s="7">
        <v>5.6849999999999996</v>
      </c>
      <c r="H151" s="7">
        <f t="shared" si="12"/>
        <v>7.1264367816092022E-2</v>
      </c>
      <c r="I151" s="7">
        <f t="shared" si="13"/>
        <v>0</v>
      </c>
      <c r="J151" s="12" t="e">
        <f t="shared" si="11"/>
        <v>#DIV/0!</v>
      </c>
    </row>
    <row r="152" spans="1:10" x14ac:dyDescent="0.2">
      <c r="A152" s="19" t="s">
        <v>12</v>
      </c>
      <c r="B152" s="5" t="s">
        <v>20</v>
      </c>
      <c r="C152" s="22">
        <v>10</v>
      </c>
      <c r="D152" s="4"/>
      <c r="E152" s="4">
        <v>2.4529999999999998</v>
      </c>
      <c r="F152" s="4">
        <v>3.125</v>
      </c>
      <c r="G152" s="4">
        <v>5.36</v>
      </c>
      <c r="H152" s="4">
        <f t="shared" si="12"/>
        <v>6.975999999999985E-2</v>
      </c>
      <c r="I152" s="4">
        <f t="shared" si="13"/>
        <v>0</v>
      </c>
      <c r="J152" s="10">
        <f t="shared" si="11"/>
        <v>0</v>
      </c>
    </row>
    <row r="153" spans="1:10" x14ac:dyDescent="0.2">
      <c r="A153" s="20"/>
      <c r="B153" s="6" t="s">
        <v>21</v>
      </c>
      <c r="C153" s="23"/>
      <c r="D153">
        <v>599</v>
      </c>
      <c r="E153">
        <v>2.4430000000000001</v>
      </c>
      <c r="F153">
        <v>3.2480000000000002</v>
      </c>
      <c r="G153">
        <v>5.4690000000000003</v>
      </c>
      <c r="H153">
        <f t="shared" si="12"/>
        <v>6.8349753694581267E-2</v>
      </c>
      <c r="I153">
        <f t="shared" si="13"/>
        <v>558.05849753694588</v>
      </c>
      <c r="J153" s="11" t="e">
        <f t="shared" si="11"/>
        <v>#DIV/0!</v>
      </c>
    </row>
    <row r="154" spans="1:10" x14ac:dyDescent="0.2">
      <c r="A154" s="25"/>
      <c r="B154" s="8" t="s">
        <v>22</v>
      </c>
      <c r="C154" s="26"/>
      <c r="D154" s="7"/>
      <c r="E154" s="7">
        <v>2.4359999999999999</v>
      </c>
      <c r="F154" s="7">
        <v>3.085</v>
      </c>
      <c r="G154" s="7">
        <v>5.3159999999999998</v>
      </c>
      <c r="H154" s="7">
        <f t="shared" si="12"/>
        <v>6.6450567260940049E-2</v>
      </c>
      <c r="I154" s="7">
        <f t="shared" si="13"/>
        <v>0</v>
      </c>
      <c r="J154" s="12" t="e">
        <f t="shared" si="11"/>
        <v>#DIV/0!</v>
      </c>
    </row>
    <row r="155" spans="1:10" x14ac:dyDescent="0.2">
      <c r="A155" s="19" t="s">
        <v>13</v>
      </c>
      <c r="B155" s="5" t="s">
        <v>20</v>
      </c>
      <c r="C155" s="22">
        <v>10</v>
      </c>
      <c r="D155" s="4"/>
      <c r="E155" s="4">
        <v>2.4500000000000002</v>
      </c>
      <c r="F155" s="4">
        <v>3.4550000000000001</v>
      </c>
      <c r="G155" s="4">
        <v>5.6109999999999998</v>
      </c>
      <c r="H155" s="4">
        <f t="shared" si="12"/>
        <v>8.5094066570188268E-2</v>
      </c>
      <c r="I155" s="4">
        <f t="shared" si="13"/>
        <v>0</v>
      </c>
      <c r="J155" s="10">
        <f t="shared" si="11"/>
        <v>0</v>
      </c>
    </row>
    <row r="156" spans="1:10" x14ac:dyDescent="0.2">
      <c r="A156" s="20"/>
      <c r="B156" s="6" t="s">
        <v>21</v>
      </c>
      <c r="C156" s="23"/>
      <c r="D156">
        <v>501</v>
      </c>
      <c r="E156">
        <v>2.4209999999999998</v>
      </c>
      <c r="F156">
        <v>3.5910000000000002</v>
      </c>
      <c r="G156">
        <v>5.7210000000000001</v>
      </c>
      <c r="H156">
        <f t="shared" si="12"/>
        <v>8.1035923141186281E-2</v>
      </c>
      <c r="I156">
        <f t="shared" si="13"/>
        <v>460.40100250626568</v>
      </c>
      <c r="J156" s="11" t="e">
        <f t="shared" si="11"/>
        <v>#DIV/0!</v>
      </c>
    </row>
    <row r="157" spans="1:10" x14ac:dyDescent="0.2">
      <c r="A157" s="25"/>
      <c r="B157" s="8" t="s">
        <v>22</v>
      </c>
      <c r="C157" s="26"/>
      <c r="D157" s="7"/>
      <c r="E157" s="7">
        <v>2.4580000000000002</v>
      </c>
      <c r="F157" s="7">
        <v>3.22</v>
      </c>
      <c r="G157" s="7">
        <v>5.4320000000000004</v>
      </c>
      <c r="H157" s="7">
        <f t="shared" si="12"/>
        <v>7.6397515527950308E-2</v>
      </c>
      <c r="I157" s="7">
        <f t="shared" si="13"/>
        <v>0</v>
      </c>
      <c r="J157" s="12" t="e">
        <f t="shared" si="11"/>
        <v>#DIV/0!</v>
      </c>
    </row>
    <row r="158" spans="1:10" x14ac:dyDescent="0.2">
      <c r="A158" s="19" t="s">
        <v>14</v>
      </c>
      <c r="B158" s="5" t="s">
        <v>20</v>
      </c>
      <c r="C158" s="22">
        <v>10</v>
      </c>
      <c r="D158" s="4"/>
      <c r="E158" s="4"/>
      <c r="F158" s="4"/>
      <c r="G158" s="4"/>
      <c r="H158" s="4" t="e">
        <f t="shared" si="12"/>
        <v>#DIV/0!</v>
      </c>
      <c r="I158" s="4" t="e">
        <f t="shared" si="13"/>
        <v>#DIV/0!</v>
      </c>
      <c r="J158" s="10" t="e">
        <f t="shared" si="11"/>
        <v>#DIV/0!</v>
      </c>
    </row>
    <row r="159" spans="1:10" x14ac:dyDescent="0.2">
      <c r="A159" s="20"/>
      <c r="B159" s="6" t="s">
        <v>21</v>
      </c>
      <c r="C159" s="23"/>
      <c r="H159" t="e">
        <f t="shared" si="12"/>
        <v>#DIV/0!</v>
      </c>
      <c r="I159" t="e">
        <f t="shared" si="13"/>
        <v>#DIV/0!</v>
      </c>
      <c r="J159" s="11" t="e">
        <f t="shared" si="11"/>
        <v>#DIV/0!</v>
      </c>
    </row>
    <row r="160" spans="1:10" ht="16" thickBot="1" x14ac:dyDescent="0.25">
      <c r="A160" s="21"/>
      <c r="B160" s="15" t="s">
        <v>22</v>
      </c>
      <c r="C160" s="24"/>
      <c r="D160" s="13"/>
      <c r="E160" s="13"/>
      <c r="F160" s="13"/>
      <c r="G160" s="13"/>
      <c r="H160" s="13" t="e">
        <f t="shared" si="12"/>
        <v>#DIV/0!</v>
      </c>
      <c r="I160" s="13" t="e">
        <f t="shared" si="13"/>
        <v>#DIV/0!</v>
      </c>
      <c r="J160" s="14" t="e">
        <f t="shared" si="11"/>
        <v>#DIV/0!</v>
      </c>
    </row>
    <row r="161" spans="1:10" ht="16" thickBot="1" x14ac:dyDescent="0.25">
      <c r="A161" s="44" t="s">
        <v>1</v>
      </c>
      <c r="B161" s="33"/>
      <c r="C161" s="33"/>
      <c r="D161" s="33" t="s">
        <v>35</v>
      </c>
      <c r="E161" s="34"/>
      <c r="F161" s="9" t="s">
        <v>0</v>
      </c>
      <c r="G161" s="18">
        <v>44180</v>
      </c>
      <c r="H161" s="35" t="s">
        <v>24</v>
      </c>
      <c r="I161" s="36"/>
      <c r="J161" s="1">
        <v>95</v>
      </c>
    </row>
    <row r="162" spans="1:10" ht="16" thickBot="1" x14ac:dyDescent="0.25">
      <c r="A162" s="37" t="s">
        <v>2</v>
      </c>
      <c r="B162" s="38"/>
      <c r="C162" s="38"/>
      <c r="D162" s="38"/>
      <c r="E162" s="39"/>
      <c r="F162" s="40"/>
      <c r="G162" s="41"/>
      <c r="H162" s="42" t="s">
        <v>25</v>
      </c>
      <c r="I162" s="43"/>
      <c r="J162" s="2">
        <v>27</v>
      </c>
    </row>
    <row r="163" spans="1:10" ht="16" thickBot="1" x14ac:dyDescent="0.25">
      <c r="A163" s="45" t="s">
        <v>27</v>
      </c>
      <c r="B163" s="27"/>
      <c r="C163" s="27"/>
      <c r="D163" s="27" t="s">
        <v>36</v>
      </c>
      <c r="E163" s="28"/>
      <c r="F163" s="16" t="s">
        <v>30</v>
      </c>
      <c r="G163" s="16">
        <v>3.81</v>
      </c>
      <c r="H163" s="29" t="s">
        <v>26</v>
      </c>
      <c r="I163" s="30"/>
      <c r="J163" s="3">
        <v>45</v>
      </c>
    </row>
    <row r="164" spans="1:10" x14ac:dyDescent="0.2">
      <c r="A164" s="31"/>
      <c r="B164" s="32"/>
      <c r="C164" s="16" t="s">
        <v>29</v>
      </c>
      <c r="D164" s="16" t="s">
        <v>19</v>
      </c>
      <c r="E164" s="16" t="s">
        <v>15</v>
      </c>
      <c r="F164" s="16" t="s">
        <v>18</v>
      </c>
      <c r="G164" s="16" t="s">
        <v>17</v>
      </c>
      <c r="H164" s="16" t="s">
        <v>28</v>
      </c>
      <c r="I164" s="16" t="s">
        <v>16</v>
      </c>
      <c r="J164" s="17" t="s">
        <v>23</v>
      </c>
    </row>
    <row r="165" spans="1:10" x14ac:dyDescent="0.2">
      <c r="A165" s="19" t="s">
        <v>3</v>
      </c>
      <c r="B165" s="5" t="s">
        <v>20</v>
      </c>
      <c r="C165" s="22">
        <v>10</v>
      </c>
      <c r="D165" s="4"/>
      <c r="E165" s="4">
        <v>1.7230000000000001</v>
      </c>
      <c r="F165" s="4">
        <v>3.2160000000000002</v>
      </c>
      <c r="G165" s="4">
        <v>4.1529999999999996</v>
      </c>
      <c r="H165" s="4">
        <f>(F165-(G165-E165))/F165</f>
        <v>0.24440298507462699</v>
      </c>
      <c r="I165" s="4">
        <f>D165-H165*D165</f>
        <v>0</v>
      </c>
      <c r="J165" s="10">
        <f t="shared" ref="J165:J200" si="14">I165/($G$3^2*C165*PI())</f>
        <v>0</v>
      </c>
    </row>
    <row r="166" spans="1:10" x14ac:dyDescent="0.2">
      <c r="A166" s="20"/>
      <c r="B166" s="6" t="s">
        <v>21</v>
      </c>
      <c r="C166" s="23"/>
      <c r="D166">
        <v>815</v>
      </c>
      <c r="E166">
        <v>1.728</v>
      </c>
      <c r="F166">
        <v>3.1509999999999998</v>
      </c>
      <c r="G166">
        <v>4.1399999999999997</v>
      </c>
      <c r="H166">
        <f t="shared" ref="H166:H200" si="15">(F166-(G166-E166))/F166</f>
        <v>0.23452872104093936</v>
      </c>
      <c r="I166">
        <f t="shared" ref="I166:I200" si="16">D166-H166*D166</f>
        <v>623.85909235163444</v>
      </c>
      <c r="J166" s="11" t="e">
        <f t="shared" si="14"/>
        <v>#DIV/0!</v>
      </c>
    </row>
    <row r="167" spans="1:10" x14ac:dyDescent="0.2">
      <c r="A167" s="25"/>
      <c r="B167" s="8" t="s">
        <v>22</v>
      </c>
      <c r="C167" s="26"/>
      <c r="D167" s="7"/>
      <c r="E167" s="7">
        <v>1.728</v>
      </c>
      <c r="F167" s="7">
        <v>3.0819999999999999</v>
      </c>
      <c r="G167" s="7">
        <v>4.0350000000000001</v>
      </c>
      <c r="H167" s="7">
        <f t="shared" si="15"/>
        <v>0.25146009085009718</v>
      </c>
      <c r="I167" s="7">
        <f t="shared" si="16"/>
        <v>0</v>
      </c>
      <c r="J167" s="12" t="e">
        <f t="shared" si="14"/>
        <v>#DIV/0!</v>
      </c>
    </row>
    <row r="168" spans="1:10" x14ac:dyDescent="0.2">
      <c r="A168" s="19" t="s">
        <v>4</v>
      </c>
      <c r="B168" s="5" t="s">
        <v>20</v>
      </c>
      <c r="C168" s="23">
        <v>10</v>
      </c>
      <c r="E168">
        <v>1.726</v>
      </c>
      <c r="F168">
        <v>3.4540000000000002</v>
      </c>
      <c r="G168">
        <v>4.4489999999999998</v>
      </c>
      <c r="H168" s="4">
        <f t="shared" si="15"/>
        <v>0.2116386797915461</v>
      </c>
      <c r="I168" s="4">
        <f t="shared" si="16"/>
        <v>0</v>
      </c>
      <c r="J168" s="10">
        <f t="shared" si="14"/>
        <v>0</v>
      </c>
    </row>
    <row r="169" spans="1:10" x14ac:dyDescent="0.2">
      <c r="A169" s="20"/>
      <c r="B169" s="6" t="s">
        <v>21</v>
      </c>
      <c r="C169" s="23"/>
      <c r="D169">
        <v>769</v>
      </c>
      <c r="E169">
        <v>1.7270000000000001</v>
      </c>
      <c r="F169">
        <v>3.6859999999999999</v>
      </c>
      <c r="G169">
        <v>4.6319999999999997</v>
      </c>
      <c r="H169">
        <f t="shared" si="15"/>
        <v>0.21188279978296273</v>
      </c>
      <c r="I169">
        <f t="shared" si="16"/>
        <v>606.06212696690159</v>
      </c>
      <c r="J169" s="11" t="e">
        <f t="shared" si="14"/>
        <v>#DIV/0!</v>
      </c>
    </row>
    <row r="170" spans="1:10" x14ac:dyDescent="0.2">
      <c r="A170" s="25"/>
      <c r="B170" s="8" t="s">
        <v>22</v>
      </c>
      <c r="C170" s="26"/>
      <c r="D170" s="7"/>
      <c r="E170" s="7">
        <v>1.726</v>
      </c>
      <c r="F170" s="7">
        <v>3.0329999999999999</v>
      </c>
      <c r="G170" s="7">
        <v>4.1379999999999999</v>
      </c>
      <c r="H170" s="7">
        <f t="shared" si="15"/>
        <v>0.20474777448071216</v>
      </c>
      <c r="I170" s="7">
        <f t="shared" si="16"/>
        <v>0</v>
      </c>
      <c r="J170" s="12" t="e">
        <f t="shared" si="14"/>
        <v>#DIV/0!</v>
      </c>
    </row>
    <row r="171" spans="1:10" x14ac:dyDescent="0.2">
      <c r="A171" s="19" t="s">
        <v>5</v>
      </c>
      <c r="B171" s="5" t="s">
        <v>20</v>
      </c>
      <c r="C171" s="22">
        <v>10</v>
      </c>
      <c r="D171" s="4"/>
      <c r="E171" s="4">
        <v>1.736</v>
      </c>
      <c r="F171" s="4">
        <v>3.133</v>
      </c>
      <c r="G171" s="4">
        <v>4.2569999999999997</v>
      </c>
      <c r="H171" s="4">
        <f t="shared" si="15"/>
        <v>0.19533992977976383</v>
      </c>
      <c r="I171" s="4">
        <f t="shared" si="16"/>
        <v>0</v>
      </c>
      <c r="J171" s="10">
        <f t="shared" si="14"/>
        <v>0</v>
      </c>
    </row>
    <row r="172" spans="1:10" x14ac:dyDescent="0.2">
      <c r="A172" s="20"/>
      <c r="B172" s="6" t="s">
        <v>21</v>
      </c>
      <c r="C172" s="23"/>
      <c r="D172">
        <v>710</v>
      </c>
      <c r="E172">
        <v>1.7310000000000001</v>
      </c>
      <c r="F172">
        <v>3.415</v>
      </c>
      <c r="G172">
        <v>4.4139999999999997</v>
      </c>
      <c r="H172">
        <f t="shared" si="15"/>
        <v>0.21434846266471455</v>
      </c>
      <c r="I172">
        <f t="shared" si="16"/>
        <v>557.81259150805272</v>
      </c>
      <c r="J172" s="11" t="e">
        <f t="shared" si="14"/>
        <v>#DIV/0!</v>
      </c>
    </row>
    <row r="173" spans="1:10" x14ac:dyDescent="0.2">
      <c r="A173" s="25"/>
      <c r="B173" s="8" t="s">
        <v>22</v>
      </c>
      <c r="C173" s="26"/>
      <c r="D173" s="7"/>
      <c r="E173" s="7">
        <v>1.7270000000000001</v>
      </c>
      <c r="F173" s="7">
        <v>3.5750000000000002</v>
      </c>
      <c r="G173" s="7">
        <v>4.5110000000000001</v>
      </c>
      <c r="H173" s="7">
        <f t="shared" si="15"/>
        <v>0.22125874125874134</v>
      </c>
      <c r="I173" s="7">
        <f t="shared" si="16"/>
        <v>0</v>
      </c>
      <c r="J173" s="12" t="e">
        <f t="shared" si="14"/>
        <v>#DIV/0!</v>
      </c>
    </row>
    <row r="174" spans="1:10" x14ac:dyDescent="0.2">
      <c r="A174" s="19" t="s">
        <v>6</v>
      </c>
      <c r="B174" s="5" t="s">
        <v>20</v>
      </c>
      <c r="C174" s="22">
        <v>10</v>
      </c>
      <c r="D174" s="4"/>
      <c r="E174" s="4">
        <v>1.726</v>
      </c>
      <c r="F174" s="4">
        <v>3.7629999999999999</v>
      </c>
      <c r="G174" s="4">
        <v>4.431</v>
      </c>
      <c r="H174" s="4">
        <f t="shared" si="15"/>
        <v>0.28115865001328721</v>
      </c>
      <c r="I174" s="4">
        <f t="shared" si="16"/>
        <v>0</v>
      </c>
      <c r="J174" s="10">
        <f t="shared" si="14"/>
        <v>0</v>
      </c>
    </row>
    <row r="175" spans="1:10" x14ac:dyDescent="0.2">
      <c r="A175" s="20"/>
      <c r="B175" s="6" t="s">
        <v>21</v>
      </c>
      <c r="C175" s="23"/>
      <c r="D175">
        <v>569</v>
      </c>
      <c r="E175">
        <v>1.736</v>
      </c>
      <c r="F175">
        <v>3.1989999999999998</v>
      </c>
      <c r="G175">
        <v>3.7559999999999998</v>
      </c>
      <c r="H175">
        <f t="shared" si="15"/>
        <v>0.36855267271022207</v>
      </c>
      <c r="I175">
        <f t="shared" si="16"/>
        <v>359.29352922788365</v>
      </c>
      <c r="J175" s="11" t="e">
        <f t="shared" si="14"/>
        <v>#DIV/0!</v>
      </c>
    </row>
    <row r="176" spans="1:10" x14ac:dyDescent="0.2">
      <c r="A176" s="25"/>
      <c r="B176" s="8" t="s">
        <v>22</v>
      </c>
      <c r="C176" s="26"/>
      <c r="D176" s="7"/>
      <c r="E176" s="7">
        <v>1.7110000000000001</v>
      </c>
      <c r="F176" s="7">
        <v>3.0990000000000002</v>
      </c>
      <c r="G176" s="7">
        <v>3.738</v>
      </c>
      <c r="H176" s="7">
        <f t="shared" si="15"/>
        <v>0.34591803807679894</v>
      </c>
      <c r="I176" s="7">
        <f t="shared" si="16"/>
        <v>0</v>
      </c>
      <c r="J176" s="12" t="e">
        <f t="shared" si="14"/>
        <v>#DIV/0!</v>
      </c>
    </row>
    <row r="177" spans="1:10" x14ac:dyDescent="0.2">
      <c r="A177" s="19" t="s">
        <v>7</v>
      </c>
      <c r="B177" s="5" t="s">
        <v>20</v>
      </c>
      <c r="C177" s="22">
        <v>10</v>
      </c>
      <c r="D177" s="4"/>
      <c r="E177" s="4">
        <v>1.7150000000000001</v>
      </c>
      <c r="F177" s="4">
        <v>3.0880000000000001</v>
      </c>
      <c r="G177" s="4">
        <v>4.125</v>
      </c>
      <c r="H177" s="4">
        <f t="shared" si="15"/>
        <v>0.21955958549222795</v>
      </c>
      <c r="I177" s="4">
        <f t="shared" si="16"/>
        <v>0</v>
      </c>
      <c r="J177" s="10">
        <f t="shared" si="14"/>
        <v>0</v>
      </c>
    </row>
    <row r="178" spans="1:10" x14ac:dyDescent="0.2">
      <c r="A178" s="20"/>
      <c r="B178" s="6" t="s">
        <v>21</v>
      </c>
      <c r="C178" s="23"/>
      <c r="D178">
        <v>702</v>
      </c>
      <c r="E178">
        <v>1.716</v>
      </c>
      <c r="F178">
        <v>3.1680000000000001</v>
      </c>
      <c r="G178">
        <v>4.2009999999999996</v>
      </c>
      <c r="H178">
        <f t="shared" si="15"/>
        <v>0.21559343434343456</v>
      </c>
      <c r="I178">
        <f t="shared" si="16"/>
        <v>550.65340909090901</v>
      </c>
      <c r="J178" s="11" t="e">
        <f t="shared" si="14"/>
        <v>#DIV/0!</v>
      </c>
    </row>
    <row r="179" spans="1:10" x14ac:dyDescent="0.2">
      <c r="A179" s="25"/>
      <c r="B179" s="8" t="s">
        <v>22</v>
      </c>
      <c r="C179" s="26"/>
      <c r="D179" s="7"/>
      <c r="E179" s="7">
        <v>1.7250000000000001</v>
      </c>
      <c r="F179" s="7">
        <v>3.4089999999999998</v>
      </c>
      <c r="G179" s="7">
        <v>4.1509999999999998</v>
      </c>
      <c r="H179" s="7">
        <f t="shared" si="15"/>
        <v>0.28835435611616317</v>
      </c>
      <c r="I179" s="7">
        <f t="shared" si="16"/>
        <v>0</v>
      </c>
      <c r="J179" s="12" t="e">
        <f t="shared" si="14"/>
        <v>#DIV/0!</v>
      </c>
    </row>
    <row r="180" spans="1:10" x14ac:dyDescent="0.2">
      <c r="A180" s="19" t="s">
        <v>8</v>
      </c>
      <c r="B180" s="5" t="s">
        <v>20</v>
      </c>
      <c r="C180" s="22">
        <v>10</v>
      </c>
      <c r="D180" s="4"/>
      <c r="E180" s="4">
        <v>1.7270000000000001</v>
      </c>
      <c r="F180" s="4">
        <v>3.2269999999999999</v>
      </c>
      <c r="G180" s="4">
        <v>4.3250000000000002</v>
      </c>
      <c r="H180" s="4">
        <f t="shared" si="15"/>
        <v>0.19491788038425784</v>
      </c>
      <c r="I180" s="4">
        <f t="shared" si="16"/>
        <v>0</v>
      </c>
      <c r="J180" s="10">
        <f t="shared" si="14"/>
        <v>0</v>
      </c>
    </row>
    <row r="181" spans="1:10" x14ac:dyDescent="0.2">
      <c r="A181" s="20"/>
      <c r="B181" s="6" t="s">
        <v>21</v>
      </c>
      <c r="C181" s="23"/>
      <c r="D181">
        <v>887</v>
      </c>
      <c r="E181">
        <v>1.7430000000000001</v>
      </c>
      <c r="F181">
        <v>3.3610000000000002</v>
      </c>
      <c r="G181">
        <v>4.5449999999999999</v>
      </c>
      <c r="H181">
        <f t="shared" si="15"/>
        <v>0.16631954775364491</v>
      </c>
      <c r="I181">
        <f t="shared" si="16"/>
        <v>739.4745611425169</v>
      </c>
      <c r="J181" s="11" t="e">
        <f t="shared" si="14"/>
        <v>#DIV/0!</v>
      </c>
    </row>
    <row r="182" spans="1:10" x14ac:dyDescent="0.2">
      <c r="A182" s="25"/>
      <c r="B182" s="8" t="s">
        <v>22</v>
      </c>
      <c r="C182" s="26"/>
      <c r="D182" s="7"/>
      <c r="E182" s="7">
        <v>1.7250000000000001</v>
      </c>
      <c r="F182" s="7">
        <v>3.5179999999999998</v>
      </c>
      <c r="G182" s="7">
        <v>4.6349999999999998</v>
      </c>
      <c r="H182" s="7">
        <f t="shared" si="15"/>
        <v>0.17282546901648668</v>
      </c>
      <c r="I182" s="7">
        <f t="shared" si="16"/>
        <v>0</v>
      </c>
      <c r="J182" s="12" t="e">
        <f t="shared" si="14"/>
        <v>#DIV/0!</v>
      </c>
    </row>
    <row r="183" spans="1:10" x14ac:dyDescent="0.2">
      <c r="A183" s="19" t="s">
        <v>9</v>
      </c>
      <c r="B183" s="5" t="s">
        <v>20</v>
      </c>
      <c r="C183" s="22">
        <v>10</v>
      </c>
      <c r="D183" s="4"/>
      <c r="E183" s="4">
        <v>1.73</v>
      </c>
      <c r="F183" s="4">
        <v>3.5840000000000001</v>
      </c>
      <c r="G183" s="4">
        <v>4.8609999999999998</v>
      </c>
      <c r="H183" s="4">
        <f t="shared" si="15"/>
        <v>0.12639508928571436</v>
      </c>
      <c r="I183" s="4">
        <f t="shared" si="16"/>
        <v>0</v>
      </c>
      <c r="J183" s="10">
        <f t="shared" si="14"/>
        <v>0</v>
      </c>
    </row>
    <row r="184" spans="1:10" x14ac:dyDescent="0.2">
      <c r="A184" s="20"/>
      <c r="B184" s="6" t="s">
        <v>21</v>
      </c>
      <c r="C184" s="23"/>
      <c r="D184">
        <v>963</v>
      </c>
      <c r="E184">
        <v>1.736</v>
      </c>
      <c r="F184">
        <v>3.1789999999999998</v>
      </c>
      <c r="G184">
        <v>4.51</v>
      </c>
      <c r="H184">
        <f t="shared" si="15"/>
        <v>0.12739855300408928</v>
      </c>
      <c r="I184">
        <f t="shared" si="16"/>
        <v>840.31519345706204</v>
      </c>
      <c r="J184" s="11" t="e">
        <f t="shared" si="14"/>
        <v>#DIV/0!</v>
      </c>
    </row>
    <row r="185" spans="1:10" x14ac:dyDescent="0.2">
      <c r="A185" s="25"/>
      <c r="B185" s="8" t="s">
        <v>22</v>
      </c>
      <c r="C185" s="26"/>
      <c r="D185" s="7"/>
      <c r="E185" s="7">
        <v>1.7250000000000001</v>
      </c>
      <c r="F185" s="7">
        <v>3.5630000000000002</v>
      </c>
      <c r="G185" s="7">
        <v>4.782</v>
      </c>
      <c r="H185" s="7">
        <f t="shared" si="15"/>
        <v>0.14201515576761162</v>
      </c>
      <c r="I185" s="7">
        <f t="shared" si="16"/>
        <v>0</v>
      </c>
      <c r="J185" s="12" t="e">
        <f t="shared" si="14"/>
        <v>#DIV/0!</v>
      </c>
    </row>
    <row r="186" spans="1:10" x14ac:dyDescent="0.2">
      <c r="A186" s="19" t="s">
        <v>10</v>
      </c>
      <c r="B186" s="5" t="s">
        <v>20</v>
      </c>
      <c r="C186" s="22">
        <v>10</v>
      </c>
      <c r="D186" s="4"/>
      <c r="E186" s="4">
        <v>1.722</v>
      </c>
      <c r="F186" s="4">
        <v>3.3460000000000001</v>
      </c>
      <c r="G186" s="4">
        <v>4.63</v>
      </c>
      <c r="H186" s="4">
        <f t="shared" si="15"/>
        <v>0.13090257023311422</v>
      </c>
      <c r="I186" s="4">
        <f t="shared" si="16"/>
        <v>0</v>
      </c>
      <c r="J186" s="10">
        <f t="shared" si="14"/>
        <v>0</v>
      </c>
    </row>
    <row r="187" spans="1:10" x14ac:dyDescent="0.2">
      <c r="A187" s="20"/>
      <c r="B187" s="6" t="s">
        <v>21</v>
      </c>
      <c r="C187" s="23"/>
      <c r="D187">
        <v>954</v>
      </c>
      <c r="E187">
        <v>1.7310000000000001</v>
      </c>
      <c r="F187">
        <v>3.379</v>
      </c>
      <c r="G187">
        <v>4.7140000000000004</v>
      </c>
      <c r="H187">
        <f t="shared" si="15"/>
        <v>0.11719443622373467</v>
      </c>
      <c r="I187">
        <f t="shared" si="16"/>
        <v>842.19650784255714</v>
      </c>
      <c r="J187" s="11" t="e">
        <f t="shared" si="14"/>
        <v>#DIV/0!</v>
      </c>
    </row>
    <row r="188" spans="1:10" x14ac:dyDescent="0.2">
      <c r="A188" s="25"/>
      <c r="B188" s="8" t="s">
        <v>22</v>
      </c>
      <c r="C188" s="26"/>
      <c r="D188" s="7"/>
      <c r="E188" s="7">
        <v>1.7250000000000001</v>
      </c>
      <c r="F188" s="7">
        <v>3.3519999999999999</v>
      </c>
      <c r="G188" s="7">
        <v>4.6529999999999996</v>
      </c>
      <c r="H188" s="7">
        <f t="shared" si="15"/>
        <v>0.12649164677804309</v>
      </c>
      <c r="I188" s="7">
        <f t="shared" si="16"/>
        <v>0</v>
      </c>
      <c r="J188" s="12" t="e">
        <f t="shared" si="14"/>
        <v>#DIV/0!</v>
      </c>
    </row>
    <row r="189" spans="1:10" x14ac:dyDescent="0.2">
      <c r="A189" s="19" t="s">
        <v>11</v>
      </c>
      <c r="B189" s="5" t="s">
        <v>20</v>
      </c>
      <c r="C189" s="22">
        <v>10</v>
      </c>
      <c r="D189" s="4"/>
      <c r="E189" s="4">
        <v>1.7170000000000001</v>
      </c>
      <c r="F189" s="4">
        <v>3.3370000000000002</v>
      </c>
      <c r="G189" s="4">
        <v>4.6449999999999996</v>
      </c>
      <c r="H189" s="4">
        <f t="shared" si="15"/>
        <v>0.12256517830386594</v>
      </c>
      <c r="I189" s="4">
        <f t="shared" si="16"/>
        <v>0</v>
      </c>
      <c r="J189" s="10">
        <f t="shared" si="14"/>
        <v>0</v>
      </c>
    </row>
    <row r="190" spans="1:10" x14ac:dyDescent="0.2">
      <c r="A190" s="20"/>
      <c r="B190" s="6" t="s">
        <v>21</v>
      </c>
      <c r="C190" s="23"/>
      <c r="D190">
        <v>953</v>
      </c>
      <c r="E190">
        <v>1.7210000000000001</v>
      </c>
      <c r="F190">
        <v>3.3610000000000002</v>
      </c>
      <c r="G190">
        <v>4.9619999999999997</v>
      </c>
      <c r="H190">
        <f t="shared" si="15"/>
        <v>3.5703659625111739E-2</v>
      </c>
      <c r="I190">
        <f t="shared" si="16"/>
        <v>918.97441237726855</v>
      </c>
      <c r="J190" s="11" t="e">
        <f t="shared" si="14"/>
        <v>#DIV/0!</v>
      </c>
    </row>
    <row r="191" spans="1:10" x14ac:dyDescent="0.2">
      <c r="A191" s="25"/>
      <c r="B191" s="8" t="s">
        <v>22</v>
      </c>
      <c r="C191" s="26"/>
      <c r="D191" s="7"/>
      <c r="E191" s="7">
        <v>1.728</v>
      </c>
      <c r="F191" s="7">
        <v>3.278</v>
      </c>
      <c r="G191" s="7">
        <v>4.5960000000000001</v>
      </c>
      <c r="H191" s="7">
        <f t="shared" si="15"/>
        <v>0.12507626601586325</v>
      </c>
      <c r="I191" s="7">
        <f t="shared" si="16"/>
        <v>0</v>
      </c>
      <c r="J191" s="12" t="e">
        <f t="shared" si="14"/>
        <v>#DIV/0!</v>
      </c>
    </row>
    <row r="192" spans="1:10" x14ac:dyDescent="0.2">
      <c r="A192" s="19" t="s">
        <v>12</v>
      </c>
      <c r="B192" s="5" t="s">
        <v>20</v>
      </c>
      <c r="C192" s="22">
        <v>10</v>
      </c>
      <c r="D192" s="4"/>
      <c r="E192" s="4">
        <v>1.722</v>
      </c>
      <c r="F192" s="4">
        <v>2.1859999999999999</v>
      </c>
      <c r="G192" s="4">
        <v>4.4809999999999999</v>
      </c>
      <c r="H192" s="4">
        <f t="shared" si="15"/>
        <v>-0.26212259835315643</v>
      </c>
      <c r="I192" s="4">
        <f t="shared" si="16"/>
        <v>0</v>
      </c>
      <c r="J192" s="10">
        <f t="shared" si="14"/>
        <v>0</v>
      </c>
    </row>
    <row r="193" spans="1:10" x14ac:dyDescent="0.2">
      <c r="A193" s="20"/>
      <c r="B193" s="6" t="s">
        <v>21</v>
      </c>
      <c r="C193" s="23"/>
      <c r="D193">
        <v>471</v>
      </c>
      <c r="E193">
        <v>1.7270000000000001</v>
      </c>
      <c r="F193">
        <v>3.2080000000000002</v>
      </c>
      <c r="G193">
        <v>4.5739999999999998</v>
      </c>
      <c r="H193">
        <f t="shared" si="15"/>
        <v>0.11253117206982563</v>
      </c>
      <c r="I193">
        <f t="shared" si="16"/>
        <v>417.99781795511211</v>
      </c>
      <c r="J193" s="11" t="e">
        <f t="shared" si="14"/>
        <v>#DIV/0!</v>
      </c>
    </row>
    <row r="194" spans="1:10" x14ac:dyDescent="0.2">
      <c r="A194" s="25"/>
      <c r="B194" s="8" t="s">
        <v>22</v>
      </c>
      <c r="C194" s="26"/>
      <c r="D194" s="7"/>
      <c r="E194" s="7">
        <v>1.706</v>
      </c>
      <c r="F194" s="7">
        <v>3.109</v>
      </c>
      <c r="G194" s="7">
        <v>4.3920000000000003</v>
      </c>
      <c r="H194" s="7">
        <f t="shared" si="15"/>
        <v>0.13605660984239293</v>
      </c>
      <c r="I194" s="7">
        <f t="shared" si="16"/>
        <v>0</v>
      </c>
      <c r="J194" s="12" t="e">
        <f t="shared" si="14"/>
        <v>#DIV/0!</v>
      </c>
    </row>
    <row r="195" spans="1:10" x14ac:dyDescent="0.2">
      <c r="A195" s="19" t="s">
        <v>13</v>
      </c>
      <c r="B195" s="5" t="s">
        <v>20</v>
      </c>
      <c r="C195" s="22">
        <v>10</v>
      </c>
      <c r="D195" s="4"/>
      <c r="E195" s="4"/>
      <c r="F195" s="4"/>
      <c r="G195" s="4"/>
      <c r="H195" s="4" t="e">
        <f t="shared" si="15"/>
        <v>#DIV/0!</v>
      </c>
      <c r="I195" s="4" t="e">
        <f t="shared" si="16"/>
        <v>#DIV/0!</v>
      </c>
      <c r="J195" s="10" t="e">
        <f t="shared" si="14"/>
        <v>#DIV/0!</v>
      </c>
    </row>
    <row r="196" spans="1:10" x14ac:dyDescent="0.2">
      <c r="A196" s="20"/>
      <c r="B196" s="6" t="s">
        <v>21</v>
      </c>
      <c r="C196" s="23"/>
      <c r="H196" t="e">
        <f t="shared" si="15"/>
        <v>#DIV/0!</v>
      </c>
      <c r="I196" t="e">
        <f t="shared" si="16"/>
        <v>#DIV/0!</v>
      </c>
      <c r="J196" s="11" t="e">
        <f t="shared" si="14"/>
        <v>#DIV/0!</v>
      </c>
    </row>
    <row r="197" spans="1:10" x14ac:dyDescent="0.2">
      <c r="A197" s="25"/>
      <c r="B197" s="8" t="s">
        <v>22</v>
      </c>
      <c r="C197" s="26"/>
      <c r="D197" s="7"/>
      <c r="E197" s="7"/>
      <c r="F197" s="7"/>
      <c r="G197" s="7"/>
      <c r="H197" s="7" t="e">
        <f t="shared" si="15"/>
        <v>#DIV/0!</v>
      </c>
      <c r="I197" s="7" t="e">
        <f t="shared" si="16"/>
        <v>#DIV/0!</v>
      </c>
      <c r="J197" s="12" t="e">
        <f t="shared" si="14"/>
        <v>#DIV/0!</v>
      </c>
    </row>
    <row r="198" spans="1:10" x14ac:dyDescent="0.2">
      <c r="A198" s="19" t="s">
        <v>14</v>
      </c>
      <c r="B198" s="5" t="s">
        <v>20</v>
      </c>
      <c r="C198" s="22">
        <v>10</v>
      </c>
      <c r="D198" s="4"/>
      <c r="E198" s="4"/>
      <c r="F198" s="4"/>
      <c r="G198" s="4"/>
      <c r="H198" s="4" t="e">
        <f t="shared" si="15"/>
        <v>#DIV/0!</v>
      </c>
      <c r="I198" s="4" t="e">
        <f t="shared" si="16"/>
        <v>#DIV/0!</v>
      </c>
      <c r="J198" s="10" t="e">
        <f t="shared" si="14"/>
        <v>#DIV/0!</v>
      </c>
    </row>
    <row r="199" spans="1:10" x14ac:dyDescent="0.2">
      <c r="A199" s="20"/>
      <c r="B199" s="6" t="s">
        <v>21</v>
      </c>
      <c r="C199" s="23"/>
      <c r="H199" t="e">
        <f t="shared" si="15"/>
        <v>#DIV/0!</v>
      </c>
      <c r="I199" t="e">
        <f t="shared" si="16"/>
        <v>#DIV/0!</v>
      </c>
      <c r="J199" s="11" t="e">
        <f t="shared" si="14"/>
        <v>#DIV/0!</v>
      </c>
    </row>
    <row r="200" spans="1:10" ht="16" thickBot="1" x14ac:dyDescent="0.25">
      <c r="A200" s="21"/>
      <c r="B200" s="15" t="s">
        <v>22</v>
      </c>
      <c r="C200" s="24"/>
      <c r="D200" s="13"/>
      <c r="E200" s="13"/>
      <c r="F200" s="13"/>
      <c r="G200" s="13"/>
      <c r="H200" s="13" t="e">
        <f t="shared" si="15"/>
        <v>#DIV/0!</v>
      </c>
      <c r="I200" s="13" t="e">
        <f t="shared" si="16"/>
        <v>#DIV/0!</v>
      </c>
      <c r="J200" s="14" t="e">
        <f t="shared" si="14"/>
        <v>#DIV/0!</v>
      </c>
    </row>
    <row r="201" spans="1:10" ht="16" thickBot="1" x14ac:dyDescent="0.25">
      <c r="A201" s="44" t="s">
        <v>1</v>
      </c>
      <c r="B201" s="33"/>
      <c r="C201" s="33"/>
      <c r="D201" s="33" t="s">
        <v>35</v>
      </c>
      <c r="E201" s="34"/>
      <c r="F201" s="9" t="s">
        <v>0</v>
      </c>
      <c r="G201" s="18">
        <v>44180</v>
      </c>
      <c r="H201" s="35" t="s">
        <v>24</v>
      </c>
      <c r="I201" s="36"/>
      <c r="J201" s="1">
        <v>75</v>
      </c>
    </row>
    <row r="202" spans="1:10" ht="16" thickBot="1" x14ac:dyDescent="0.25">
      <c r="A202" s="37" t="s">
        <v>2</v>
      </c>
      <c r="B202" s="38"/>
      <c r="C202" s="38"/>
      <c r="D202" s="38"/>
      <c r="E202" s="39"/>
      <c r="F202" s="40"/>
      <c r="G202" s="41"/>
      <c r="H202" s="42" t="s">
        <v>25</v>
      </c>
      <c r="I202" s="43"/>
      <c r="J202" s="2">
        <v>32</v>
      </c>
    </row>
    <row r="203" spans="1:10" ht="16" thickBot="1" x14ac:dyDescent="0.25">
      <c r="A203" s="45" t="s">
        <v>27</v>
      </c>
      <c r="B203" s="27"/>
      <c r="C203" s="27"/>
      <c r="D203" s="27" t="s">
        <v>32</v>
      </c>
      <c r="E203" s="28"/>
      <c r="F203" s="16" t="s">
        <v>30</v>
      </c>
      <c r="G203" s="16">
        <v>3.81</v>
      </c>
      <c r="H203" s="29" t="s">
        <v>26</v>
      </c>
      <c r="I203" s="30"/>
      <c r="J203" s="3">
        <v>48</v>
      </c>
    </row>
    <row r="204" spans="1:10" x14ac:dyDescent="0.2">
      <c r="A204" s="31"/>
      <c r="B204" s="32"/>
      <c r="C204" s="16" t="s">
        <v>29</v>
      </c>
      <c r="D204" s="16" t="s">
        <v>19</v>
      </c>
      <c r="E204" s="16" t="s">
        <v>15</v>
      </c>
      <c r="F204" s="16" t="s">
        <v>18</v>
      </c>
      <c r="G204" s="16" t="s">
        <v>17</v>
      </c>
      <c r="H204" s="16" t="s">
        <v>28</v>
      </c>
      <c r="I204" s="16" t="s">
        <v>16</v>
      </c>
      <c r="J204" s="17" t="s">
        <v>23</v>
      </c>
    </row>
    <row r="205" spans="1:10" x14ac:dyDescent="0.2">
      <c r="A205" s="19" t="s">
        <v>3</v>
      </c>
      <c r="B205" s="5" t="s">
        <v>20</v>
      </c>
      <c r="C205" s="22">
        <v>10</v>
      </c>
      <c r="D205" s="4"/>
      <c r="E205" s="4">
        <v>1.73</v>
      </c>
      <c r="F205" s="4">
        <v>3.226</v>
      </c>
      <c r="G205" s="4">
        <v>4.0720000000000001</v>
      </c>
      <c r="H205" s="4">
        <f>(F205-(G205-E205))/F205</f>
        <v>0.27402355858648481</v>
      </c>
      <c r="I205" s="4">
        <f>D205-H205*D205</f>
        <v>0</v>
      </c>
      <c r="J205" s="10">
        <f t="shared" ref="J205:J240" si="17">I205/($G$3^2*C205*PI())</f>
        <v>0</v>
      </c>
    </row>
    <row r="206" spans="1:10" x14ac:dyDescent="0.2">
      <c r="A206" s="20"/>
      <c r="B206" s="6" t="s">
        <v>21</v>
      </c>
      <c r="C206" s="23"/>
      <c r="D206">
        <v>647</v>
      </c>
      <c r="E206">
        <v>1.732</v>
      </c>
      <c r="F206">
        <v>3.774</v>
      </c>
      <c r="G206">
        <v>4.5209999999999999</v>
      </c>
      <c r="H206">
        <f t="shared" ref="H206:H240" si="18">(F206-(G206-E206))/F206</f>
        <v>0.26099629040805522</v>
      </c>
      <c r="I206">
        <f t="shared" ref="I206:I240" si="19">D206-H206*D206</f>
        <v>478.13540010598831</v>
      </c>
      <c r="J206" s="11" t="e">
        <f t="shared" si="17"/>
        <v>#DIV/0!</v>
      </c>
    </row>
    <row r="207" spans="1:10" x14ac:dyDescent="0.2">
      <c r="A207" s="25"/>
      <c r="B207" s="8" t="s">
        <v>22</v>
      </c>
      <c r="C207" s="26"/>
      <c r="D207" s="7"/>
      <c r="E207" s="7">
        <v>1.722</v>
      </c>
      <c r="F207" s="7">
        <v>3.4980000000000002</v>
      </c>
      <c r="G207" s="7">
        <v>4.2480000000000002</v>
      </c>
      <c r="H207" s="7">
        <f t="shared" si="18"/>
        <v>0.27787307032590047</v>
      </c>
      <c r="I207" s="7">
        <f t="shared" si="19"/>
        <v>0</v>
      </c>
      <c r="J207" s="12" t="e">
        <f t="shared" si="17"/>
        <v>#DIV/0!</v>
      </c>
    </row>
    <row r="208" spans="1:10" x14ac:dyDescent="0.2">
      <c r="A208" s="19" t="s">
        <v>4</v>
      </c>
      <c r="B208" s="5" t="s">
        <v>20</v>
      </c>
      <c r="C208" s="23">
        <v>10</v>
      </c>
      <c r="E208">
        <v>1.722</v>
      </c>
      <c r="F208">
        <v>3.504</v>
      </c>
      <c r="G208">
        <v>4.4480000000000004</v>
      </c>
      <c r="H208" s="4">
        <f t="shared" si="18"/>
        <v>0.2220319634703195</v>
      </c>
      <c r="I208" s="4">
        <f t="shared" si="19"/>
        <v>0</v>
      </c>
      <c r="J208" s="10">
        <f t="shared" si="17"/>
        <v>0</v>
      </c>
    </row>
    <row r="209" spans="1:10" x14ac:dyDescent="0.2">
      <c r="A209" s="20"/>
      <c r="B209" s="6" t="s">
        <v>21</v>
      </c>
      <c r="C209" s="23"/>
      <c r="D209">
        <v>727</v>
      </c>
      <c r="E209">
        <v>1.7410000000000001</v>
      </c>
      <c r="F209">
        <v>3.0569999999999999</v>
      </c>
      <c r="G209">
        <v>4.1440000000000001</v>
      </c>
      <c r="H209">
        <f t="shared" si="18"/>
        <v>0.21393523061825317</v>
      </c>
      <c r="I209">
        <f t="shared" si="19"/>
        <v>571.46908734053</v>
      </c>
      <c r="J209" s="11" t="e">
        <f t="shared" si="17"/>
        <v>#DIV/0!</v>
      </c>
    </row>
    <row r="210" spans="1:10" x14ac:dyDescent="0.2">
      <c r="A210" s="25"/>
      <c r="B210" s="8" t="s">
        <v>22</v>
      </c>
      <c r="C210" s="26"/>
      <c r="D210" s="7"/>
      <c r="E210" s="7">
        <v>1.732</v>
      </c>
      <c r="F210" s="7">
        <v>3.3319999999999999</v>
      </c>
      <c r="G210" s="7">
        <v>4.3550000000000004</v>
      </c>
      <c r="H210" s="7">
        <f t="shared" si="18"/>
        <v>0.21278511404561815</v>
      </c>
      <c r="I210" s="7">
        <f t="shared" si="19"/>
        <v>0</v>
      </c>
      <c r="J210" s="12" t="e">
        <f t="shared" si="17"/>
        <v>#DIV/0!</v>
      </c>
    </row>
    <row r="211" spans="1:10" x14ac:dyDescent="0.2">
      <c r="A211" s="19" t="s">
        <v>5</v>
      </c>
      <c r="B211" s="5" t="s">
        <v>20</v>
      </c>
      <c r="C211" s="22">
        <v>10</v>
      </c>
      <c r="D211" s="4"/>
      <c r="E211" s="4">
        <v>1.7330000000000001</v>
      </c>
      <c r="F211" s="4">
        <v>3.3359999999999999</v>
      </c>
      <c r="G211" s="4">
        <v>4.319</v>
      </c>
      <c r="H211" s="4">
        <f t="shared" si="18"/>
        <v>0.2248201438848921</v>
      </c>
      <c r="I211" s="4">
        <f t="shared" si="19"/>
        <v>0</v>
      </c>
      <c r="J211" s="10">
        <f t="shared" si="17"/>
        <v>0</v>
      </c>
    </row>
    <row r="212" spans="1:10" x14ac:dyDescent="0.2">
      <c r="A212" s="20"/>
      <c r="B212" s="6" t="s">
        <v>21</v>
      </c>
      <c r="C212" s="23"/>
      <c r="D212">
        <v>678</v>
      </c>
      <c r="E212">
        <v>1.7290000000000001</v>
      </c>
      <c r="F212">
        <v>3.53</v>
      </c>
      <c r="G212">
        <v>4.4530000000000003</v>
      </c>
      <c r="H212">
        <f t="shared" si="18"/>
        <v>0.2283286118980169</v>
      </c>
      <c r="I212">
        <f t="shared" si="19"/>
        <v>523.19320113314461</v>
      </c>
      <c r="J212" s="11" t="e">
        <f t="shared" si="17"/>
        <v>#DIV/0!</v>
      </c>
    </row>
    <row r="213" spans="1:10" x14ac:dyDescent="0.2">
      <c r="A213" s="25"/>
      <c r="B213" s="8" t="s">
        <v>22</v>
      </c>
      <c r="C213" s="26"/>
      <c r="D213" s="7"/>
      <c r="E213" s="7">
        <v>1.728</v>
      </c>
      <c r="F213" s="7">
        <v>3.9340000000000002</v>
      </c>
      <c r="G213" s="7">
        <v>4.7549999999999999</v>
      </c>
      <c r="H213" s="7">
        <f t="shared" si="18"/>
        <v>0.23055414336553126</v>
      </c>
      <c r="I213" s="7">
        <f t="shared" si="19"/>
        <v>0</v>
      </c>
      <c r="J213" s="12" t="e">
        <f t="shared" si="17"/>
        <v>#DIV/0!</v>
      </c>
    </row>
    <row r="214" spans="1:10" x14ac:dyDescent="0.2">
      <c r="A214" s="19" t="s">
        <v>6</v>
      </c>
      <c r="B214" s="5" t="s">
        <v>20</v>
      </c>
      <c r="C214" s="22">
        <v>10</v>
      </c>
      <c r="D214" s="4"/>
      <c r="E214" s="4">
        <v>1.704</v>
      </c>
      <c r="F214" s="4">
        <v>3.1070000000000002</v>
      </c>
      <c r="G214" s="4">
        <v>4.2510000000000003</v>
      </c>
      <c r="H214" s="4">
        <f t="shared" si="18"/>
        <v>0.1802381718699709</v>
      </c>
      <c r="I214" s="4">
        <f t="shared" si="19"/>
        <v>0</v>
      </c>
      <c r="J214" s="10">
        <f t="shared" si="17"/>
        <v>0</v>
      </c>
    </row>
    <row r="215" spans="1:10" x14ac:dyDescent="0.2">
      <c r="A215" s="20"/>
      <c r="B215" s="6" t="s">
        <v>21</v>
      </c>
      <c r="C215" s="23"/>
      <c r="D215">
        <v>843</v>
      </c>
      <c r="E215">
        <v>1.718</v>
      </c>
      <c r="F215">
        <v>3.32</v>
      </c>
      <c r="G215">
        <v>4.4059999999999997</v>
      </c>
      <c r="H215">
        <f t="shared" si="18"/>
        <v>0.19036144578313258</v>
      </c>
      <c r="I215">
        <f t="shared" si="19"/>
        <v>682.52530120481924</v>
      </c>
      <c r="J215" s="11" t="e">
        <f t="shared" si="17"/>
        <v>#DIV/0!</v>
      </c>
    </row>
    <row r="216" spans="1:10" x14ac:dyDescent="0.2">
      <c r="A216" s="25"/>
      <c r="B216" s="8" t="s">
        <v>22</v>
      </c>
      <c r="C216" s="26"/>
      <c r="D216" s="7"/>
      <c r="E216" s="7">
        <v>1.7350000000000001</v>
      </c>
      <c r="F216" s="7">
        <v>3.9830000000000001</v>
      </c>
      <c r="G216" s="7">
        <v>5.0439999999999996</v>
      </c>
      <c r="H216" s="7">
        <f t="shared" si="18"/>
        <v>0.16921918152146642</v>
      </c>
      <c r="I216" s="7">
        <f t="shared" si="19"/>
        <v>0</v>
      </c>
      <c r="J216" s="12" t="e">
        <f t="shared" si="17"/>
        <v>#DIV/0!</v>
      </c>
    </row>
    <row r="217" spans="1:10" x14ac:dyDescent="0.2">
      <c r="A217" s="19" t="s">
        <v>7</v>
      </c>
      <c r="B217" s="5" t="s">
        <v>20</v>
      </c>
      <c r="C217" s="22">
        <v>10</v>
      </c>
      <c r="D217" s="4"/>
      <c r="E217" s="4">
        <v>1.736</v>
      </c>
      <c r="F217" s="4">
        <v>3.206</v>
      </c>
      <c r="G217" s="4">
        <v>4.3869999999999996</v>
      </c>
      <c r="H217" s="4">
        <f t="shared" si="18"/>
        <v>0.17311291328758582</v>
      </c>
      <c r="I217" s="4">
        <f t="shared" si="19"/>
        <v>0</v>
      </c>
      <c r="J217" s="10">
        <f t="shared" si="17"/>
        <v>0</v>
      </c>
    </row>
    <row r="218" spans="1:10" x14ac:dyDescent="0.2">
      <c r="A218" s="20"/>
      <c r="B218" s="6" t="s">
        <v>21</v>
      </c>
      <c r="C218" s="23"/>
      <c r="D218">
        <v>684</v>
      </c>
      <c r="E218">
        <v>1.72</v>
      </c>
      <c r="F218">
        <v>3.5539999999999998</v>
      </c>
      <c r="G218">
        <v>4.6660000000000004</v>
      </c>
      <c r="H218">
        <f t="shared" si="18"/>
        <v>0.17107484524479438</v>
      </c>
      <c r="I218">
        <f t="shared" si="19"/>
        <v>566.98480585256061</v>
      </c>
      <c r="J218" s="11" t="e">
        <f t="shared" si="17"/>
        <v>#DIV/0!</v>
      </c>
    </row>
    <row r="219" spans="1:10" x14ac:dyDescent="0.2">
      <c r="A219" s="25"/>
      <c r="B219" s="8" t="s">
        <v>22</v>
      </c>
      <c r="C219" s="26"/>
      <c r="D219" s="7"/>
      <c r="E219" s="7">
        <v>1.7250000000000001</v>
      </c>
      <c r="F219" s="7">
        <v>3.3660000000000001</v>
      </c>
      <c r="G219" s="7">
        <v>4.46</v>
      </c>
      <c r="H219" s="7">
        <f t="shared" si="18"/>
        <v>0.18746286393345224</v>
      </c>
      <c r="I219" s="7">
        <f t="shared" si="19"/>
        <v>0</v>
      </c>
      <c r="J219" s="12" t="e">
        <f t="shared" si="17"/>
        <v>#DIV/0!</v>
      </c>
    </row>
    <row r="220" spans="1:10" x14ac:dyDescent="0.2">
      <c r="A220" s="19" t="s">
        <v>8</v>
      </c>
      <c r="B220" s="5" t="s">
        <v>20</v>
      </c>
      <c r="C220" s="22">
        <v>10</v>
      </c>
      <c r="D220" s="4"/>
      <c r="E220" s="4">
        <v>1.734</v>
      </c>
      <c r="F220" s="4">
        <v>3.532</v>
      </c>
      <c r="G220" s="4">
        <v>4.6909999999999998</v>
      </c>
      <c r="H220" s="4">
        <f t="shared" si="18"/>
        <v>0.16279728199320503</v>
      </c>
      <c r="I220" s="4">
        <f t="shared" si="19"/>
        <v>0</v>
      </c>
      <c r="J220" s="10">
        <f t="shared" si="17"/>
        <v>0</v>
      </c>
    </row>
    <row r="221" spans="1:10" x14ac:dyDescent="0.2">
      <c r="A221" s="20"/>
      <c r="B221" s="6" t="s">
        <v>21</v>
      </c>
      <c r="C221" s="23"/>
      <c r="D221">
        <v>957</v>
      </c>
      <c r="E221">
        <v>1.7370000000000001</v>
      </c>
      <c r="F221">
        <v>3.113</v>
      </c>
      <c r="G221">
        <v>4.399</v>
      </c>
      <c r="H221">
        <f t="shared" si="18"/>
        <v>0.14487632508833925</v>
      </c>
      <c r="I221">
        <f t="shared" si="19"/>
        <v>818.35335689045928</v>
      </c>
      <c r="J221" s="11" t="e">
        <f t="shared" si="17"/>
        <v>#DIV/0!</v>
      </c>
    </row>
    <row r="222" spans="1:10" x14ac:dyDescent="0.2">
      <c r="A222" s="25"/>
      <c r="B222" s="8" t="s">
        <v>22</v>
      </c>
      <c r="C222" s="26"/>
      <c r="D222" s="7"/>
      <c r="E222" s="7">
        <v>1.7290000000000001</v>
      </c>
      <c r="F222" s="7">
        <v>3.1640000000000001</v>
      </c>
      <c r="G222" s="7">
        <v>4.3819999999999997</v>
      </c>
      <c r="H222" s="7">
        <f t="shared" si="18"/>
        <v>0.16150442477876123</v>
      </c>
      <c r="I222" s="7">
        <f t="shared" si="19"/>
        <v>0</v>
      </c>
      <c r="J222" s="12" t="e">
        <f t="shared" si="17"/>
        <v>#DIV/0!</v>
      </c>
    </row>
    <row r="223" spans="1:10" x14ac:dyDescent="0.2">
      <c r="A223" s="19" t="s">
        <v>9</v>
      </c>
      <c r="B223" s="5" t="s">
        <v>20</v>
      </c>
      <c r="C223" s="22">
        <v>10</v>
      </c>
      <c r="D223" s="4"/>
      <c r="E223" s="4">
        <v>1.7190000000000001</v>
      </c>
      <c r="F223" s="4">
        <v>3.9319999999999999</v>
      </c>
      <c r="G223" s="4">
        <v>5.2279999999999998</v>
      </c>
      <c r="H223" s="4">
        <f t="shared" si="18"/>
        <v>0.10757884028484245</v>
      </c>
      <c r="I223" s="4">
        <f t="shared" si="19"/>
        <v>0</v>
      </c>
      <c r="J223" s="10">
        <f t="shared" si="17"/>
        <v>0</v>
      </c>
    </row>
    <row r="224" spans="1:10" x14ac:dyDescent="0.2">
      <c r="A224" s="20"/>
      <c r="B224" s="6" t="s">
        <v>21</v>
      </c>
      <c r="C224" s="23"/>
      <c r="D224">
        <v>873</v>
      </c>
      <c r="E224">
        <v>1.7270000000000001</v>
      </c>
      <c r="F224">
        <v>3.444</v>
      </c>
      <c r="G224">
        <v>4.7290000000000001</v>
      </c>
      <c r="H224">
        <f t="shared" si="18"/>
        <v>0.12833914053426254</v>
      </c>
      <c r="I224">
        <f t="shared" si="19"/>
        <v>760.95993031358876</v>
      </c>
      <c r="J224" s="11" t="e">
        <f t="shared" si="17"/>
        <v>#DIV/0!</v>
      </c>
    </row>
    <row r="225" spans="1:10" x14ac:dyDescent="0.2">
      <c r="A225" s="25"/>
      <c r="B225" s="8" t="s">
        <v>22</v>
      </c>
      <c r="C225" s="26"/>
      <c r="D225" s="7"/>
      <c r="E225" s="7">
        <v>1.7330000000000001</v>
      </c>
      <c r="F225" s="7">
        <v>3.5649999999999999</v>
      </c>
      <c r="G225" s="7">
        <v>4.9930000000000003</v>
      </c>
      <c r="H225" s="7">
        <f t="shared" si="18"/>
        <v>8.555399719495084E-2</v>
      </c>
      <c r="I225" s="7">
        <f t="shared" si="19"/>
        <v>0</v>
      </c>
      <c r="J225" s="12" t="e">
        <f t="shared" si="17"/>
        <v>#DIV/0!</v>
      </c>
    </row>
    <row r="226" spans="1:10" x14ac:dyDescent="0.2">
      <c r="A226" s="19" t="s">
        <v>10</v>
      </c>
      <c r="B226" s="5" t="s">
        <v>20</v>
      </c>
      <c r="C226" s="22">
        <v>5</v>
      </c>
      <c r="D226" s="4"/>
      <c r="E226" s="4">
        <v>1.742</v>
      </c>
      <c r="F226" s="4">
        <v>3.7509999999999999</v>
      </c>
      <c r="G226" s="4">
        <v>5.0519999999999996</v>
      </c>
      <c r="H226" s="4">
        <f t="shared" si="18"/>
        <v>0.11756864836043729</v>
      </c>
      <c r="I226" s="4">
        <f t="shared" si="19"/>
        <v>0</v>
      </c>
      <c r="J226" s="10">
        <f t="shared" si="17"/>
        <v>0</v>
      </c>
    </row>
    <row r="227" spans="1:10" x14ac:dyDescent="0.2">
      <c r="A227" s="20"/>
      <c r="B227" s="6" t="s">
        <v>21</v>
      </c>
      <c r="C227" s="23"/>
      <c r="D227">
        <v>504</v>
      </c>
      <c r="E227">
        <v>1.7410000000000001</v>
      </c>
      <c r="F227">
        <v>3.27</v>
      </c>
      <c r="G227">
        <v>4.6280000000000001</v>
      </c>
      <c r="H227">
        <f t="shared" si="18"/>
        <v>0.11712538226299694</v>
      </c>
      <c r="I227">
        <f t="shared" si="19"/>
        <v>444.96880733944954</v>
      </c>
      <c r="J227" s="11" t="e">
        <f t="shared" si="17"/>
        <v>#DIV/0!</v>
      </c>
    </row>
    <row r="228" spans="1:10" x14ac:dyDescent="0.2">
      <c r="A228" s="25"/>
      <c r="B228" s="8" t="s">
        <v>22</v>
      </c>
      <c r="C228" s="26"/>
      <c r="D228" s="7"/>
      <c r="E228" s="7">
        <v>1.736</v>
      </c>
      <c r="F228" s="7">
        <v>3.1</v>
      </c>
      <c r="G228" s="7">
        <v>4.4480000000000004</v>
      </c>
      <c r="H228" s="7">
        <f t="shared" si="18"/>
        <v>0.12516129032258047</v>
      </c>
      <c r="I228" s="7">
        <f t="shared" si="19"/>
        <v>0</v>
      </c>
      <c r="J228" s="12" t="e">
        <f t="shared" si="17"/>
        <v>#DIV/0!</v>
      </c>
    </row>
    <row r="229" spans="1:10" x14ac:dyDescent="0.2">
      <c r="A229" s="19" t="s">
        <v>11</v>
      </c>
      <c r="B229" s="5" t="s">
        <v>20</v>
      </c>
      <c r="C229" s="22">
        <v>10</v>
      </c>
      <c r="D229" s="4"/>
      <c r="E229" s="4"/>
      <c r="F229" s="4"/>
      <c r="G229" s="4"/>
      <c r="H229" s="4" t="e">
        <f t="shared" si="18"/>
        <v>#DIV/0!</v>
      </c>
      <c r="I229" s="4" t="e">
        <f t="shared" si="19"/>
        <v>#DIV/0!</v>
      </c>
      <c r="J229" s="10" t="e">
        <f t="shared" si="17"/>
        <v>#DIV/0!</v>
      </c>
    </row>
    <row r="230" spans="1:10" x14ac:dyDescent="0.2">
      <c r="A230" s="20"/>
      <c r="B230" s="6" t="s">
        <v>21</v>
      </c>
      <c r="C230" s="23"/>
      <c r="H230" t="e">
        <f t="shared" si="18"/>
        <v>#DIV/0!</v>
      </c>
      <c r="I230" t="e">
        <f t="shared" si="19"/>
        <v>#DIV/0!</v>
      </c>
      <c r="J230" s="11" t="e">
        <f t="shared" si="17"/>
        <v>#DIV/0!</v>
      </c>
    </row>
    <row r="231" spans="1:10" x14ac:dyDescent="0.2">
      <c r="A231" s="25"/>
      <c r="B231" s="8" t="s">
        <v>22</v>
      </c>
      <c r="C231" s="26"/>
      <c r="D231" s="7"/>
      <c r="E231" s="7"/>
      <c r="F231" s="7"/>
      <c r="G231" s="7"/>
      <c r="H231" s="7" t="e">
        <f t="shared" si="18"/>
        <v>#DIV/0!</v>
      </c>
      <c r="I231" s="7" t="e">
        <f t="shared" si="19"/>
        <v>#DIV/0!</v>
      </c>
      <c r="J231" s="12" t="e">
        <f t="shared" si="17"/>
        <v>#DIV/0!</v>
      </c>
    </row>
    <row r="232" spans="1:10" x14ac:dyDescent="0.2">
      <c r="A232" s="19" t="s">
        <v>12</v>
      </c>
      <c r="B232" s="5" t="s">
        <v>20</v>
      </c>
      <c r="C232" s="22">
        <v>10</v>
      </c>
      <c r="D232" s="4"/>
      <c r="E232" s="4"/>
      <c r="F232" s="4"/>
      <c r="G232" s="4"/>
      <c r="H232" s="4" t="e">
        <f t="shared" si="18"/>
        <v>#DIV/0!</v>
      </c>
      <c r="I232" s="4" t="e">
        <f t="shared" si="19"/>
        <v>#DIV/0!</v>
      </c>
      <c r="J232" s="10" t="e">
        <f t="shared" si="17"/>
        <v>#DIV/0!</v>
      </c>
    </row>
    <row r="233" spans="1:10" x14ac:dyDescent="0.2">
      <c r="A233" s="20"/>
      <c r="B233" s="6" t="s">
        <v>21</v>
      </c>
      <c r="C233" s="23"/>
      <c r="H233" t="e">
        <f t="shared" si="18"/>
        <v>#DIV/0!</v>
      </c>
      <c r="I233" t="e">
        <f t="shared" si="19"/>
        <v>#DIV/0!</v>
      </c>
      <c r="J233" s="11" t="e">
        <f t="shared" si="17"/>
        <v>#DIV/0!</v>
      </c>
    </row>
    <row r="234" spans="1:10" x14ac:dyDescent="0.2">
      <c r="A234" s="25"/>
      <c r="B234" s="8" t="s">
        <v>22</v>
      </c>
      <c r="C234" s="26"/>
      <c r="D234" s="7"/>
      <c r="E234" s="7"/>
      <c r="F234" s="7"/>
      <c r="G234" s="7"/>
      <c r="H234" s="7" t="e">
        <f t="shared" si="18"/>
        <v>#DIV/0!</v>
      </c>
      <c r="I234" s="7" t="e">
        <f t="shared" si="19"/>
        <v>#DIV/0!</v>
      </c>
      <c r="J234" s="12" t="e">
        <f t="shared" si="17"/>
        <v>#DIV/0!</v>
      </c>
    </row>
    <row r="235" spans="1:10" x14ac:dyDescent="0.2">
      <c r="A235" s="19" t="s">
        <v>13</v>
      </c>
      <c r="B235" s="5" t="s">
        <v>20</v>
      </c>
      <c r="C235" s="22">
        <v>10</v>
      </c>
      <c r="D235" s="4"/>
      <c r="E235" s="4"/>
      <c r="F235" s="4"/>
      <c r="G235" s="4"/>
      <c r="H235" s="4" t="e">
        <f t="shared" si="18"/>
        <v>#DIV/0!</v>
      </c>
      <c r="I235" s="4" t="e">
        <f t="shared" si="19"/>
        <v>#DIV/0!</v>
      </c>
      <c r="J235" s="10" t="e">
        <f t="shared" si="17"/>
        <v>#DIV/0!</v>
      </c>
    </row>
    <row r="236" spans="1:10" x14ac:dyDescent="0.2">
      <c r="A236" s="20"/>
      <c r="B236" s="6" t="s">
        <v>21</v>
      </c>
      <c r="C236" s="23"/>
      <c r="H236" t="e">
        <f t="shared" si="18"/>
        <v>#DIV/0!</v>
      </c>
      <c r="I236" t="e">
        <f t="shared" si="19"/>
        <v>#DIV/0!</v>
      </c>
      <c r="J236" s="11" t="e">
        <f t="shared" si="17"/>
        <v>#DIV/0!</v>
      </c>
    </row>
    <row r="237" spans="1:10" x14ac:dyDescent="0.2">
      <c r="A237" s="25"/>
      <c r="B237" s="8" t="s">
        <v>22</v>
      </c>
      <c r="C237" s="26"/>
      <c r="D237" s="7"/>
      <c r="E237" s="7"/>
      <c r="F237" s="7"/>
      <c r="G237" s="7"/>
      <c r="H237" s="7" t="e">
        <f t="shared" si="18"/>
        <v>#DIV/0!</v>
      </c>
      <c r="I237" s="7" t="e">
        <f t="shared" si="19"/>
        <v>#DIV/0!</v>
      </c>
      <c r="J237" s="12" t="e">
        <f t="shared" si="17"/>
        <v>#DIV/0!</v>
      </c>
    </row>
    <row r="238" spans="1:10" x14ac:dyDescent="0.2">
      <c r="A238" s="19" t="s">
        <v>14</v>
      </c>
      <c r="B238" s="5" t="s">
        <v>20</v>
      </c>
      <c r="C238" s="22">
        <v>10</v>
      </c>
      <c r="D238" s="4"/>
      <c r="E238" s="4"/>
      <c r="F238" s="4"/>
      <c r="G238" s="4"/>
      <c r="H238" s="4" t="e">
        <f t="shared" si="18"/>
        <v>#DIV/0!</v>
      </c>
      <c r="I238" s="4" t="e">
        <f t="shared" si="19"/>
        <v>#DIV/0!</v>
      </c>
      <c r="J238" s="10" t="e">
        <f t="shared" si="17"/>
        <v>#DIV/0!</v>
      </c>
    </row>
    <row r="239" spans="1:10" x14ac:dyDescent="0.2">
      <c r="A239" s="20"/>
      <c r="B239" s="6" t="s">
        <v>21</v>
      </c>
      <c r="C239" s="23"/>
      <c r="H239" t="e">
        <f t="shared" si="18"/>
        <v>#DIV/0!</v>
      </c>
      <c r="I239" t="e">
        <f t="shared" si="19"/>
        <v>#DIV/0!</v>
      </c>
      <c r="J239" s="11" t="e">
        <f t="shared" si="17"/>
        <v>#DIV/0!</v>
      </c>
    </row>
    <row r="240" spans="1:10" ht="16" thickBot="1" x14ac:dyDescent="0.25">
      <c r="A240" s="21"/>
      <c r="B240" s="15" t="s">
        <v>22</v>
      </c>
      <c r="C240" s="24"/>
      <c r="D240" s="13"/>
      <c r="E240" s="13"/>
      <c r="F240" s="13"/>
      <c r="G240" s="13"/>
      <c r="H240" s="13" t="e">
        <f t="shared" si="18"/>
        <v>#DIV/0!</v>
      </c>
      <c r="I240" s="13" t="e">
        <f t="shared" si="19"/>
        <v>#DIV/0!</v>
      </c>
      <c r="J240" s="14" t="e">
        <f t="shared" si="17"/>
        <v>#DIV/0!</v>
      </c>
    </row>
    <row r="241" spans="1:10" ht="16" thickBot="1" x14ac:dyDescent="0.25">
      <c r="A241" s="44" t="s">
        <v>1</v>
      </c>
      <c r="B241" s="33"/>
      <c r="C241" s="33"/>
      <c r="D241" s="33" t="s">
        <v>37</v>
      </c>
      <c r="E241" s="34"/>
      <c r="F241" s="9" t="s">
        <v>0</v>
      </c>
      <c r="G241" s="18">
        <v>44180</v>
      </c>
      <c r="H241" s="35" t="s">
        <v>24</v>
      </c>
      <c r="I241" s="36"/>
      <c r="J241" s="1">
        <v>120</v>
      </c>
    </row>
    <row r="242" spans="1:10" ht="16" thickBot="1" x14ac:dyDescent="0.25">
      <c r="A242" s="37" t="s">
        <v>2</v>
      </c>
      <c r="B242" s="38"/>
      <c r="C242" s="38"/>
      <c r="D242" s="38"/>
      <c r="E242" s="39"/>
      <c r="F242" s="40"/>
      <c r="G242" s="41"/>
      <c r="H242" s="42" t="s">
        <v>25</v>
      </c>
      <c r="I242" s="43"/>
      <c r="J242" s="2">
        <v>10</v>
      </c>
    </row>
    <row r="243" spans="1:10" ht="16" thickBot="1" x14ac:dyDescent="0.25">
      <c r="A243" s="45" t="s">
        <v>27</v>
      </c>
      <c r="B243" s="27"/>
      <c r="C243" s="27"/>
      <c r="D243" s="27" t="s">
        <v>33</v>
      </c>
      <c r="E243" s="28"/>
      <c r="F243" s="16" t="s">
        <v>30</v>
      </c>
      <c r="G243" s="16">
        <v>3.81</v>
      </c>
      <c r="H243" s="29" t="s">
        <v>26</v>
      </c>
      <c r="I243" s="30"/>
      <c r="J243" s="3">
        <v>30</v>
      </c>
    </row>
    <row r="244" spans="1:10" x14ac:dyDescent="0.2">
      <c r="A244" s="31"/>
      <c r="B244" s="32"/>
      <c r="C244" s="16" t="s">
        <v>29</v>
      </c>
      <c r="D244" s="16" t="s">
        <v>19</v>
      </c>
      <c r="E244" s="16" t="s">
        <v>15</v>
      </c>
      <c r="F244" s="16" t="s">
        <v>18</v>
      </c>
      <c r="G244" s="16" t="s">
        <v>17</v>
      </c>
      <c r="H244" s="16" t="s">
        <v>28</v>
      </c>
      <c r="I244" s="16" t="s">
        <v>16</v>
      </c>
      <c r="J244" s="17" t="s">
        <v>23</v>
      </c>
    </row>
    <row r="245" spans="1:10" x14ac:dyDescent="0.2">
      <c r="A245" s="19" t="s">
        <v>3</v>
      </c>
      <c r="B245" s="5" t="s">
        <v>20</v>
      </c>
      <c r="C245" s="22">
        <v>10</v>
      </c>
      <c r="D245" s="4"/>
      <c r="E245" s="4">
        <v>2.4359999999999999</v>
      </c>
      <c r="F245" s="4">
        <v>3.6080000000000001</v>
      </c>
      <c r="G245" s="4">
        <v>4.968</v>
      </c>
      <c r="H245" s="4">
        <f>(F245-(G245-E245))/F245</f>
        <v>0.29822616407982261</v>
      </c>
      <c r="I245" s="4">
        <f>D245-H245*D245</f>
        <v>0</v>
      </c>
      <c r="J245" s="10">
        <f t="shared" ref="J245:J280" si="20">I245/($G$3^2*C245*PI())</f>
        <v>0</v>
      </c>
    </row>
    <row r="246" spans="1:10" x14ac:dyDescent="0.2">
      <c r="A246" s="20"/>
      <c r="B246" s="6" t="s">
        <v>21</v>
      </c>
      <c r="C246" s="23"/>
      <c r="D246">
        <v>557</v>
      </c>
      <c r="E246">
        <v>2.444</v>
      </c>
      <c r="F246">
        <v>3.714</v>
      </c>
      <c r="G246">
        <v>5.0519999999999996</v>
      </c>
      <c r="H246">
        <f t="shared" ref="H246:H280" si="21">(F246-(G246-E246))/F246</f>
        <v>0.29779213785675829</v>
      </c>
      <c r="I246">
        <f t="shared" ref="I246:I280" si="22">D246-H246*D246</f>
        <v>391.12977921378564</v>
      </c>
      <c r="J246" s="11" t="e">
        <f t="shared" si="20"/>
        <v>#DIV/0!</v>
      </c>
    </row>
    <row r="247" spans="1:10" x14ac:dyDescent="0.2">
      <c r="A247" s="25"/>
      <c r="B247" s="8" t="s">
        <v>22</v>
      </c>
      <c r="C247" s="26"/>
      <c r="D247" s="7"/>
      <c r="E247" s="7">
        <v>2.4540000000000002</v>
      </c>
      <c r="F247" s="7">
        <v>3.2349999999999999</v>
      </c>
      <c r="G247" s="7">
        <v>4.7279999999999998</v>
      </c>
      <c r="H247" s="7">
        <f t="shared" si="21"/>
        <v>0.29706336939721806</v>
      </c>
      <c r="I247" s="7">
        <f t="shared" si="22"/>
        <v>0</v>
      </c>
      <c r="J247" s="12" t="e">
        <f t="shared" si="20"/>
        <v>#DIV/0!</v>
      </c>
    </row>
    <row r="248" spans="1:10" x14ac:dyDescent="0.2">
      <c r="A248" s="19" t="s">
        <v>4</v>
      </c>
      <c r="B248" s="5" t="s">
        <v>20</v>
      </c>
      <c r="C248" s="23">
        <v>10</v>
      </c>
      <c r="E248">
        <v>2.4180000000000001</v>
      </c>
      <c r="F248">
        <v>3.0779999999999998</v>
      </c>
      <c r="G248">
        <v>4.6660000000000004</v>
      </c>
      <c r="H248" s="4">
        <f t="shared" si="21"/>
        <v>0.26965562053281339</v>
      </c>
      <c r="I248" s="4">
        <f t="shared" si="22"/>
        <v>0</v>
      </c>
      <c r="J248" s="10">
        <f t="shared" si="20"/>
        <v>0</v>
      </c>
    </row>
    <row r="249" spans="1:10" x14ac:dyDescent="0.2">
      <c r="A249" s="20"/>
      <c r="B249" s="6" t="s">
        <v>21</v>
      </c>
      <c r="C249" s="23"/>
      <c r="D249">
        <v>694</v>
      </c>
      <c r="E249">
        <v>2.4359999999999999</v>
      </c>
      <c r="F249">
        <v>3.8559999999999999</v>
      </c>
      <c r="G249">
        <v>5.3360000000000003</v>
      </c>
      <c r="H249">
        <f t="shared" si="21"/>
        <v>0.2479253112033194</v>
      </c>
      <c r="I249">
        <f t="shared" si="22"/>
        <v>521.9398340248963</v>
      </c>
      <c r="J249" s="11" t="e">
        <f t="shared" si="20"/>
        <v>#DIV/0!</v>
      </c>
    </row>
    <row r="250" spans="1:10" x14ac:dyDescent="0.2">
      <c r="A250" s="25"/>
      <c r="B250" s="8" t="s">
        <v>22</v>
      </c>
      <c r="C250" s="26"/>
      <c r="D250" s="7"/>
      <c r="E250" s="7">
        <v>2.4420000000000002</v>
      </c>
      <c r="F250" s="7">
        <v>3.6890000000000001</v>
      </c>
      <c r="G250" s="7">
        <v>5.1820000000000004</v>
      </c>
      <c r="H250" s="7">
        <f t="shared" si="21"/>
        <v>0.25725128761181887</v>
      </c>
      <c r="I250" s="7">
        <f t="shared" si="22"/>
        <v>0</v>
      </c>
      <c r="J250" s="12" t="e">
        <f t="shared" si="20"/>
        <v>#DIV/0!</v>
      </c>
    </row>
    <row r="251" spans="1:10" x14ac:dyDescent="0.2">
      <c r="A251" s="19" t="s">
        <v>5</v>
      </c>
      <c r="B251" s="5" t="s">
        <v>20</v>
      </c>
      <c r="C251" s="22">
        <v>10</v>
      </c>
      <c r="D251" s="4"/>
      <c r="E251" s="4">
        <v>2.44</v>
      </c>
      <c r="F251" s="4">
        <v>3.2930000000000001</v>
      </c>
      <c r="G251" s="4">
        <v>4.9160000000000004</v>
      </c>
      <c r="H251" s="4">
        <f t="shared" si="21"/>
        <v>0.24810203461888847</v>
      </c>
      <c r="I251" s="4">
        <f t="shared" si="22"/>
        <v>0</v>
      </c>
      <c r="J251" s="10">
        <f t="shared" si="20"/>
        <v>0</v>
      </c>
    </row>
    <row r="252" spans="1:10" x14ac:dyDescent="0.2">
      <c r="A252" s="20"/>
      <c r="B252" s="6" t="s">
        <v>21</v>
      </c>
      <c r="C252" s="23"/>
      <c r="D252">
        <v>654</v>
      </c>
      <c r="E252">
        <v>2.4609999999999999</v>
      </c>
      <c r="F252">
        <v>3.407</v>
      </c>
      <c r="G252">
        <v>5.0190000000000001</v>
      </c>
      <c r="H252">
        <f t="shared" si="21"/>
        <v>0.2491928382741414</v>
      </c>
      <c r="I252">
        <f t="shared" si="22"/>
        <v>491.02788376871149</v>
      </c>
      <c r="J252" s="11" t="e">
        <f t="shared" si="20"/>
        <v>#DIV/0!</v>
      </c>
    </row>
    <row r="253" spans="1:10" x14ac:dyDescent="0.2">
      <c r="A253" s="25"/>
      <c r="B253" s="8" t="s">
        <v>22</v>
      </c>
      <c r="C253" s="26"/>
      <c r="D253" s="7"/>
      <c r="E253" s="7">
        <v>2.4129999999999998</v>
      </c>
      <c r="F253" s="7">
        <v>3.86</v>
      </c>
      <c r="G253" s="7">
        <v>5.3330000000000002</v>
      </c>
      <c r="H253" s="7">
        <f t="shared" si="21"/>
        <v>0.24352331606217603</v>
      </c>
      <c r="I253" s="7">
        <f t="shared" si="22"/>
        <v>0</v>
      </c>
      <c r="J253" s="12" t="e">
        <f t="shared" si="20"/>
        <v>#DIV/0!</v>
      </c>
    </row>
    <row r="254" spans="1:10" x14ac:dyDescent="0.2">
      <c r="A254" s="19" t="s">
        <v>6</v>
      </c>
      <c r="B254" s="5" t="s">
        <v>20</v>
      </c>
      <c r="C254" s="22">
        <v>10</v>
      </c>
      <c r="D254" s="4"/>
      <c r="E254" s="4">
        <v>2.4620000000000002</v>
      </c>
      <c r="F254" s="4">
        <v>3.6360000000000001</v>
      </c>
      <c r="G254" s="4">
        <v>5.2210000000000001</v>
      </c>
      <c r="H254" s="4">
        <f t="shared" si="21"/>
        <v>0.24119911991199125</v>
      </c>
      <c r="I254" s="4">
        <f t="shared" si="22"/>
        <v>0</v>
      </c>
      <c r="J254" s="10">
        <f t="shared" si="20"/>
        <v>0</v>
      </c>
    </row>
    <row r="255" spans="1:10" x14ac:dyDescent="0.2">
      <c r="A255" s="20"/>
      <c r="B255" s="6" t="s">
        <v>21</v>
      </c>
      <c r="C255" s="23"/>
      <c r="D255">
        <v>821</v>
      </c>
      <c r="E255">
        <v>2.4510000000000001</v>
      </c>
      <c r="F255">
        <v>3.306</v>
      </c>
      <c r="G255">
        <v>5.0380000000000003</v>
      </c>
      <c r="H255">
        <f t="shared" si="21"/>
        <v>0.21748336358136716</v>
      </c>
      <c r="I255">
        <f t="shared" si="22"/>
        <v>642.4461584996975</v>
      </c>
      <c r="J255" s="11" t="e">
        <f t="shared" si="20"/>
        <v>#DIV/0!</v>
      </c>
    </row>
    <row r="256" spans="1:10" x14ac:dyDescent="0.2">
      <c r="A256" s="25"/>
      <c r="B256" s="8" t="s">
        <v>22</v>
      </c>
      <c r="C256" s="26"/>
      <c r="D256" s="7"/>
      <c r="E256" s="7">
        <v>2.44</v>
      </c>
      <c r="F256" s="7">
        <v>3.73</v>
      </c>
      <c r="G256" s="7">
        <v>5.3730000000000002</v>
      </c>
      <c r="H256" s="7">
        <f t="shared" si="21"/>
        <v>0.21367292225201065</v>
      </c>
      <c r="I256" s="7">
        <f t="shared" si="22"/>
        <v>0</v>
      </c>
      <c r="J256" s="12" t="e">
        <f t="shared" si="20"/>
        <v>#DIV/0!</v>
      </c>
    </row>
    <row r="257" spans="1:10" x14ac:dyDescent="0.2">
      <c r="A257" s="19" t="s">
        <v>7</v>
      </c>
      <c r="B257" s="5" t="s">
        <v>20</v>
      </c>
      <c r="C257" s="22">
        <v>10</v>
      </c>
      <c r="D257" s="4"/>
      <c r="E257" s="4">
        <v>2.4180000000000001</v>
      </c>
      <c r="F257" s="4">
        <v>3.7309999999999999</v>
      </c>
      <c r="G257" s="4">
        <v>5.2770000000000001</v>
      </c>
      <c r="H257" s="4">
        <f t="shared" si="21"/>
        <v>0.2337175020101849</v>
      </c>
      <c r="I257" s="4">
        <f t="shared" si="22"/>
        <v>0</v>
      </c>
      <c r="J257" s="10">
        <f t="shared" si="20"/>
        <v>0</v>
      </c>
    </row>
    <row r="258" spans="1:10" x14ac:dyDescent="0.2">
      <c r="A258" s="20"/>
      <c r="B258" s="6" t="s">
        <v>21</v>
      </c>
      <c r="C258" s="23"/>
      <c r="D258">
        <v>751</v>
      </c>
      <c r="E258">
        <v>2.44</v>
      </c>
      <c r="F258">
        <v>3.5939999999999999</v>
      </c>
      <c r="G258">
        <v>5.1879999999999997</v>
      </c>
      <c r="H258">
        <f t="shared" si="21"/>
        <v>0.23539232053422374</v>
      </c>
      <c r="I258">
        <f t="shared" si="22"/>
        <v>574.22036727879799</v>
      </c>
      <c r="J258" s="11" t="e">
        <f t="shared" si="20"/>
        <v>#DIV/0!</v>
      </c>
    </row>
    <row r="259" spans="1:10" x14ac:dyDescent="0.2">
      <c r="A259" s="25"/>
      <c r="B259" s="8" t="s">
        <v>22</v>
      </c>
      <c r="C259" s="26"/>
      <c r="D259" s="7"/>
      <c r="E259" s="7">
        <v>2.4470000000000001</v>
      </c>
      <c r="F259" s="7">
        <v>3.4660000000000002</v>
      </c>
      <c r="G259" s="7">
        <v>5.1459999999999999</v>
      </c>
      <c r="H259" s="7">
        <f t="shared" si="21"/>
        <v>0.22129255626081948</v>
      </c>
      <c r="I259" s="7">
        <f t="shared" si="22"/>
        <v>0</v>
      </c>
      <c r="J259" s="12" t="e">
        <f t="shared" si="20"/>
        <v>#DIV/0!</v>
      </c>
    </row>
    <row r="260" spans="1:10" x14ac:dyDescent="0.2">
      <c r="A260" s="19" t="s">
        <v>8</v>
      </c>
      <c r="B260" s="5" t="s">
        <v>20</v>
      </c>
      <c r="C260" s="22">
        <v>10</v>
      </c>
      <c r="D260" s="4"/>
      <c r="E260" s="4">
        <v>2.4649999999999999</v>
      </c>
      <c r="F260" s="4">
        <v>3.94</v>
      </c>
      <c r="G260" s="4">
        <v>5.5</v>
      </c>
      <c r="H260" s="4">
        <f t="shared" si="21"/>
        <v>0.22969543147208119</v>
      </c>
      <c r="I260" s="4">
        <f t="shared" si="22"/>
        <v>0</v>
      </c>
      <c r="J260" s="10">
        <f t="shared" si="20"/>
        <v>0</v>
      </c>
    </row>
    <row r="261" spans="1:10" x14ac:dyDescent="0.2">
      <c r="A261" s="20"/>
      <c r="B261" s="6" t="s">
        <v>21</v>
      </c>
      <c r="C261" s="23"/>
      <c r="D261">
        <v>720</v>
      </c>
      <c r="E261">
        <v>2.4670000000000001</v>
      </c>
      <c r="F261">
        <v>3.2879999999999998</v>
      </c>
      <c r="G261">
        <v>4.968</v>
      </c>
      <c r="H261">
        <f t="shared" si="21"/>
        <v>0.23935523114355231</v>
      </c>
      <c r="I261">
        <f t="shared" si="22"/>
        <v>547.66423357664235</v>
      </c>
      <c r="J261" s="11" t="e">
        <f t="shared" si="20"/>
        <v>#DIV/0!</v>
      </c>
    </row>
    <row r="262" spans="1:10" x14ac:dyDescent="0.2">
      <c r="A262" s="25"/>
      <c r="B262" s="8" t="s">
        <v>22</v>
      </c>
      <c r="C262" s="26"/>
      <c r="D262" s="7"/>
      <c r="E262" s="7">
        <v>2.419</v>
      </c>
      <c r="F262" s="7">
        <v>3.319</v>
      </c>
      <c r="G262" s="7">
        <v>5.0289999999999999</v>
      </c>
      <c r="H262" s="7">
        <f t="shared" si="21"/>
        <v>0.21361855980717087</v>
      </c>
      <c r="I262" s="7">
        <f t="shared" si="22"/>
        <v>0</v>
      </c>
      <c r="J262" s="12" t="e">
        <f t="shared" si="20"/>
        <v>#DIV/0!</v>
      </c>
    </row>
    <row r="263" spans="1:10" x14ac:dyDescent="0.2">
      <c r="A263" s="19" t="s">
        <v>9</v>
      </c>
      <c r="B263" s="5" t="s">
        <v>20</v>
      </c>
      <c r="C263" s="22">
        <v>10</v>
      </c>
      <c r="D263" s="4"/>
      <c r="E263" s="4">
        <v>2.4860000000000002</v>
      </c>
      <c r="F263" s="4">
        <v>3.4079999999999999</v>
      </c>
      <c r="G263" s="4">
        <v>5.1379999999999999</v>
      </c>
      <c r="H263" s="4">
        <f t="shared" si="21"/>
        <v>0.22183098591549302</v>
      </c>
      <c r="I263" s="4">
        <f t="shared" si="22"/>
        <v>0</v>
      </c>
      <c r="J263" s="10">
        <f t="shared" si="20"/>
        <v>0</v>
      </c>
    </row>
    <row r="264" spans="1:10" x14ac:dyDescent="0.2">
      <c r="A264" s="20"/>
      <c r="B264" s="6" t="s">
        <v>21</v>
      </c>
      <c r="C264" s="23"/>
      <c r="D264">
        <v>897</v>
      </c>
      <c r="E264">
        <v>2.4140000000000001</v>
      </c>
      <c r="F264">
        <v>3.8410000000000002</v>
      </c>
      <c r="G264">
        <v>5.4340000000000002</v>
      </c>
      <c r="H264">
        <f t="shared" si="21"/>
        <v>0.21374642020307216</v>
      </c>
      <c r="I264">
        <f t="shared" si="22"/>
        <v>705.26946107784431</v>
      </c>
      <c r="J264" s="11" t="e">
        <f t="shared" si="20"/>
        <v>#DIV/0!</v>
      </c>
    </row>
    <row r="265" spans="1:10" x14ac:dyDescent="0.2">
      <c r="A265" s="25"/>
      <c r="B265" s="8" t="s">
        <v>22</v>
      </c>
      <c r="C265" s="26"/>
      <c r="D265" s="7"/>
      <c r="E265" s="7">
        <v>2.4329999999999998</v>
      </c>
      <c r="F265" s="7">
        <v>3.512</v>
      </c>
      <c r="G265" s="7">
        <v>5.2039999999999997</v>
      </c>
      <c r="H265" s="7">
        <f t="shared" si="21"/>
        <v>0.21099088838268795</v>
      </c>
      <c r="I265" s="7">
        <f t="shared" si="22"/>
        <v>0</v>
      </c>
      <c r="J265" s="12" t="e">
        <f t="shared" si="20"/>
        <v>#DIV/0!</v>
      </c>
    </row>
    <row r="266" spans="1:10" x14ac:dyDescent="0.2">
      <c r="A266" s="19" t="s">
        <v>10</v>
      </c>
      <c r="B266" s="5" t="s">
        <v>20</v>
      </c>
      <c r="C266" s="22">
        <v>10</v>
      </c>
      <c r="D266" s="4"/>
      <c r="E266" s="4">
        <v>1.7250000000000001</v>
      </c>
      <c r="F266" s="4">
        <v>3.6459999999999999</v>
      </c>
      <c r="G266" s="4">
        <v>4.4290000000000003</v>
      </c>
      <c r="H266" s="4">
        <f t="shared" si="21"/>
        <v>0.258365331870543</v>
      </c>
      <c r="I266" s="4">
        <f t="shared" si="22"/>
        <v>0</v>
      </c>
      <c r="J266" s="10">
        <f t="shared" si="20"/>
        <v>0</v>
      </c>
    </row>
    <row r="267" spans="1:10" x14ac:dyDescent="0.2">
      <c r="A267" s="20"/>
      <c r="B267" s="6" t="s">
        <v>21</v>
      </c>
      <c r="C267" s="23"/>
      <c r="D267">
        <v>741</v>
      </c>
      <c r="E267">
        <v>1.7370000000000001</v>
      </c>
      <c r="F267">
        <v>3.22</v>
      </c>
      <c r="G267">
        <v>4.1459999999999999</v>
      </c>
      <c r="H267">
        <f t="shared" si="21"/>
        <v>0.25186335403726717</v>
      </c>
      <c r="I267">
        <f t="shared" si="22"/>
        <v>554.36925465838499</v>
      </c>
      <c r="J267" s="11" t="e">
        <f t="shared" si="20"/>
        <v>#DIV/0!</v>
      </c>
    </row>
    <row r="268" spans="1:10" x14ac:dyDescent="0.2">
      <c r="A268" s="25"/>
      <c r="B268" s="8" t="s">
        <v>22</v>
      </c>
      <c r="C268" s="26"/>
      <c r="D268" s="7"/>
      <c r="E268" s="7">
        <v>1.75</v>
      </c>
      <c r="F268" s="7">
        <v>3.1720000000000002</v>
      </c>
      <c r="G268" s="7">
        <v>4.0990000000000002</v>
      </c>
      <c r="H268" s="7">
        <f t="shared" si="21"/>
        <v>0.25945775535939469</v>
      </c>
      <c r="I268" s="7">
        <f t="shared" si="22"/>
        <v>0</v>
      </c>
      <c r="J268" s="12" t="e">
        <f t="shared" si="20"/>
        <v>#DIV/0!</v>
      </c>
    </row>
    <row r="269" spans="1:10" x14ac:dyDescent="0.2">
      <c r="A269" s="19" t="s">
        <v>11</v>
      </c>
      <c r="B269" s="5" t="s">
        <v>20</v>
      </c>
      <c r="C269" s="22">
        <v>10</v>
      </c>
      <c r="D269" s="4"/>
      <c r="E269" s="4">
        <v>1.736</v>
      </c>
      <c r="F269" s="4">
        <v>3.294</v>
      </c>
      <c r="G269" s="4">
        <v>4.0439999999999996</v>
      </c>
      <c r="H269" s="4">
        <f t="shared" si="21"/>
        <v>0.29933211900425022</v>
      </c>
      <c r="I269" s="4">
        <f t="shared" si="22"/>
        <v>0</v>
      </c>
      <c r="J269" s="10">
        <f t="shared" si="20"/>
        <v>0</v>
      </c>
    </row>
    <row r="270" spans="1:10" x14ac:dyDescent="0.2">
      <c r="A270" s="20"/>
      <c r="B270" s="6" t="s">
        <v>21</v>
      </c>
      <c r="C270" s="23"/>
      <c r="D270">
        <v>772</v>
      </c>
      <c r="E270">
        <v>1.744</v>
      </c>
      <c r="F270">
        <v>3.5049999999999999</v>
      </c>
      <c r="G270">
        <v>4.2699999999999996</v>
      </c>
      <c r="H270">
        <f t="shared" si="21"/>
        <v>0.27931526390870187</v>
      </c>
      <c r="I270">
        <f t="shared" si="22"/>
        <v>556.36861626248219</v>
      </c>
      <c r="J270" s="11" t="e">
        <f t="shared" si="20"/>
        <v>#DIV/0!</v>
      </c>
    </row>
    <row r="271" spans="1:10" x14ac:dyDescent="0.2">
      <c r="A271" s="25"/>
      <c r="B271" s="8" t="s">
        <v>22</v>
      </c>
      <c r="C271" s="26"/>
      <c r="D271" s="7"/>
      <c r="E271" s="7">
        <v>1.7210000000000001</v>
      </c>
      <c r="F271" s="7">
        <v>3.2759999999999998</v>
      </c>
      <c r="G271" s="7">
        <v>3.99</v>
      </c>
      <c r="H271" s="7">
        <f t="shared" si="21"/>
        <v>0.30738705738705729</v>
      </c>
      <c r="I271" s="7">
        <f t="shared" si="22"/>
        <v>0</v>
      </c>
      <c r="J271" s="12" t="e">
        <f t="shared" si="20"/>
        <v>#DIV/0!</v>
      </c>
    </row>
    <row r="272" spans="1:10" x14ac:dyDescent="0.2">
      <c r="A272" s="19" t="s">
        <v>12</v>
      </c>
      <c r="B272" s="5" t="s">
        <v>20</v>
      </c>
      <c r="C272" s="22">
        <v>10</v>
      </c>
      <c r="D272" s="4"/>
      <c r="E272" s="4">
        <v>1.7230000000000001</v>
      </c>
      <c r="F272" s="4">
        <v>3.177</v>
      </c>
      <c r="G272" s="4">
        <v>3.8119999999999998</v>
      </c>
      <c r="H272" s="4">
        <f t="shared" si="21"/>
        <v>0.34246144161158343</v>
      </c>
      <c r="I272" s="4">
        <f t="shared" si="22"/>
        <v>0</v>
      </c>
      <c r="J272" s="10">
        <f t="shared" si="20"/>
        <v>0</v>
      </c>
    </row>
    <row r="273" spans="1:10" x14ac:dyDescent="0.2">
      <c r="A273" s="20"/>
      <c r="B273" s="6" t="s">
        <v>21</v>
      </c>
      <c r="C273" s="23"/>
      <c r="D273">
        <v>768</v>
      </c>
      <c r="E273">
        <v>1.7330000000000001</v>
      </c>
      <c r="F273">
        <v>3.2109999999999999</v>
      </c>
      <c r="G273">
        <v>3.8759999999999999</v>
      </c>
      <c r="H273">
        <f t="shared" si="21"/>
        <v>0.33260666459047028</v>
      </c>
      <c r="I273">
        <f t="shared" si="22"/>
        <v>512.55808159451885</v>
      </c>
      <c r="J273" s="11" t="e">
        <f t="shared" si="20"/>
        <v>#DIV/0!</v>
      </c>
    </row>
    <row r="274" spans="1:10" x14ac:dyDescent="0.2">
      <c r="A274" s="25"/>
      <c r="B274" s="8" t="s">
        <v>22</v>
      </c>
      <c r="C274" s="26"/>
      <c r="D274" s="7"/>
      <c r="E274" s="7">
        <v>1.7310000000000001</v>
      </c>
      <c r="F274" s="7">
        <v>3.5790000000000002</v>
      </c>
      <c r="G274" s="7">
        <v>4.1239999999999997</v>
      </c>
      <c r="H274" s="7">
        <f t="shared" si="21"/>
        <v>0.33137747974294507</v>
      </c>
      <c r="I274" s="7">
        <f t="shared" si="22"/>
        <v>0</v>
      </c>
      <c r="J274" s="12" t="e">
        <f t="shared" si="20"/>
        <v>#DIV/0!</v>
      </c>
    </row>
    <row r="275" spans="1:10" x14ac:dyDescent="0.2">
      <c r="A275" s="19" t="s">
        <v>13</v>
      </c>
      <c r="B275" s="5" t="s">
        <v>20</v>
      </c>
      <c r="C275" s="22">
        <v>10</v>
      </c>
      <c r="D275" s="4"/>
      <c r="E275" s="4">
        <v>1.7190000000000001</v>
      </c>
      <c r="F275" s="4">
        <v>3.6949999999999998</v>
      </c>
      <c r="G275" s="4">
        <v>4.1360000000000001</v>
      </c>
      <c r="H275" s="4">
        <f t="shared" si="21"/>
        <v>0.34587280108254398</v>
      </c>
      <c r="I275" s="4">
        <f t="shared" si="22"/>
        <v>0</v>
      </c>
      <c r="J275" s="10">
        <f t="shared" si="20"/>
        <v>0</v>
      </c>
    </row>
    <row r="276" spans="1:10" x14ac:dyDescent="0.2">
      <c r="A276" s="20"/>
      <c r="B276" s="6" t="s">
        <v>21</v>
      </c>
      <c r="C276" s="23"/>
      <c r="D276">
        <v>684</v>
      </c>
      <c r="E276">
        <v>1.7250000000000001</v>
      </c>
      <c r="F276">
        <v>3.3570000000000002</v>
      </c>
      <c r="G276">
        <v>3.8639999999999999</v>
      </c>
      <c r="H276">
        <f t="shared" si="21"/>
        <v>0.36282394995531736</v>
      </c>
      <c r="I276">
        <f t="shared" si="22"/>
        <v>435.82841823056293</v>
      </c>
      <c r="J276" s="11" t="e">
        <f t="shared" si="20"/>
        <v>#DIV/0!</v>
      </c>
    </row>
    <row r="277" spans="1:10" x14ac:dyDescent="0.2">
      <c r="A277" s="25"/>
      <c r="B277" s="8" t="s">
        <v>22</v>
      </c>
      <c r="C277" s="26"/>
      <c r="D277" s="7"/>
      <c r="E277" s="7">
        <v>1.7130000000000001</v>
      </c>
      <c r="F277" s="7">
        <v>3.2450000000000001</v>
      </c>
      <c r="G277" s="7">
        <v>3.7639999999999998</v>
      </c>
      <c r="H277" s="7">
        <f t="shared" si="21"/>
        <v>0.36795069337442232</v>
      </c>
      <c r="I277" s="7">
        <f t="shared" si="22"/>
        <v>0</v>
      </c>
      <c r="J277" s="12" t="e">
        <f t="shared" si="20"/>
        <v>#DIV/0!</v>
      </c>
    </row>
    <row r="278" spans="1:10" x14ac:dyDescent="0.2">
      <c r="A278" s="19" t="s">
        <v>14</v>
      </c>
      <c r="B278" s="5" t="s">
        <v>20</v>
      </c>
      <c r="C278" s="22">
        <v>10</v>
      </c>
      <c r="D278" s="4"/>
      <c r="E278" s="4">
        <v>1.718</v>
      </c>
      <c r="F278" s="4">
        <v>3.3279999999999998</v>
      </c>
      <c r="G278" s="4">
        <v>3.911</v>
      </c>
      <c r="H278" s="4">
        <f t="shared" si="21"/>
        <v>0.34104567307692302</v>
      </c>
      <c r="I278" s="4">
        <f t="shared" si="22"/>
        <v>0</v>
      </c>
      <c r="J278" s="10">
        <f t="shared" si="20"/>
        <v>0</v>
      </c>
    </row>
    <row r="279" spans="1:10" x14ac:dyDescent="0.2">
      <c r="A279" s="20"/>
      <c r="B279" s="6" t="s">
        <v>21</v>
      </c>
      <c r="C279" s="23"/>
      <c r="D279">
        <v>628</v>
      </c>
      <c r="E279">
        <v>1.7270000000000001</v>
      </c>
      <c r="F279">
        <v>3.0790000000000002</v>
      </c>
      <c r="G279">
        <v>3.855</v>
      </c>
      <c r="H279">
        <f t="shared" si="21"/>
        <v>0.30886651510230595</v>
      </c>
      <c r="I279">
        <f t="shared" si="22"/>
        <v>434.03182851575184</v>
      </c>
      <c r="J279" s="11" t="e">
        <f t="shared" si="20"/>
        <v>#DIV/0!</v>
      </c>
    </row>
    <row r="280" spans="1:10" ht="16" thickBot="1" x14ac:dyDescent="0.25">
      <c r="A280" s="21"/>
      <c r="B280" s="15" t="s">
        <v>22</v>
      </c>
      <c r="C280" s="24"/>
      <c r="D280" s="13"/>
      <c r="E280" s="13">
        <v>1.74</v>
      </c>
      <c r="F280" s="13">
        <v>3.1739999999999999</v>
      </c>
      <c r="G280" s="13">
        <v>3.931</v>
      </c>
      <c r="H280" s="13">
        <f t="shared" si="21"/>
        <v>0.30970384373030879</v>
      </c>
      <c r="I280" s="13">
        <f t="shared" si="22"/>
        <v>0</v>
      </c>
      <c r="J280" s="14" t="e">
        <f t="shared" si="20"/>
        <v>#DIV/0!</v>
      </c>
    </row>
    <row r="281" spans="1:10" ht="16" thickBot="1" x14ac:dyDescent="0.25">
      <c r="A281" s="44" t="s">
        <v>1</v>
      </c>
      <c r="B281" s="33"/>
      <c r="C281" s="33"/>
      <c r="D281" s="33" t="s">
        <v>37</v>
      </c>
      <c r="E281" s="34"/>
      <c r="F281" s="9" t="s">
        <v>0</v>
      </c>
      <c r="G281" s="18">
        <v>44180</v>
      </c>
      <c r="H281" s="35" t="s">
        <v>24</v>
      </c>
      <c r="I281" s="36"/>
      <c r="J281" s="1">
        <v>110</v>
      </c>
    </row>
    <row r="282" spans="1:10" ht="16" thickBot="1" x14ac:dyDescent="0.25">
      <c r="A282" s="37" t="s">
        <v>2</v>
      </c>
      <c r="B282" s="38"/>
      <c r="C282" s="38"/>
      <c r="D282" s="38"/>
      <c r="E282" s="39"/>
      <c r="F282" s="40"/>
      <c r="G282" s="41"/>
      <c r="H282" s="42" t="s">
        <v>25</v>
      </c>
      <c r="I282" s="43"/>
      <c r="J282" s="2">
        <v>17</v>
      </c>
    </row>
    <row r="283" spans="1:10" ht="16" thickBot="1" x14ac:dyDescent="0.25">
      <c r="A283" s="45" t="s">
        <v>27</v>
      </c>
      <c r="B283" s="27"/>
      <c r="C283" s="27"/>
      <c r="D283" s="27" t="s">
        <v>32</v>
      </c>
      <c r="E283" s="28"/>
      <c r="F283" s="16" t="s">
        <v>30</v>
      </c>
      <c r="G283" s="16">
        <v>3.81</v>
      </c>
      <c r="H283" s="29" t="s">
        <v>26</v>
      </c>
      <c r="I283" s="30"/>
      <c r="J283" s="3">
        <v>52</v>
      </c>
    </row>
    <row r="284" spans="1:10" x14ac:dyDescent="0.2">
      <c r="A284" s="31"/>
      <c r="B284" s="32"/>
      <c r="C284" s="16" t="s">
        <v>29</v>
      </c>
      <c r="D284" s="16" t="s">
        <v>19</v>
      </c>
      <c r="E284" s="16" t="s">
        <v>15</v>
      </c>
      <c r="F284" s="16" t="s">
        <v>18</v>
      </c>
      <c r="G284" s="16" t="s">
        <v>17</v>
      </c>
      <c r="H284" s="16" t="s">
        <v>28</v>
      </c>
      <c r="I284" s="16" t="s">
        <v>16</v>
      </c>
      <c r="J284" s="17" t="s">
        <v>23</v>
      </c>
    </row>
    <row r="285" spans="1:10" x14ac:dyDescent="0.2">
      <c r="A285" s="19" t="s">
        <v>3</v>
      </c>
      <c r="B285" s="5" t="s">
        <v>20</v>
      </c>
      <c r="C285" s="22">
        <v>10</v>
      </c>
      <c r="D285" s="4"/>
      <c r="E285" s="4">
        <v>1.744</v>
      </c>
      <c r="F285" s="4">
        <v>3.2759999999999998</v>
      </c>
      <c r="G285" s="4">
        <v>4.3369999999999997</v>
      </c>
      <c r="H285" s="4">
        <f>(F285-(G285-E285))/F285</f>
        <v>0.20848595848595844</v>
      </c>
      <c r="I285" s="4">
        <f>D285-H285*D285</f>
        <v>0</v>
      </c>
      <c r="J285" s="10">
        <f t="shared" ref="J285:J320" si="23">I285/($G$3^2*C285*PI())</f>
        <v>0</v>
      </c>
    </row>
    <row r="286" spans="1:10" x14ac:dyDescent="0.2">
      <c r="A286" s="20"/>
      <c r="B286" s="6" t="s">
        <v>21</v>
      </c>
      <c r="C286" s="23"/>
      <c r="D286">
        <v>791</v>
      </c>
      <c r="E286">
        <v>1.736</v>
      </c>
      <c r="F286">
        <v>3.4329999999999998</v>
      </c>
      <c r="G286">
        <v>4.4480000000000004</v>
      </c>
      <c r="H286">
        <f t="shared" ref="H286:H320" si="24">(F286-(G286-E286))/F286</f>
        <v>0.21002039032915795</v>
      </c>
      <c r="I286">
        <f t="shared" ref="I286:I320" si="25">D286-H286*D286</f>
        <v>624.87387124963607</v>
      </c>
      <c r="J286" s="11" t="e">
        <f t="shared" si="23"/>
        <v>#DIV/0!</v>
      </c>
    </row>
    <row r="287" spans="1:10" x14ac:dyDescent="0.2">
      <c r="A287" s="25"/>
      <c r="B287" s="8" t="s">
        <v>22</v>
      </c>
      <c r="C287" s="26"/>
      <c r="D287" s="7"/>
      <c r="E287" s="7">
        <v>1.7190000000000001</v>
      </c>
      <c r="F287" s="7">
        <v>3.516</v>
      </c>
      <c r="G287" s="7">
        <v>4.24</v>
      </c>
      <c r="H287" s="7">
        <f t="shared" si="24"/>
        <v>0.2829920364050057</v>
      </c>
      <c r="I287" s="7">
        <f t="shared" si="25"/>
        <v>0</v>
      </c>
      <c r="J287" s="12" t="e">
        <f t="shared" si="23"/>
        <v>#DIV/0!</v>
      </c>
    </row>
    <row r="288" spans="1:10" x14ac:dyDescent="0.2">
      <c r="A288" s="19" t="s">
        <v>4</v>
      </c>
      <c r="B288" s="5" t="s">
        <v>20</v>
      </c>
      <c r="C288" s="23">
        <v>10</v>
      </c>
      <c r="E288">
        <v>1.7050000000000001</v>
      </c>
      <c r="F288">
        <v>3.7</v>
      </c>
      <c r="G288">
        <v>4.5599999999999996</v>
      </c>
      <c r="H288" s="4">
        <f t="shared" si="24"/>
        <v>0.22837837837837854</v>
      </c>
      <c r="I288" s="4">
        <f t="shared" si="25"/>
        <v>0</v>
      </c>
      <c r="J288" s="10">
        <f t="shared" si="23"/>
        <v>0</v>
      </c>
    </row>
    <row r="289" spans="1:10" x14ac:dyDescent="0.2">
      <c r="A289" s="20"/>
      <c r="B289" s="6" t="s">
        <v>21</v>
      </c>
      <c r="C289" s="23"/>
      <c r="D289">
        <v>775</v>
      </c>
      <c r="E289">
        <v>1.7190000000000001</v>
      </c>
      <c r="F289">
        <v>3.4390000000000001</v>
      </c>
      <c r="G289">
        <v>4.4000000000000004</v>
      </c>
      <c r="H289">
        <f t="shared" si="24"/>
        <v>0.22041291072986333</v>
      </c>
      <c r="I289">
        <f t="shared" si="25"/>
        <v>604.17999418435591</v>
      </c>
      <c r="J289" s="11" t="e">
        <f t="shared" si="23"/>
        <v>#DIV/0!</v>
      </c>
    </row>
    <row r="290" spans="1:10" x14ac:dyDescent="0.2">
      <c r="A290" s="25"/>
      <c r="B290" s="8" t="s">
        <v>22</v>
      </c>
      <c r="C290" s="26"/>
      <c r="D290" s="7"/>
      <c r="E290" s="7">
        <v>1.716</v>
      </c>
      <c r="F290" s="7">
        <v>3.7010000000000001</v>
      </c>
      <c r="G290" s="7">
        <v>4.6920000000000002</v>
      </c>
      <c r="H290" s="7">
        <f t="shared" si="24"/>
        <v>0.19589300189138073</v>
      </c>
      <c r="I290" s="7">
        <f t="shared" si="25"/>
        <v>0</v>
      </c>
      <c r="J290" s="12" t="e">
        <f t="shared" si="23"/>
        <v>#DIV/0!</v>
      </c>
    </row>
    <row r="291" spans="1:10" x14ac:dyDescent="0.2">
      <c r="A291" s="19" t="s">
        <v>5</v>
      </c>
      <c r="B291" s="5" t="s">
        <v>20</v>
      </c>
      <c r="C291" s="22">
        <v>10</v>
      </c>
      <c r="D291" s="4"/>
      <c r="E291" s="4">
        <v>1.7370000000000001</v>
      </c>
      <c r="F291" s="4">
        <v>3.633</v>
      </c>
      <c r="G291" s="4">
        <v>4.7619999999999996</v>
      </c>
      <c r="H291" s="4">
        <f t="shared" si="24"/>
        <v>0.16735480319295362</v>
      </c>
      <c r="I291" s="4">
        <f t="shared" si="25"/>
        <v>0</v>
      </c>
      <c r="J291" s="10">
        <f t="shared" si="23"/>
        <v>0</v>
      </c>
    </row>
    <row r="292" spans="1:10" x14ac:dyDescent="0.2">
      <c r="A292" s="20"/>
      <c r="B292" s="6" t="s">
        <v>21</v>
      </c>
      <c r="C292" s="23"/>
      <c r="D292">
        <v>759</v>
      </c>
      <c r="E292">
        <v>1.7150000000000001</v>
      </c>
      <c r="F292">
        <v>3.706</v>
      </c>
      <c r="G292">
        <v>4.7770000000000001</v>
      </c>
      <c r="H292">
        <f t="shared" si="24"/>
        <v>0.17377226119805711</v>
      </c>
      <c r="I292">
        <f t="shared" si="25"/>
        <v>627.10685375067465</v>
      </c>
      <c r="J292" s="11" t="e">
        <f t="shared" si="23"/>
        <v>#DIV/0!</v>
      </c>
    </row>
    <row r="293" spans="1:10" x14ac:dyDescent="0.2">
      <c r="A293" s="25"/>
      <c r="B293" s="8" t="s">
        <v>22</v>
      </c>
      <c r="C293" s="26"/>
      <c r="D293" s="7"/>
      <c r="E293" s="7">
        <v>1.7410000000000001</v>
      </c>
      <c r="F293" s="7">
        <v>3.8519999999999999</v>
      </c>
      <c r="G293" s="7">
        <v>4.9119999999999999</v>
      </c>
      <c r="H293" s="7">
        <f t="shared" si="24"/>
        <v>0.176791277258567</v>
      </c>
      <c r="I293" s="7">
        <f t="shared" si="25"/>
        <v>0</v>
      </c>
      <c r="J293" s="12" t="e">
        <f t="shared" si="23"/>
        <v>#DIV/0!</v>
      </c>
    </row>
    <row r="294" spans="1:10" x14ac:dyDescent="0.2">
      <c r="A294" s="19" t="s">
        <v>6</v>
      </c>
      <c r="B294" s="5" t="s">
        <v>20</v>
      </c>
      <c r="C294" s="22">
        <v>10</v>
      </c>
      <c r="D294" s="4"/>
      <c r="E294" s="4">
        <v>1.748</v>
      </c>
      <c r="F294" s="4">
        <v>3.8490000000000002</v>
      </c>
      <c r="G294" s="4">
        <v>5.1420000000000003</v>
      </c>
      <c r="H294" s="4">
        <f t="shared" si="24"/>
        <v>0.11821252273317746</v>
      </c>
      <c r="I294" s="4">
        <f t="shared" si="25"/>
        <v>0</v>
      </c>
      <c r="J294" s="10">
        <f t="shared" si="23"/>
        <v>0</v>
      </c>
    </row>
    <row r="295" spans="1:10" x14ac:dyDescent="0.2">
      <c r="A295" s="20"/>
      <c r="B295" s="6" t="s">
        <v>21</v>
      </c>
      <c r="C295" s="23"/>
      <c r="D295">
        <v>855</v>
      </c>
      <c r="E295">
        <v>1.7290000000000001</v>
      </c>
      <c r="F295">
        <v>3.0529999999999999</v>
      </c>
      <c r="G295">
        <v>4.2089999999999996</v>
      </c>
      <c r="H295">
        <f t="shared" si="24"/>
        <v>0.18768424500491335</v>
      </c>
      <c r="I295">
        <f t="shared" si="25"/>
        <v>694.52997052079911</v>
      </c>
      <c r="J295" s="11" t="e">
        <f t="shared" si="23"/>
        <v>#DIV/0!</v>
      </c>
    </row>
    <row r="296" spans="1:10" x14ac:dyDescent="0.2">
      <c r="A296" s="25"/>
      <c r="B296" s="8" t="s">
        <v>22</v>
      </c>
      <c r="C296" s="26"/>
      <c r="D296" s="7"/>
      <c r="E296" s="7">
        <v>1.7250000000000001</v>
      </c>
      <c r="F296" s="7">
        <v>3.7</v>
      </c>
      <c r="G296" s="7">
        <v>4.7320000000000002</v>
      </c>
      <c r="H296" s="7">
        <f t="shared" si="24"/>
        <v>0.1872972972972973</v>
      </c>
      <c r="I296" s="7">
        <f t="shared" si="25"/>
        <v>0</v>
      </c>
      <c r="J296" s="12" t="e">
        <f t="shared" si="23"/>
        <v>#DIV/0!</v>
      </c>
    </row>
    <row r="297" spans="1:10" x14ac:dyDescent="0.2">
      <c r="A297" s="19" t="s">
        <v>7</v>
      </c>
      <c r="B297" s="5" t="s">
        <v>20</v>
      </c>
      <c r="C297" s="22">
        <v>10</v>
      </c>
      <c r="D297" s="4"/>
      <c r="E297" s="4">
        <v>1.7310000000000001</v>
      </c>
      <c r="F297" s="4">
        <v>3.2970000000000002</v>
      </c>
      <c r="G297" s="4">
        <v>4.3789999999999996</v>
      </c>
      <c r="H297" s="4">
        <f t="shared" si="24"/>
        <v>0.19684561722778296</v>
      </c>
      <c r="I297" s="4">
        <f t="shared" si="25"/>
        <v>0</v>
      </c>
      <c r="J297" s="10">
        <f t="shared" si="23"/>
        <v>0</v>
      </c>
    </row>
    <row r="298" spans="1:10" x14ac:dyDescent="0.2">
      <c r="A298" s="20"/>
      <c r="B298" s="6" t="s">
        <v>21</v>
      </c>
      <c r="C298" s="23"/>
      <c r="D298">
        <v>758</v>
      </c>
      <c r="E298">
        <v>1.756</v>
      </c>
      <c r="F298">
        <v>3.371</v>
      </c>
      <c r="G298">
        <v>4.3879999999999999</v>
      </c>
      <c r="H298">
        <f t="shared" si="24"/>
        <v>0.21922278255710481</v>
      </c>
      <c r="I298">
        <f t="shared" si="25"/>
        <v>591.82913082171456</v>
      </c>
      <c r="J298" s="11" t="e">
        <f t="shared" si="23"/>
        <v>#DIV/0!</v>
      </c>
    </row>
    <row r="299" spans="1:10" x14ac:dyDescent="0.2">
      <c r="A299" s="25"/>
      <c r="B299" s="8" t="s">
        <v>22</v>
      </c>
      <c r="C299" s="26"/>
      <c r="D299" s="7"/>
      <c r="E299" s="7">
        <v>1.744</v>
      </c>
      <c r="F299" s="7">
        <v>3.4049999999999998</v>
      </c>
      <c r="G299" s="7">
        <v>4.41</v>
      </c>
      <c r="H299" s="7">
        <f t="shared" si="24"/>
        <v>0.21703377386196754</v>
      </c>
      <c r="I299" s="7">
        <f t="shared" si="25"/>
        <v>0</v>
      </c>
      <c r="J299" s="12" t="e">
        <f t="shared" si="23"/>
        <v>#DIV/0!</v>
      </c>
    </row>
    <row r="300" spans="1:10" x14ac:dyDescent="0.2">
      <c r="A300" s="19" t="s">
        <v>8</v>
      </c>
      <c r="B300" s="5" t="s">
        <v>20</v>
      </c>
      <c r="C300" s="22">
        <v>10</v>
      </c>
      <c r="D300" s="4"/>
      <c r="E300" s="4">
        <v>1.7250000000000001</v>
      </c>
      <c r="F300" s="4">
        <v>3.2080000000000002</v>
      </c>
      <c r="G300" s="4">
        <v>4.2640000000000002</v>
      </c>
      <c r="H300" s="4">
        <f t="shared" si="24"/>
        <v>0.20854114713216956</v>
      </c>
      <c r="I300" s="4">
        <f t="shared" si="25"/>
        <v>0</v>
      </c>
      <c r="J300" s="10">
        <f t="shared" si="23"/>
        <v>0</v>
      </c>
    </row>
    <row r="301" spans="1:10" x14ac:dyDescent="0.2">
      <c r="A301" s="20"/>
      <c r="B301" s="6" t="s">
        <v>21</v>
      </c>
      <c r="C301" s="23"/>
      <c r="D301">
        <v>731</v>
      </c>
      <c r="E301">
        <v>1.7310000000000001</v>
      </c>
      <c r="F301">
        <v>3.661</v>
      </c>
      <c r="G301">
        <v>4.5990000000000002</v>
      </c>
      <c r="H301">
        <f t="shared" si="24"/>
        <v>0.21660748429390869</v>
      </c>
      <c r="I301">
        <f t="shared" si="25"/>
        <v>572.65992898115269</v>
      </c>
      <c r="J301" s="11" t="e">
        <f t="shared" si="23"/>
        <v>#DIV/0!</v>
      </c>
    </row>
    <row r="302" spans="1:10" x14ac:dyDescent="0.2">
      <c r="A302" s="25"/>
      <c r="B302" s="8" t="s">
        <v>22</v>
      </c>
      <c r="C302" s="26"/>
      <c r="D302" s="7"/>
      <c r="E302" s="7">
        <v>1.724</v>
      </c>
      <c r="F302" s="7">
        <v>3.4929999999999999</v>
      </c>
      <c r="G302" s="7">
        <v>4.5149999999999997</v>
      </c>
      <c r="H302" s="7">
        <f t="shared" si="24"/>
        <v>0.20097337532207285</v>
      </c>
      <c r="I302" s="7">
        <f t="shared" si="25"/>
        <v>0</v>
      </c>
      <c r="J302" s="12" t="e">
        <f t="shared" si="23"/>
        <v>#DIV/0!</v>
      </c>
    </row>
    <row r="303" spans="1:10" x14ac:dyDescent="0.2">
      <c r="A303" s="19" t="s">
        <v>9</v>
      </c>
      <c r="B303" s="5" t="s">
        <v>20</v>
      </c>
      <c r="C303" s="22">
        <v>10</v>
      </c>
      <c r="D303" s="4"/>
      <c r="E303" s="4">
        <v>1.756</v>
      </c>
      <c r="F303" s="4">
        <v>3.21</v>
      </c>
      <c r="G303" s="4">
        <v>4.1769999999999996</v>
      </c>
      <c r="H303" s="4">
        <f t="shared" si="24"/>
        <v>0.24579439252336469</v>
      </c>
      <c r="I303" s="4">
        <f t="shared" si="25"/>
        <v>0</v>
      </c>
      <c r="J303" s="10">
        <f t="shared" si="23"/>
        <v>0</v>
      </c>
    </row>
    <row r="304" spans="1:10" x14ac:dyDescent="0.2">
      <c r="A304" s="20"/>
      <c r="B304" s="6" t="s">
        <v>21</v>
      </c>
      <c r="C304" s="23"/>
      <c r="D304">
        <v>808</v>
      </c>
      <c r="E304">
        <v>1.73</v>
      </c>
      <c r="F304">
        <v>3.242</v>
      </c>
      <c r="G304">
        <v>4.218</v>
      </c>
      <c r="H304">
        <f t="shared" si="24"/>
        <v>0.23257248611967921</v>
      </c>
      <c r="I304">
        <f t="shared" si="25"/>
        <v>620.08143121529918</v>
      </c>
      <c r="J304" s="11" t="e">
        <f t="shared" si="23"/>
        <v>#DIV/0!</v>
      </c>
    </row>
    <row r="305" spans="1:10" x14ac:dyDescent="0.2">
      <c r="A305" s="25"/>
      <c r="B305" s="8" t="s">
        <v>22</v>
      </c>
      <c r="C305" s="26"/>
      <c r="D305" s="7"/>
      <c r="E305" s="7">
        <v>1.7529999999999999</v>
      </c>
      <c r="F305" s="7">
        <v>3.6819999999999999</v>
      </c>
      <c r="G305" s="7">
        <v>4.5919999999999996</v>
      </c>
      <c r="H305" s="7">
        <f t="shared" si="24"/>
        <v>0.22895165670831083</v>
      </c>
      <c r="I305" s="7">
        <f t="shared" si="25"/>
        <v>0</v>
      </c>
      <c r="J305" s="12" t="e">
        <f t="shared" si="23"/>
        <v>#DIV/0!</v>
      </c>
    </row>
    <row r="306" spans="1:10" x14ac:dyDescent="0.2">
      <c r="A306" s="19" t="s">
        <v>10</v>
      </c>
      <c r="B306" s="5" t="s">
        <v>20</v>
      </c>
      <c r="C306" s="22">
        <v>10</v>
      </c>
      <c r="D306" s="4"/>
      <c r="E306" s="4">
        <v>1.728</v>
      </c>
      <c r="F306" s="4">
        <v>3.3069999999999999</v>
      </c>
      <c r="G306" s="4">
        <v>4.516</v>
      </c>
      <c r="H306" s="4">
        <f t="shared" si="24"/>
        <v>0.1569398246144541</v>
      </c>
      <c r="I306" s="4">
        <f t="shared" si="25"/>
        <v>0</v>
      </c>
      <c r="J306" s="10">
        <f t="shared" si="23"/>
        <v>0</v>
      </c>
    </row>
    <row r="307" spans="1:10" x14ac:dyDescent="0.2">
      <c r="A307" s="20"/>
      <c r="B307" s="6" t="s">
        <v>21</v>
      </c>
      <c r="C307" s="23"/>
      <c r="D307">
        <v>900</v>
      </c>
      <c r="E307">
        <v>1.7210000000000001</v>
      </c>
      <c r="F307">
        <v>3.8759999999999999</v>
      </c>
      <c r="G307">
        <v>4.9489999999999998</v>
      </c>
      <c r="H307">
        <f t="shared" si="24"/>
        <v>0.16718266253869973</v>
      </c>
      <c r="I307">
        <f t="shared" si="25"/>
        <v>749.53560371517028</v>
      </c>
      <c r="J307" s="11" t="e">
        <f t="shared" si="23"/>
        <v>#DIV/0!</v>
      </c>
    </row>
    <row r="308" spans="1:10" x14ac:dyDescent="0.2">
      <c r="A308" s="25"/>
      <c r="B308" s="8" t="s">
        <v>22</v>
      </c>
      <c r="C308" s="26"/>
      <c r="D308" s="7"/>
      <c r="E308" s="7">
        <v>1.7290000000000001</v>
      </c>
      <c r="F308" s="7">
        <v>3.464</v>
      </c>
      <c r="G308" s="7">
        <v>4.7210000000000001</v>
      </c>
      <c r="H308" s="7">
        <f t="shared" si="24"/>
        <v>0.13625866050808313</v>
      </c>
      <c r="I308" s="7">
        <f t="shared" si="25"/>
        <v>0</v>
      </c>
      <c r="J308" s="12" t="e">
        <f t="shared" si="23"/>
        <v>#DIV/0!</v>
      </c>
    </row>
    <row r="309" spans="1:10" x14ac:dyDescent="0.2">
      <c r="A309" s="19" t="s">
        <v>11</v>
      </c>
      <c r="B309" s="5" t="s">
        <v>20</v>
      </c>
      <c r="C309" s="22">
        <v>10</v>
      </c>
      <c r="D309" s="4"/>
      <c r="E309" s="4">
        <v>1.716</v>
      </c>
      <c r="F309" s="4">
        <v>3.024</v>
      </c>
      <c r="G309" s="4">
        <v>4.2530000000000001</v>
      </c>
      <c r="H309" s="4">
        <f t="shared" si="24"/>
        <v>0.16104497354497357</v>
      </c>
      <c r="I309" s="4">
        <f t="shared" si="25"/>
        <v>0</v>
      </c>
      <c r="J309" s="10">
        <f t="shared" si="23"/>
        <v>0</v>
      </c>
    </row>
    <row r="310" spans="1:10" x14ac:dyDescent="0.2">
      <c r="A310" s="20"/>
      <c r="B310" s="6" t="s">
        <v>21</v>
      </c>
      <c r="C310" s="23"/>
      <c r="D310">
        <v>906</v>
      </c>
      <c r="E310">
        <v>1.746</v>
      </c>
      <c r="F310">
        <v>3.1880000000000002</v>
      </c>
      <c r="G310">
        <v>4.4359999999999999</v>
      </c>
      <c r="H310">
        <f t="shared" si="24"/>
        <v>0.15621079046424097</v>
      </c>
      <c r="I310">
        <f t="shared" si="25"/>
        <v>764.47302383939768</v>
      </c>
      <c r="J310" s="11" t="e">
        <f t="shared" si="23"/>
        <v>#DIV/0!</v>
      </c>
    </row>
    <row r="311" spans="1:10" x14ac:dyDescent="0.2">
      <c r="A311" s="25"/>
      <c r="B311" s="8" t="s">
        <v>22</v>
      </c>
      <c r="C311" s="26"/>
      <c r="D311" s="7"/>
      <c r="E311" s="7">
        <v>1.718</v>
      </c>
      <c r="F311" s="7">
        <v>3.3780000000000001</v>
      </c>
      <c r="G311" s="7">
        <v>4.5579999999999998</v>
      </c>
      <c r="H311" s="7">
        <f t="shared" si="24"/>
        <v>0.15926583777383074</v>
      </c>
      <c r="I311" s="7">
        <f t="shared" si="25"/>
        <v>0</v>
      </c>
      <c r="J311" s="12" t="e">
        <f t="shared" si="23"/>
        <v>#DIV/0!</v>
      </c>
    </row>
    <row r="312" spans="1:10" x14ac:dyDescent="0.2">
      <c r="A312" s="19" t="s">
        <v>12</v>
      </c>
      <c r="B312" s="5" t="s">
        <v>20</v>
      </c>
      <c r="C312" s="22">
        <v>10</v>
      </c>
      <c r="D312" s="4"/>
      <c r="E312" s="4">
        <v>1.746</v>
      </c>
      <c r="F312" s="4">
        <v>3.0139999999999998</v>
      </c>
      <c r="G312" s="4">
        <v>4.2149999999999999</v>
      </c>
      <c r="H312" s="4">
        <f t="shared" si="24"/>
        <v>0.18082282680822825</v>
      </c>
      <c r="I312" s="4">
        <f t="shared" si="25"/>
        <v>0</v>
      </c>
      <c r="J312" s="10">
        <f t="shared" si="23"/>
        <v>0</v>
      </c>
    </row>
    <row r="313" spans="1:10" x14ac:dyDescent="0.2">
      <c r="A313" s="20"/>
      <c r="B313" s="6" t="s">
        <v>21</v>
      </c>
      <c r="C313" s="23"/>
      <c r="D313">
        <v>928</v>
      </c>
      <c r="E313">
        <v>1.7410000000000001</v>
      </c>
      <c r="F313">
        <v>3.6520000000000001</v>
      </c>
      <c r="G313">
        <v>4.8150000000000004</v>
      </c>
      <c r="H313">
        <f t="shared" si="24"/>
        <v>0.15826944140197147</v>
      </c>
      <c r="I313">
        <f t="shared" si="25"/>
        <v>781.12595837897049</v>
      </c>
      <c r="J313" s="11" t="e">
        <f t="shared" si="23"/>
        <v>#DIV/0!</v>
      </c>
    </row>
    <row r="314" spans="1:10" x14ac:dyDescent="0.2">
      <c r="A314" s="25"/>
      <c r="B314" s="8" t="s">
        <v>22</v>
      </c>
      <c r="C314" s="26"/>
      <c r="D314" s="7"/>
      <c r="E314" s="7">
        <v>1.7310000000000001</v>
      </c>
      <c r="F314" s="7">
        <v>3.5059999999999998</v>
      </c>
      <c r="G314" s="7">
        <v>4.6639999999999997</v>
      </c>
      <c r="H314" s="7">
        <f t="shared" si="24"/>
        <v>0.16343411294922988</v>
      </c>
      <c r="I314" s="7">
        <f t="shared" si="25"/>
        <v>0</v>
      </c>
      <c r="J314" s="12" t="e">
        <f t="shared" si="23"/>
        <v>#DIV/0!</v>
      </c>
    </row>
    <row r="315" spans="1:10" x14ac:dyDescent="0.2">
      <c r="A315" s="19" t="s">
        <v>13</v>
      </c>
      <c r="B315" s="5" t="s">
        <v>20</v>
      </c>
      <c r="C315" s="22">
        <v>10</v>
      </c>
      <c r="D315" s="4"/>
      <c r="E315" s="4">
        <v>1.7250000000000001</v>
      </c>
      <c r="F315" s="4">
        <v>3.59</v>
      </c>
      <c r="G315" s="4">
        <v>4.7670000000000003</v>
      </c>
      <c r="H315" s="4">
        <f t="shared" si="24"/>
        <v>0.15264623955431744</v>
      </c>
      <c r="I315" s="4">
        <f t="shared" si="25"/>
        <v>0</v>
      </c>
      <c r="J315" s="10">
        <f t="shared" si="23"/>
        <v>0</v>
      </c>
    </row>
    <row r="316" spans="1:10" x14ac:dyDescent="0.2">
      <c r="A316" s="20"/>
      <c r="B316" s="6" t="s">
        <v>21</v>
      </c>
      <c r="C316" s="23"/>
      <c r="D316">
        <v>852</v>
      </c>
      <c r="E316">
        <v>1.73</v>
      </c>
      <c r="F316">
        <v>3.5859999999999999</v>
      </c>
      <c r="G316">
        <v>4.7469999999999999</v>
      </c>
      <c r="H316">
        <f t="shared" si="24"/>
        <v>0.15867261572783045</v>
      </c>
      <c r="I316">
        <f t="shared" si="25"/>
        <v>716.81093139988843</v>
      </c>
      <c r="J316" s="11" t="e">
        <f t="shared" si="23"/>
        <v>#DIV/0!</v>
      </c>
    </row>
    <row r="317" spans="1:10" x14ac:dyDescent="0.2">
      <c r="A317" s="25"/>
      <c r="B317" s="8" t="s">
        <v>22</v>
      </c>
      <c r="C317" s="26"/>
      <c r="D317" s="7"/>
      <c r="E317" s="7">
        <v>1.7230000000000001</v>
      </c>
      <c r="F317" s="7">
        <v>3.7919999999999998</v>
      </c>
      <c r="G317" s="7">
        <v>4.9189999999999996</v>
      </c>
      <c r="H317" s="7">
        <f t="shared" si="24"/>
        <v>0.15717299578059074</v>
      </c>
      <c r="I317" s="7">
        <f t="shared" si="25"/>
        <v>0</v>
      </c>
      <c r="J317" s="12" t="e">
        <f t="shared" si="23"/>
        <v>#DIV/0!</v>
      </c>
    </row>
    <row r="318" spans="1:10" x14ac:dyDescent="0.2">
      <c r="A318" s="19" t="s">
        <v>14</v>
      </c>
      <c r="B318" s="5" t="s">
        <v>20</v>
      </c>
      <c r="C318" s="22">
        <v>10</v>
      </c>
      <c r="D318" s="4"/>
      <c r="E318" s="4"/>
      <c r="F318" s="4"/>
      <c r="G318" s="4"/>
      <c r="H318" s="4" t="e">
        <f t="shared" si="24"/>
        <v>#DIV/0!</v>
      </c>
      <c r="I318" s="4" t="e">
        <f t="shared" si="25"/>
        <v>#DIV/0!</v>
      </c>
      <c r="J318" s="10" t="e">
        <f t="shared" si="23"/>
        <v>#DIV/0!</v>
      </c>
    </row>
    <row r="319" spans="1:10" x14ac:dyDescent="0.2">
      <c r="A319" s="20"/>
      <c r="B319" s="6" t="s">
        <v>21</v>
      </c>
      <c r="C319" s="23"/>
      <c r="H319" t="e">
        <f t="shared" si="24"/>
        <v>#DIV/0!</v>
      </c>
      <c r="I319" t="e">
        <f t="shared" si="25"/>
        <v>#DIV/0!</v>
      </c>
      <c r="J319" s="11" t="e">
        <f t="shared" si="23"/>
        <v>#DIV/0!</v>
      </c>
    </row>
    <row r="320" spans="1:10" ht="16" thickBot="1" x14ac:dyDescent="0.25">
      <c r="A320" s="21"/>
      <c r="B320" s="15" t="s">
        <v>22</v>
      </c>
      <c r="C320" s="24"/>
      <c r="D320" s="13"/>
      <c r="E320" s="13"/>
      <c r="F320" s="13"/>
      <c r="G320" s="13"/>
      <c r="H320" s="13" t="e">
        <f t="shared" si="24"/>
        <v>#DIV/0!</v>
      </c>
      <c r="I320" s="13" t="e">
        <f t="shared" si="25"/>
        <v>#DIV/0!</v>
      </c>
      <c r="J320" s="14" t="e">
        <f t="shared" si="23"/>
        <v>#DIV/0!</v>
      </c>
    </row>
    <row r="321" spans="1:10" ht="16" thickBot="1" x14ac:dyDescent="0.25">
      <c r="A321" s="44" t="s">
        <v>1</v>
      </c>
      <c r="B321" s="33"/>
      <c r="C321" s="33"/>
      <c r="D321" s="33" t="s">
        <v>35</v>
      </c>
      <c r="E321" s="34"/>
      <c r="F321" s="9" t="s">
        <v>0</v>
      </c>
      <c r="G321" s="18">
        <v>44180</v>
      </c>
      <c r="H321" s="35" t="s">
        <v>24</v>
      </c>
      <c r="I321" s="36"/>
      <c r="J321" s="1">
        <v>90</v>
      </c>
    </row>
    <row r="322" spans="1:10" ht="16" thickBot="1" x14ac:dyDescent="0.25">
      <c r="A322" s="37" t="s">
        <v>2</v>
      </c>
      <c r="B322" s="38"/>
      <c r="C322" s="38"/>
      <c r="D322" s="38"/>
      <c r="E322" s="39"/>
      <c r="F322" s="40"/>
      <c r="G322" s="41"/>
      <c r="H322" s="42" t="s">
        <v>25</v>
      </c>
      <c r="I322" s="43"/>
      <c r="J322" s="2">
        <v>13</v>
      </c>
    </row>
    <row r="323" spans="1:10" ht="16" thickBot="1" x14ac:dyDescent="0.25">
      <c r="A323" s="45" t="s">
        <v>27</v>
      </c>
      <c r="B323" s="27"/>
      <c r="C323" s="27"/>
      <c r="D323" s="27" t="s">
        <v>33</v>
      </c>
      <c r="E323" s="28"/>
      <c r="F323" s="16" t="s">
        <v>30</v>
      </c>
      <c r="G323" s="16">
        <v>3.81</v>
      </c>
      <c r="H323" s="29" t="s">
        <v>26</v>
      </c>
      <c r="I323" s="30"/>
      <c r="J323" s="3">
        <v>26</v>
      </c>
    </row>
    <row r="324" spans="1:10" x14ac:dyDescent="0.2">
      <c r="A324" s="31"/>
      <c r="B324" s="32"/>
      <c r="C324" s="16" t="s">
        <v>29</v>
      </c>
      <c r="D324" s="16" t="s">
        <v>19</v>
      </c>
      <c r="E324" s="16" t="s">
        <v>15</v>
      </c>
      <c r="F324" s="16" t="s">
        <v>18</v>
      </c>
      <c r="G324" s="16" t="s">
        <v>17</v>
      </c>
      <c r="H324" s="16" t="s">
        <v>28</v>
      </c>
      <c r="I324" s="16" t="s">
        <v>16</v>
      </c>
      <c r="J324" s="17" t="s">
        <v>23</v>
      </c>
    </row>
    <row r="325" spans="1:10" x14ac:dyDescent="0.2">
      <c r="A325" s="19" t="s">
        <v>3</v>
      </c>
      <c r="B325" s="5" t="s">
        <v>20</v>
      </c>
      <c r="C325" s="22">
        <v>10</v>
      </c>
      <c r="D325" s="4"/>
      <c r="E325" s="4">
        <v>1.716</v>
      </c>
      <c r="F325" s="4">
        <v>3.492</v>
      </c>
      <c r="G325" s="4">
        <v>4.32</v>
      </c>
      <c r="H325" s="4">
        <f>(F325-(G325-E325))/F325</f>
        <v>0.25429553264604809</v>
      </c>
      <c r="I325" s="4">
        <f>D325-H325*D325</f>
        <v>0</v>
      </c>
      <c r="J325" s="10">
        <f t="shared" ref="J325:J360" si="26">I325/($G$3^2*C325*PI())</f>
        <v>0</v>
      </c>
    </row>
    <row r="326" spans="1:10" x14ac:dyDescent="0.2">
      <c r="A326" s="20"/>
      <c r="B326" s="6" t="s">
        <v>21</v>
      </c>
      <c r="C326" s="23"/>
      <c r="D326">
        <v>764</v>
      </c>
      <c r="E326">
        <v>1.728</v>
      </c>
      <c r="F326">
        <v>3.5529999999999999</v>
      </c>
      <c r="G326">
        <v>4.3540000000000001</v>
      </c>
      <c r="H326">
        <f t="shared" ref="H326:H360" si="27">(F326-(G326-E326))/F326</f>
        <v>0.26090627638615244</v>
      </c>
      <c r="I326">
        <f t="shared" ref="I326:I360" si="28">D326-H326*D326</f>
        <v>564.66760484097949</v>
      </c>
      <c r="J326" s="11" t="e">
        <f t="shared" si="26"/>
        <v>#DIV/0!</v>
      </c>
    </row>
    <row r="327" spans="1:10" x14ac:dyDescent="0.2">
      <c r="A327" s="25"/>
      <c r="B327" s="8" t="s">
        <v>22</v>
      </c>
      <c r="C327" s="26"/>
      <c r="D327" s="7"/>
      <c r="E327" s="7">
        <v>1.72</v>
      </c>
      <c r="F327" s="7">
        <v>3.6859999999999999</v>
      </c>
      <c r="G327" s="7">
        <v>4.45</v>
      </c>
      <c r="H327" s="7">
        <f t="shared" si="27"/>
        <v>0.25935973955507313</v>
      </c>
      <c r="I327" s="7">
        <f t="shared" si="28"/>
        <v>0</v>
      </c>
      <c r="J327" s="12" t="e">
        <f t="shared" si="26"/>
        <v>#DIV/0!</v>
      </c>
    </row>
    <row r="328" spans="1:10" x14ac:dyDescent="0.2">
      <c r="A328" s="19" t="s">
        <v>4</v>
      </c>
      <c r="B328" s="5" t="s">
        <v>20</v>
      </c>
      <c r="C328" s="23">
        <v>10</v>
      </c>
      <c r="E328">
        <v>1.744</v>
      </c>
      <c r="F328">
        <v>3.3159999999999998</v>
      </c>
      <c r="G328">
        <v>4.3630000000000004</v>
      </c>
      <c r="H328" s="4">
        <f t="shared" si="27"/>
        <v>0.21019300361881763</v>
      </c>
      <c r="I328" s="4">
        <f t="shared" si="28"/>
        <v>0</v>
      </c>
      <c r="J328" s="10">
        <f t="shared" si="26"/>
        <v>0</v>
      </c>
    </row>
    <row r="329" spans="1:10" x14ac:dyDescent="0.2">
      <c r="A329" s="20"/>
      <c r="B329" s="6" t="s">
        <v>21</v>
      </c>
      <c r="C329" s="23"/>
      <c r="D329">
        <v>824</v>
      </c>
      <c r="E329">
        <v>1.7370000000000001</v>
      </c>
      <c r="F329">
        <v>3.2730000000000001</v>
      </c>
      <c r="G329">
        <v>4.3099999999999996</v>
      </c>
      <c r="H329">
        <f t="shared" si="27"/>
        <v>0.21387106630003072</v>
      </c>
      <c r="I329">
        <f t="shared" si="28"/>
        <v>647.77024136877469</v>
      </c>
      <c r="J329" s="11" t="e">
        <f t="shared" si="26"/>
        <v>#DIV/0!</v>
      </c>
    </row>
    <row r="330" spans="1:10" x14ac:dyDescent="0.2">
      <c r="A330" s="25"/>
      <c r="B330" s="8" t="s">
        <v>22</v>
      </c>
      <c r="C330" s="26"/>
      <c r="D330" s="7"/>
      <c r="E330" s="7">
        <v>1.7190000000000001</v>
      </c>
      <c r="F330" s="7">
        <v>3.577</v>
      </c>
      <c r="G330" s="7">
        <v>4.7709999999999999</v>
      </c>
      <c r="H330" s="7">
        <f t="shared" si="27"/>
        <v>0.14677103718199619</v>
      </c>
      <c r="I330" s="7">
        <f t="shared" si="28"/>
        <v>0</v>
      </c>
      <c r="J330" s="12" t="e">
        <f t="shared" si="26"/>
        <v>#DIV/0!</v>
      </c>
    </row>
    <row r="331" spans="1:10" x14ac:dyDescent="0.2">
      <c r="A331" s="19" t="s">
        <v>5</v>
      </c>
      <c r="B331" s="5" t="s">
        <v>20</v>
      </c>
      <c r="C331" s="22">
        <v>10</v>
      </c>
      <c r="D331" s="4"/>
      <c r="E331" s="4">
        <v>1.7250000000000001</v>
      </c>
      <c r="F331" s="4">
        <v>3.2679999999999998</v>
      </c>
      <c r="G331" s="4">
        <v>4.3250000000000002</v>
      </c>
      <c r="H331" s="4">
        <f t="shared" si="27"/>
        <v>0.20440636474908194</v>
      </c>
      <c r="I331" s="4">
        <f t="shared" si="28"/>
        <v>0</v>
      </c>
      <c r="J331" s="10">
        <f t="shared" si="26"/>
        <v>0</v>
      </c>
    </row>
    <row r="332" spans="1:10" x14ac:dyDescent="0.2">
      <c r="A332" s="20"/>
      <c r="B332" s="6" t="s">
        <v>21</v>
      </c>
      <c r="C332" s="23"/>
      <c r="D332">
        <v>919</v>
      </c>
      <c r="E332">
        <v>1.736</v>
      </c>
      <c r="F332">
        <v>3.4289999999999998</v>
      </c>
      <c r="G332">
        <v>4.4260000000000002</v>
      </c>
      <c r="H332">
        <f t="shared" si="27"/>
        <v>0.2155147273257508</v>
      </c>
      <c r="I332">
        <f t="shared" si="28"/>
        <v>720.94196558763497</v>
      </c>
      <c r="J332" s="11" t="e">
        <f t="shared" si="26"/>
        <v>#DIV/0!</v>
      </c>
    </row>
    <row r="333" spans="1:10" x14ac:dyDescent="0.2">
      <c r="A333" s="25"/>
      <c r="B333" s="8" t="s">
        <v>22</v>
      </c>
      <c r="C333" s="26"/>
      <c r="D333" s="7"/>
      <c r="E333" s="7">
        <v>1.7310000000000001</v>
      </c>
      <c r="F333" s="7">
        <v>3.22</v>
      </c>
      <c r="G333" s="7">
        <v>4.3239999999999998</v>
      </c>
      <c r="H333" s="7">
        <f t="shared" si="27"/>
        <v>0.19472049689440998</v>
      </c>
      <c r="I333" s="7">
        <f t="shared" si="28"/>
        <v>0</v>
      </c>
      <c r="J333" s="12" t="e">
        <f t="shared" si="26"/>
        <v>#DIV/0!</v>
      </c>
    </row>
    <row r="334" spans="1:10" x14ac:dyDescent="0.2">
      <c r="A334" s="19" t="s">
        <v>6</v>
      </c>
      <c r="B334" s="5" t="s">
        <v>20</v>
      </c>
      <c r="C334" s="22">
        <v>10</v>
      </c>
      <c r="D334" s="4"/>
      <c r="E334" s="4">
        <v>1.722</v>
      </c>
      <c r="F334" s="4">
        <v>3.367</v>
      </c>
      <c r="G334" s="4">
        <v>4.4400000000000004</v>
      </c>
      <c r="H334" s="4">
        <f t="shared" si="27"/>
        <v>0.19275319275319264</v>
      </c>
      <c r="I334" s="4">
        <f t="shared" si="28"/>
        <v>0</v>
      </c>
      <c r="J334" s="10">
        <f t="shared" si="26"/>
        <v>0</v>
      </c>
    </row>
    <row r="335" spans="1:10" x14ac:dyDescent="0.2">
      <c r="A335" s="20"/>
      <c r="B335" s="6" t="s">
        <v>21</v>
      </c>
      <c r="C335" s="23"/>
      <c r="D335">
        <v>836</v>
      </c>
      <c r="E335">
        <v>1.698</v>
      </c>
      <c r="F335">
        <v>3.3479999999999999</v>
      </c>
      <c r="G335">
        <v>4.3929999999999998</v>
      </c>
      <c r="H335">
        <f t="shared" si="27"/>
        <v>0.19504181600955797</v>
      </c>
      <c r="I335">
        <f t="shared" si="28"/>
        <v>672.94504181600951</v>
      </c>
      <c r="J335" s="11" t="e">
        <f t="shared" si="26"/>
        <v>#DIV/0!</v>
      </c>
    </row>
    <row r="336" spans="1:10" x14ac:dyDescent="0.2">
      <c r="A336" s="25"/>
      <c r="B336" s="8" t="s">
        <v>22</v>
      </c>
      <c r="C336" s="26"/>
      <c r="D336" s="7"/>
      <c r="E336" s="7">
        <v>1.724</v>
      </c>
      <c r="F336" s="7">
        <v>3.1659999999999999</v>
      </c>
      <c r="G336" s="7">
        <v>4.3170000000000002</v>
      </c>
      <c r="H336" s="7">
        <f t="shared" si="27"/>
        <v>0.1809854706253948</v>
      </c>
      <c r="I336" s="7">
        <f t="shared" si="28"/>
        <v>0</v>
      </c>
      <c r="J336" s="12" t="e">
        <f t="shared" si="26"/>
        <v>#DIV/0!</v>
      </c>
    </row>
    <row r="337" spans="1:10" x14ac:dyDescent="0.2">
      <c r="A337" s="19" t="s">
        <v>7</v>
      </c>
      <c r="B337" s="5" t="s">
        <v>20</v>
      </c>
      <c r="C337" s="22">
        <v>10</v>
      </c>
      <c r="D337" s="4"/>
      <c r="E337" s="4">
        <v>1.728</v>
      </c>
      <c r="F337" s="4">
        <v>3.9769999999999999</v>
      </c>
      <c r="G337" s="4">
        <v>4.9489999999999998</v>
      </c>
      <c r="H337" s="4">
        <f t="shared" si="27"/>
        <v>0.19009303495096802</v>
      </c>
      <c r="I337" s="4">
        <f t="shared" si="28"/>
        <v>0</v>
      </c>
      <c r="J337" s="10">
        <f t="shared" si="26"/>
        <v>0</v>
      </c>
    </row>
    <row r="338" spans="1:10" x14ac:dyDescent="0.2">
      <c r="A338" s="20"/>
      <c r="B338" s="6" t="s">
        <v>21</v>
      </c>
      <c r="C338" s="23"/>
      <c r="D338">
        <v>804</v>
      </c>
      <c r="E338">
        <v>1.7150000000000001</v>
      </c>
      <c r="F338">
        <v>3.0270000000000001</v>
      </c>
      <c r="G338">
        <v>4.2130000000000001</v>
      </c>
      <c r="H338">
        <f t="shared" si="27"/>
        <v>0.17476048893293686</v>
      </c>
      <c r="I338">
        <f t="shared" si="28"/>
        <v>663.49256689791878</v>
      </c>
      <c r="J338" s="11" t="e">
        <f t="shared" si="26"/>
        <v>#DIV/0!</v>
      </c>
    </row>
    <row r="339" spans="1:10" x14ac:dyDescent="0.2">
      <c r="A339" s="25"/>
      <c r="B339" s="8" t="s">
        <v>22</v>
      </c>
      <c r="C339" s="26"/>
      <c r="D339" s="7"/>
      <c r="E339" s="7">
        <v>1.7270000000000001</v>
      </c>
      <c r="F339" s="7">
        <v>3.5760000000000001</v>
      </c>
      <c r="G339" s="7">
        <v>4.6219999999999999</v>
      </c>
      <c r="H339" s="7">
        <f t="shared" si="27"/>
        <v>0.19043624161073838</v>
      </c>
      <c r="I339" s="7">
        <f t="shared" si="28"/>
        <v>0</v>
      </c>
      <c r="J339" s="12" t="e">
        <f t="shared" si="26"/>
        <v>#DIV/0!</v>
      </c>
    </row>
    <row r="340" spans="1:10" x14ac:dyDescent="0.2">
      <c r="A340" s="19" t="s">
        <v>8</v>
      </c>
      <c r="B340" s="5" t="s">
        <v>20</v>
      </c>
      <c r="C340" s="22">
        <v>10</v>
      </c>
      <c r="D340" s="4"/>
      <c r="E340" s="4">
        <v>1.7330000000000001</v>
      </c>
      <c r="F340" s="4">
        <v>3.9039999999999999</v>
      </c>
      <c r="G340" s="4">
        <v>5</v>
      </c>
      <c r="H340" s="4">
        <f t="shared" si="27"/>
        <v>0.16316598360655737</v>
      </c>
      <c r="I340" s="4">
        <f t="shared" si="28"/>
        <v>0</v>
      </c>
      <c r="J340" s="10">
        <f t="shared" si="26"/>
        <v>0</v>
      </c>
    </row>
    <row r="341" spans="1:10" x14ac:dyDescent="0.2">
      <c r="A341" s="20"/>
      <c r="B341" s="6" t="s">
        <v>21</v>
      </c>
      <c r="C341" s="23"/>
      <c r="D341">
        <v>744</v>
      </c>
      <c r="E341">
        <v>1.738</v>
      </c>
      <c r="F341">
        <v>3.3420000000000001</v>
      </c>
      <c r="G341">
        <v>4.4740000000000002</v>
      </c>
      <c r="H341">
        <f t="shared" si="27"/>
        <v>0.18132854578096944</v>
      </c>
      <c r="I341">
        <f t="shared" si="28"/>
        <v>609.09156193895876</v>
      </c>
      <c r="J341" s="11" t="e">
        <f t="shared" si="26"/>
        <v>#DIV/0!</v>
      </c>
    </row>
    <row r="342" spans="1:10" x14ac:dyDescent="0.2">
      <c r="A342" s="25"/>
      <c r="B342" s="8" t="s">
        <v>22</v>
      </c>
      <c r="C342" s="26"/>
      <c r="D342" s="7"/>
      <c r="E342" s="7">
        <v>1.728</v>
      </c>
      <c r="F342" s="7">
        <v>3.7949999999999999</v>
      </c>
      <c r="G342" s="7">
        <v>4.8129999999999997</v>
      </c>
      <c r="H342" s="7">
        <f t="shared" si="27"/>
        <v>0.18708827404479578</v>
      </c>
      <c r="I342" s="7">
        <f t="shared" si="28"/>
        <v>0</v>
      </c>
      <c r="J342" s="12" t="e">
        <f t="shared" si="26"/>
        <v>#DIV/0!</v>
      </c>
    </row>
    <row r="343" spans="1:10" x14ac:dyDescent="0.2">
      <c r="A343" s="19" t="s">
        <v>9</v>
      </c>
      <c r="B343" s="5" t="s">
        <v>20</v>
      </c>
      <c r="C343" s="22">
        <v>10</v>
      </c>
      <c r="D343" s="4"/>
      <c r="E343" s="4">
        <v>1.7050000000000001</v>
      </c>
      <c r="F343" s="4">
        <v>3.0870000000000002</v>
      </c>
      <c r="G343" s="4">
        <v>4.2789999999999999</v>
      </c>
      <c r="H343" s="4">
        <f t="shared" si="27"/>
        <v>0.16618075801749282</v>
      </c>
      <c r="I343" s="4">
        <f t="shared" si="28"/>
        <v>0</v>
      </c>
      <c r="J343" s="10">
        <f t="shared" si="26"/>
        <v>0</v>
      </c>
    </row>
    <row r="344" spans="1:10" x14ac:dyDescent="0.2">
      <c r="A344" s="20"/>
      <c r="B344" s="6" t="s">
        <v>21</v>
      </c>
      <c r="C344" s="23"/>
      <c r="D344">
        <v>550</v>
      </c>
      <c r="E344">
        <v>1.7230000000000001</v>
      </c>
      <c r="F344">
        <v>3.0310000000000001</v>
      </c>
      <c r="G344">
        <v>4.1189999999999998</v>
      </c>
      <c r="H344">
        <f t="shared" si="27"/>
        <v>0.20950181458264605</v>
      </c>
      <c r="I344">
        <f t="shared" si="28"/>
        <v>434.77400197954466</v>
      </c>
      <c r="J344" s="11" t="e">
        <f t="shared" si="26"/>
        <v>#DIV/0!</v>
      </c>
    </row>
    <row r="345" spans="1:10" x14ac:dyDescent="0.2">
      <c r="A345" s="25"/>
      <c r="B345" s="8" t="s">
        <v>22</v>
      </c>
      <c r="C345" s="26"/>
      <c r="D345" s="7"/>
      <c r="E345" s="7">
        <v>1.7230000000000001</v>
      </c>
      <c r="F345" s="7">
        <v>3.7330000000000001</v>
      </c>
      <c r="G345" s="7">
        <v>4.7699999999999996</v>
      </c>
      <c r="H345" s="7">
        <f t="shared" si="27"/>
        <v>0.18376640771497466</v>
      </c>
      <c r="I345" s="7">
        <f t="shared" si="28"/>
        <v>0</v>
      </c>
      <c r="J345" s="12" t="e">
        <f t="shared" si="26"/>
        <v>#DIV/0!</v>
      </c>
    </row>
    <row r="346" spans="1:10" x14ac:dyDescent="0.2">
      <c r="A346" s="19" t="s">
        <v>10</v>
      </c>
      <c r="B346" s="5" t="s">
        <v>20</v>
      </c>
      <c r="C346" s="22">
        <v>10</v>
      </c>
      <c r="D346" s="4"/>
      <c r="E346" s="4">
        <v>1.7210000000000001</v>
      </c>
      <c r="F346" s="4">
        <v>3.18</v>
      </c>
      <c r="G346" s="4">
        <v>4.2629999999999999</v>
      </c>
      <c r="H346" s="4">
        <f t="shared" si="27"/>
        <v>0.20062893081761016</v>
      </c>
      <c r="I346" s="4">
        <f t="shared" si="28"/>
        <v>0</v>
      </c>
      <c r="J346" s="10">
        <f t="shared" si="26"/>
        <v>0</v>
      </c>
    </row>
    <row r="347" spans="1:10" x14ac:dyDescent="0.2">
      <c r="A347" s="20"/>
      <c r="B347" s="6" t="s">
        <v>21</v>
      </c>
      <c r="C347" s="23"/>
      <c r="D347">
        <v>881</v>
      </c>
      <c r="E347">
        <v>1.7370000000000001</v>
      </c>
      <c r="F347">
        <v>3.528</v>
      </c>
      <c r="G347">
        <v>4.694</v>
      </c>
      <c r="H347">
        <f t="shared" si="27"/>
        <v>0.16184807256235834</v>
      </c>
      <c r="I347">
        <f t="shared" si="28"/>
        <v>738.41184807256229</v>
      </c>
      <c r="J347" s="11" t="e">
        <f t="shared" si="26"/>
        <v>#DIV/0!</v>
      </c>
    </row>
    <row r="348" spans="1:10" x14ac:dyDescent="0.2">
      <c r="A348" s="25"/>
      <c r="B348" s="8" t="s">
        <v>22</v>
      </c>
      <c r="C348" s="26"/>
      <c r="D348" s="7"/>
      <c r="E348" s="7">
        <v>1.718</v>
      </c>
      <c r="F348" s="7">
        <v>3.1909999999999998</v>
      </c>
      <c r="G348" s="7">
        <v>4.3369999999999997</v>
      </c>
      <c r="H348" s="7">
        <f t="shared" si="27"/>
        <v>0.1792541523033532</v>
      </c>
      <c r="I348" s="7">
        <f t="shared" si="28"/>
        <v>0</v>
      </c>
      <c r="J348" s="12" t="e">
        <f t="shared" si="26"/>
        <v>#DIV/0!</v>
      </c>
    </row>
    <row r="349" spans="1:10" x14ac:dyDescent="0.2">
      <c r="A349" s="19" t="s">
        <v>11</v>
      </c>
      <c r="B349" s="5" t="s">
        <v>20</v>
      </c>
      <c r="C349" s="22">
        <v>10</v>
      </c>
      <c r="D349" s="4"/>
      <c r="E349" s="4">
        <v>1.7250000000000001</v>
      </c>
      <c r="F349" s="4">
        <v>3.177</v>
      </c>
      <c r="G349" s="4">
        <v>4.4729999999999999</v>
      </c>
      <c r="H349" s="4">
        <f t="shared" si="27"/>
        <v>0.13503305004721444</v>
      </c>
      <c r="I349" s="4">
        <f t="shared" si="28"/>
        <v>0</v>
      </c>
      <c r="J349" s="10">
        <f t="shared" si="26"/>
        <v>0</v>
      </c>
    </row>
    <row r="350" spans="1:10" x14ac:dyDescent="0.2">
      <c r="A350" s="20"/>
      <c r="B350" s="6" t="s">
        <v>21</v>
      </c>
      <c r="C350" s="23"/>
      <c r="D350">
        <v>798</v>
      </c>
      <c r="E350">
        <v>1.734</v>
      </c>
      <c r="F350">
        <v>3.2389999999999999</v>
      </c>
      <c r="G350">
        <v>4.5179999999999998</v>
      </c>
      <c r="H350">
        <f t="shared" si="27"/>
        <v>0.14047545538746528</v>
      </c>
      <c r="I350">
        <f t="shared" si="28"/>
        <v>685.90058660080274</v>
      </c>
      <c r="J350" s="11" t="e">
        <f t="shared" si="26"/>
        <v>#DIV/0!</v>
      </c>
    </row>
    <row r="351" spans="1:10" x14ac:dyDescent="0.2">
      <c r="A351" s="25"/>
      <c r="B351" s="8" t="s">
        <v>22</v>
      </c>
      <c r="C351" s="26"/>
      <c r="D351" s="7"/>
      <c r="E351" s="7">
        <v>1.72</v>
      </c>
      <c r="F351" s="7">
        <v>3.0640000000000001</v>
      </c>
      <c r="G351" s="7">
        <v>4.3559999999999999</v>
      </c>
      <c r="H351" s="7">
        <f t="shared" si="27"/>
        <v>0.13968668407310703</v>
      </c>
      <c r="I351" s="7">
        <f t="shared" si="28"/>
        <v>0</v>
      </c>
      <c r="J351" s="12" t="e">
        <f t="shared" si="26"/>
        <v>#DIV/0!</v>
      </c>
    </row>
    <row r="352" spans="1:10" x14ac:dyDescent="0.2">
      <c r="A352" s="19" t="s">
        <v>12</v>
      </c>
      <c r="B352" s="5" t="s">
        <v>20</v>
      </c>
      <c r="C352" s="22">
        <v>10</v>
      </c>
      <c r="D352" s="4"/>
      <c r="E352" s="4"/>
      <c r="F352" s="4"/>
      <c r="G352" s="4"/>
      <c r="H352" s="4" t="e">
        <f t="shared" si="27"/>
        <v>#DIV/0!</v>
      </c>
      <c r="I352" s="4" t="e">
        <f t="shared" si="28"/>
        <v>#DIV/0!</v>
      </c>
      <c r="J352" s="10" t="e">
        <f t="shared" si="26"/>
        <v>#DIV/0!</v>
      </c>
    </row>
    <row r="353" spans="1:10" x14ac:dyDescent="0.2">
      <c r="A353" s="20"/>
      <c r="B353" s="6" t="s">
        <v>21</v>
      </c>
      <c r="C353" s="23"/>
      <c r="H353" t="e">
        <f t="shared" si="27"/>
        <v>#DIV/0!</v>
      </c>
      <c r="I353" t="e">
        <f t="shared" si="28"/>
        <v>#DIV/0!</v>
      </c>
      <c r="J353" s="11" t="e">
        <f t="shared" si="26"/>
        <v>#DIV/0!</v>
      </c>
    </row>
    <row r="354" spans="1:10" x14ac:dyDescent="0.2">
      <c r="A354" s="25"/>
      <c r="B354" s="8" t="s">
        <v>22</v>
      </c>
      <c r="C354" s="26"/>
      <c r="D354" s="7"/>
      <c r="E354" s="7"/>
      <c r="F354" s="7"/>
      <c r="G354" s="7"/>
      <c r="H354" s="7" t="e">
        <f t="shared" si="27"/>
        <v>#DIV/0!</v>
      </c>
      <c r="I354" s="7" t="e">
        <f t="shared" si="28"/>
        <v>#DIV/0!</v>
      </c>
      <c r="J354" s="12" t="e">
        <f t="shared" si="26"/>
        <v>#DIV/0!</v>
      </c>
    </row>
    <row r="355" spans="1:10" x14ac:dyDescent="0.2">
      <c r="A355" s="19" t="s">
        <v>13</v>
      </c>
      <c r="B355" s="5" t="s">
        <v>20</v>
      </c>
      <c r="C355" s="22">
        <v>10</v>
      </c>
      <c r="D355" s="4"/>
      <c r="E355" s="4"/>
      <c r="F355" s="4"/>
      <c r="G355" s="4"/>
      <c r="H355" s="4" t="e">
        <f t="shared" si="27"/>
        <v>#DIV/0!</v>
      </c>
      <c r="I355" s="4" t="e">
        <f t="shared" si="28"/>
        <v>#DIV/0!</v>
      </c>
      <c r="J355" s="10" t="e">
        <f t="shared" si="26"/>
        <v>#DIV/0!</v>
      </c>
    </row>
    <row r="356" spans="1:10" x14ac:dyDescent="0.2">
      <c r="A356" s="20"/>
      <c r="B356" s="6" t="s">
        <v>21</v>
      </c>
      <c r="C356" s="23"/>
      <c r="H356" t="e">
        <f t="shared" si="27"/>
        <v>#DIV/0!</v>
      </c>
      <c r="I356" t="e">
        <f t="shared" si="28"/>
        <v>#DIV/0!</v>
      </c>
      <c r="J356" s="11" t="e">
        <f t="shared" si="26"/>
        <v>#DIV/0!</v>
      </c>
    </row>
    <row r="357" spans="1:10" x14ac:dyDescent="0.2">
      <c r="A357" s="25"/>
      <c r="B357" s="8" t="s">
        <v>22</v>
      </c>
      <c r="C357" s="26"/>
      <c r="D357" s="7"/>
      <c r="E357" s="7"/>
      <c r="F357" s="7"/>
      <c r="G357" s="7"/>
      <c r="H357" s="7" t="e">
        <f t="shared" si="27"/>
        <v>#DIV/0!</v>
      </c>
      <c r="I357" s="7" t="e">
        <f t="shared" si="28"/>
        <v>#DIV/0!</v>
      </c>
      <c r="J357" s="12" t="e">
        <f t="shared" si="26"/>
        <v>#DIV/0!</v>
      </c>
    </row>
    <row r="358" spans="1:10" x14ac:dyDescent="0.2">
      <c r="A358" s="19" t="s">
        <v>14</v>
      </c>
      <c r="B358" s="5" t="s">
        <v>20</v>
      </c>
      <c r="C358" s="22">
        <v>10</v>
      </c>
      <c r="D358" s="4"/>
      <c r="E358" s="4"/>
      <c r="F358" s="4"/>
      <c r="G358" s="4"/>
      <c r="H358" s="4" t="e">
        <f t="shared" si="27"/>
        <v>#DIV/0!</v>
      </c>
      <c r="I358" s="4" t="e">
        <f t="shared" si="28"/>
        <v>#DIV/0!</v>
      </c>
      <c r="J358" s="10" t="e">
        <f t="shared" si="26"/>
        <v>#DIV/0!</v>
      </c>
    </row>
    <row r="359" spans="1:10" x14ac:dyDescent="0.2">
      <c r="A359" s="20"/>
      <c r="B359" s="6" t="s">
        <v>21</v>
      </c>
      <c r="C359" s="23"/>
      <c r="H359" t="e">
        <f t="shared" si="27"/>
        <v>#DIV/0!</v>
      </c>
      <c r="I359" t="e">
        <f t="shared" si="28"/>
        <v>#DIV/0!</v>
      </c>
      <c r="J359" s="11" t="e">
        <f t="shared" si="26"/>
        <v>#DIV/0!</v>
      </c>
    </row>
    <row r="360" spans="1:10" ht="16" thickBot="1" x14ac:dyDescent="0.25">
      <c r="A360" s="21"/>
      <c r="B360" s="15" t="s">
        <v>22</v>
      </c>
      <c r="C360" s="24"/>
      <c r="D360" s="13"/>
      <c r="E360" s="13"/>
      <c r="F360" s="13"/>
      <c r="G360" s="13"/>
      <c r="H360" s="13" t="e">
        <f t="shared" si="27"/>
        <v>#DIV/0!</v>
      </c>
      <c r="I360" s="13" t="e">
        <f t="shared" si="28"/>
        <v>#DIV/0!</v>
      </c>
      <c r="J360" s="14" t="e">
        <f t="shared" si="26"/>
        <v>#DIV/0!</v>
      </c>
    </row>
    <row r="361" spans="1:10" ht="16" thickBot="1" x14ac:dyDescent="0.25">
      <c r="A361" s="44" t="s">
        <v>1</v>
      </c>
      <c r="B361" s="33"/>
      <c r="C361" s="33"/>
      <c r="D361" s="33" t="s">
        <v>37</v>
      </c>
      <c r="E361" s="34"/>
      <c r="F361" s="9" t="s">
        <v>0</v>
      </c>
      <c r="G361" s="18">
        <v>44180</v>
      </c>
      <c r="H361" s="35" t="s">
        <v>24</v>
      </c>
      <c r="I361" s="36"/>
      <c r="J361" s="1">
        <v>110</v>
      </c>
    </row>
    <row r="362" spans="1:10" ht="16" thickBot="1" x14ac:dyDescent="0.25">
      <c r="A362" s="37" t="s">
        <v>2</v>
      </c>
      <c r="B362" s="38"/>
      <c r="C362" s="38"/>
      <c r="D362" s="38"/>
      <c r="E362" s="39"/>
      <c r="F362" s="40"/>
      <c r="G362" s="41"/>
      <c r="H362" s="42" t="s">
        <v>25</v>
      </c>
      <c r="I362" s="43"/>
      <c r="J362" s="2">
        <v>11</v>
      </c>
    </row>
    <row r="363" spans="1:10" ht="16" thickBot="1" x14ac:dyDescent="0.25">
      <c r="A363" s="45" t="s">
        <v>27</v>
      </c>
      <c r="B363" s="27"/>
      <c r="C363" s="27"/>
      <c r="D363" s="27" t="s">
        <v>36</v>
      </c>
      <c r="E363" s="28"/>
      <c r="F363" s="16" t="s">
        <v>30</v>
      </c>
      <c r="G363" s="16">
        <v>3.81</v>
      </c>
      <c r="H363" s="29" t="s">
        <v>26</v>
      </c>
      <c r="I363" s="30"/>
      <c r="J363" s="3">
        <v>30</v>
      </c>
    </row>
    <row r="364" spans="1:10" x14ac:dyDescent="0.2">
      <c r="A364" s="31"/>
      <c r="B364" s="32"/>
      <c r="C364" s="16" t="s">
        <v>29</v>
      </c>
      <c r="D364" s="16" t="s">
        <v>19</v>
      </c>
      <c r="E364" s="16" t="s">
        <v>15</v>
      </c>
      <c r="F364" s="16" t="s">
        <v>18</v>
      </c>
      <c r="G364" s="16" t="s">
        <v>17</v>
      </c>
      <c r="H364" s="16" t="s">
        <v>28</v>
      </c>
      <c r="I364" s="16" t="s">
        <v>16</v>
      </c>
      <c r="J364" s="17" t="s">
        <v>23</v>
      </c>
    </row>
    <row r="365" spans="1:10" x14ac:dyDescent="0.2">
      <c r="A365" s="19" t="s">
        <v>3</v>
      </c>
      <c r="B365" s="5" t="s">
        <v>20</v>
      </c>
      <c r="C365" s="22">
        <v>10</v>
      </c>
      <c r="D365" s="4"/>
      <c r="E365" s="4">
        <v>2.44</v>
      </c>
      <c r="F365" s="4">
        <v>3.6469999999999998</v>
      </c>
      <c r="G365" s="4">
        <v>5.0339999999999998</v>
      </c>
      <c r="H365" s="4">
        <f>(F365-(G365-E365))/F365</f>
        <v>0.28873046339457087</v>
      </c>
      <c r="I365" s="4">
        <f>D365-H365*D365</f>
        <v>0</v>
      </c>
      <c r="J365" s="10">
        <f t="shared" ref="J365:J400" si="29">I365/($G$3^2*C365*PI())</f>
        <v>0</v>
      </c>
    </row>
    <row r="366" spans="1:10" x14ac:dyDescent="0.2">
      <c r="A366" s="20"/>
      <c r="B366" s="6" t="s">
        <v>21</v>
      </c>
      <c r="C366" s="23"/>
      <c r="D366">
        <v>706</v>
      </c>
      <c r="E366">
        <v>2.48</v>
      </c>
      <c r="F366">
        <v>3.839</v>
      </c>
      <c r="G366">
        <v>5.226</v>
      </c>
      <c r="H366">
        <f t="shared" ref="H366:H400" si="30">(F366-(G366-E366))/F366</f>
        <v>0.284709559781193</v>
      </c>
      <c r="I366">
        <f t="shared" ref="I366:I400" si="31">D366-H366*D366</f>
        <v>504.99505079447772</v>
      </c>
      <c r="J366" s="11" t="e">
        <f t="shared" si="29"/>
        <v>#DIV/0!</v>
      </c>
    </row>
    <row r="367" spans="1:10" x14ac:dyDescent="0.2">
      <c r="A367" s="25"/>
      <c r="B367" s="8" t="s">
        <v>22</v>
      </c>
      <c r="C367" s="26"/>
      <c r="D367" s="7"/>
      <c r="E367" s="7">
        <v>2.4329999999999998</v>
      </c>
      <c r="F367" s="7">
        <v>3.5920000000000001</v>
      </c>
      <c r="G367" s="7">
        <v>4.9740000000000002</v>
      </c>
      <c r="H367" s="7">
        <f t="shared" si="30"/>
        <v>0.29259465478841862</v>
      </c>
      <c r="I367" s="7">
        <f t="shared" si="31"/>
        <v>0</v>
      </c>
      <c r="J367" s="12" t="e">
        <f t="shared" si="29"/>
        <v>#DIV/0!</v>
      </c>
    </row>
    <row r="368" spans="1:10" x14ac:dyDescent="0.2">
      <c r="A368" s="19" t="s">
        <v>4</v>
      </c>
      <c r="B368" s="5" t="s">
        <v>20</v>
      </c>
      <c r="C368" s="23">
        <v>10</v>
      </c>
      <c r="E368">
        <v>2.4489999999999998</v>
      </c>
      <c r="F368">
        <v>3.7109999999999999</v>
      </c>
      <c r="G368">
        <v>5.2039999999999997</v>
      </c>
      <c r="H368" s="4">
        <f t="shared" si="30"/>
        <v>0.25761250336836433</v>
      </c>
      <c r="I368" s="4">
        <f t="shared" si="31"/>
        <v>0</v>
      </c>
      <c r="J368" s="10">
        <f t="shared" si="29"/>
        <v>0</v>
      </c>
    </row>
    <row r="369" spans="1:10" x14ac:dyDescent="0.2">
      <c r="A369" s="20"/>
      <c r="B369" s="6" t="s">
        <v>21</v>
      </c>
      <c r="C369" s="23"/>
      <c r="D369">
        <v>736</v>
      </c>
      <c r="E369">
        <v>2.4060000000000001</v>
      </c>
      <c r="F369">
        <v>3.2269999999999999</v>
      </c>
      <c r="G369">
        <v>4.8220000000000001</v>
      </c>
      <c r="H369">
        <f t="shared" si="30"/>
        <v>0.25131701270529905</v>
      </c>
      <c r="I369">
        <f t="shared" si="31"/>
        <v>551.03067864889988</v>
      </c>
      <c r="J369" s="11" t="e">
        <f t="shared" si="29"/>
        <v>#DIV/0!</v>
      </c>
    </row>
    <row r="370" spans="1:10" x14ac:dyDescent="0.2">
      <c r="A370" s="25"/>
      <c r="B370" s="8" t="s">
        <v>22</v>
      </c>
      <c r="C370" s="26"/>
      <c r="D370" s="7"/>
      <c r="E370" s="7">
        <v>2.4380000000000002</v>
      </c>
      <c r="F370" s="7">
        <v>3.2709999999999999</v>
      </c>
      <c r="G370" s="7">
        <v>4.8570000000000002</v>
      </c>
      <c r="H370" s="7">
        <f t="shared" si="30"/>
        <v>0.26047080403546313</v>
      </c>
      <c r="I370" s="7">
        <f t="shared" si="31"/>
        <v>0</v>
      </c>
      <c r="J370" s="12" t="e">
        <f t="shared" si="29"/>
        <v>#DIV/0!</v>
      </c>
    </row>
    <row r="371" spans="1:10" x14ac:dyDescent="0.2">
      <c r="A371" s="19" t="s">
        <v>5</v>
      </c>
      <c r="B371" s="5" t="s">
        <v>20</v>
      </c>
      <c r="C371" s="22">
        <v>10</v>
      </c>
      <c r="D371" s="4"/>
      <c r="E371" s="4">
        <v>2.4540000000000002</v>
      </c>
      <c r="F371" s="4">
        <v>3.5409999999999999</v>
      </c>
      <c r="G371" s="4">
        <v>5.1319999999999997</v>
      </c>
      <c r="H371" s="4">
        <f t="shared" si="30"/>
        <v>0.24371646427562849</v>
      </c>
      <c r="I371" s="4">
        <f t="shared" si="31"/>
        <v>0</v>
      </c>
      <c r="J371" s="10">
        <f t="shared" si="29"/>
        <v>0</v>
      </c>
    </row>
    <row r="372" spans="1:10" x14ac:dyDescent="0.2">
      <c r="A372" s="20"/>
      <c r="B372" s="6" t="s">
        <v>21</v>
      </c>
      <c r="C372" s="23"/>
      <c r="D372">
        <v>738</v>
      </c>
      <c r="E372">
        <v>2.4420000000000002</v>
      </c>
      <c r="F372">
        <v>3.7909999999999999</v>
      </c>
      <c r="G372">
        <v>5.3109999999999999</v>
      </c>
      <c r="H372">
        <f t="shared" si="30"/>
        <v>0.2432075969401214</v>
      </c>
      <c r="I372">
        <f t="shared" si="31"/>
        <v>558.51279345819034</v>
      </c>
      <c r="J372" s="11" t="e">
        <f t="shared" si="29"/>
        <v>#DIV/0!</v>
      </c>
    </row>
    <row r="373" spans="1:10" x14ac:dyDescent="0.2">
      <c r="A373" s="25"/>
      <c r="B373" s="8" t="s">
        <v>22</v>
      </c>
      <c r="C373" s="26"/>
      <c r="D373" s="7"/>
      <c r="E373" s="7">
        <v>2.4380000000000002</v>
      </c>
      <c r="F373" s="7">
        <v>3.101</v>
      </c>
      <c r="G373" s="7">
        <v>4.7939999999999996</v>
      </c>
      <c r="H373" s="7">
        <f t="shared" si="30"/>
        <v>0.2402450822315384</v>
      </c>
      <c r="I373" s="7">
        <f t="shared" si="31"/>
        <v>0</v>
      </c>
      <c r="J373" s="12" t="e">
        <f t="shared" si="29"/>
        <v>#DIV/0!</v>
      </c>
    </row>
    <row r="374" spans="1:10" x14ac:dyDescent="0.2">
      <c r="A374" s="19" t="s">
        <v>6</v>
      </c>
      <c r="B374" s="5" t="s">
        <v>20</v>
      </c>
      <c r="C374" s="22">
        <v>10</v>
      </c>
      <c r="D374" s="4"/>
      <c r="E374" s="4">
        <v>2.4329999999999998</v>
      </c>
      <c r="F374" s="4">
        <v>3.5019999999999998</v>
      </c>
      <c r="G374" s="4">
        <v>5.1070000000000002</v>
      </c>
      <c r="H374" s="4">
        <f t="shared" si="30"/>
        <v>0.23643632210165605</v>
      </c>
      <c r="I374" s="4">
        <f t="shared" si="31"/>
        <v>0</v>
      </c>
      <c r="J374" s="10">
        <f t="shared" si="29"/>
        <v>0</v>
      </c>
    </row>
    <row r="375" spans="1:10" x14ac:dyDescent="0.2">
      <c r="A375" s="20"/>
      <c r="B375" s="6" t="s">
        <v>21</v>
      </c>
      <c r="C375" s="23"/>
      <c r="D375">
        <v>788</v>
      </c>
      <c r="E375">
        <v>2.4769999999999999</v>
      </c>
      <c r="F375">
        <v>3.1659999999999999</v>
      </c>
      <c r="G375">
        <v>4.9249999999999998</v>
      </c>
      <c r="H375">
        <f t="shared" si="30"/>
        <v>0.22678458622867972</v>
      </c>
      <c r="I375">
        <f t="shared" si="31"/>
        <v>609.29374605180033</v>
      </c>
      <c r="J375" s="11" t="e">
        <f t="shared" si="29"/>
        <v>#DIV/0!</v>
      </c>
    </row>
    <row r="376" spans="1:10" x14ac:dyDescent="0.2">
      <c r="A376" s="25"/>
      <c r="B376" s="8" t="s">
        <v>22</v>
      </c>
      <c r="C376" s="26"/>
      <c r="D376" s="7"/>
      <c r="E376" s="7">
        <v>2.4350000000000001</v>
      </c>
      <c r="F376" s="7">
        <v>3.7759999999999998</v>
      </c>
      <c r="G376" s="7">
        <v>5.3280000000000003</v>
      </c>
      <c r="H376" s="7">
        <f t="shared" si="30"/>
        <v>0.23384533898305074</v>
      </c>
      <c r="I376" s="7">
        <f t="shared" si="31"/>
        <v>0</v>
      </c>
      <c r="J376" s="12" t="e">
        <f t="shared" si="29"/>
        <v>#DIV/0!</v>
      </c>
    </row>
    <row r="377" spans="1:10" x14ac:dyDescent="0.2">
      <c r="A377" s="19" t="s">
        <v>7</v>
      </c>
      <c r="B377" s="5" t="s">
        <v>20</v>
      </c>
      <c r="C377" s="22">
        <v>10</v>
      </c>
      <c r="D377" s="4"/>
      <c r="E377" s="4">
        <v>2.4489999999999998</v>
      </c>
      <c r="F377" s="4">
        <v>3.1739999999999999</v>
      </c>
      <c r="G377" s="4">
        <v>4.798</v>
      </c>
      <c r="H377" s="4">
        <f t="shared" si="30"/>
        <v>0.25992438563327025</v>
      </c>
      <c r="I377" s="4">
        <f t="shared" si="31"/>
        <v>0</v>
      </c>
      <c r="J377" s="10">
        <f t="shared" si="29"/>
        <v>0</v>
      </c>
    </row>
    <row r="378" spans="1:10" x14ac:dyDescent="0.2">
      <c r="A378" s="20"/>
      <c r="B378" s="6" t="s">
        <v>21</v>
      </c>
      <c r="C378" s="23"/>
      <c r="D378">
        <v>781</v>
      </c>
      <c r="E378">
        <v>2.4340000000000002</v>
      </c>
      <c r="F378">
        <v>3.3889999999999998</v>
      </c>
      <c r="G378">
        <v>5.0359999999999996</v>
      </c>
      <c r="H378">
        <f t="shared" si="30"/>
        <v>0.23222189436411933</v>
      </c>
      <c r="I378">
        <f t="shared" si="31"/>
        <v>599.63470050162277</v>
      </c>
      <c r="J378" s="11" t="e">
        <f t="shared" si="29"/>
        <v>#DIV/0!</v>
      </c>
    </row>
    <row r="379" spans="1:10" x14ac:dyDescent="0.2">
      <c r="A379" s="25"/>
      <c r="B379" s="8" t="s">
        <v>22</v>
      </c>
      <c r="C379" s="26"/>
      <c r="D379" s="7"/>
      <c r="E379" s="7">
        <v>2.4430000000000001</v>
      </c>
      <c r="F379" s="7">
        <v>3.09</v>
      </c>
      <c r="G379" s="7">
        <v>4.84</v>
      </c>
      <c r="H379" s="7">
        <f t="shared" si="30"/>
        <v>0.2242718446601942</v>
      </c>
      <c r="I379" s="7">
        <f t="shared" si="31"/>
        <v>0</v>
      </c>
      <c r="J379" s="12" t="e">
        <f t="shared" si="29"/>
        <v>#DIV/0!</v>
      </c>
    </row>
    <row r="380" spans="1:10" x14ac:dyDescent="0.2">
      <c r="A380" s="19" t="s">
        <v>8</v>
      </c>
      <c r="B380" s="5" t="s">
        <v>20</v>
      </c>
      <c r="C380" s="22">
        <v>10</v>
      </c>
      <c r="D380" s="4"/>
      <c r="E380" s="4">
        <v>2.427</v>
      </c>
      <c r="F380" s="4">
        <v>3.3410000000000002</v>
      </c>
      <c r="G380" s="4">
        <v>4.8380000000000001</v>
      </c>
      <c r="H380" s="4">
        <f t="shared" si="30"/>
        <v>0.27835977252319666</v>
      </c>
      <c r="I380" s="4">
        <f t="shared" si="31"/>
        <v>0</v>
      </c>
      <c r="J380" s="10">
        <f t="shared" si="29"/>
        <v>0</v>
      </c>
    </row>
    <row r="381" spans="1:10" x14ac:dyDescent="0.2">
      <c r="A381" s="20"/>
      <c r="B381" s="6" t="s">
        <v>21</v>
      </c>
      <c r="C381" s="23"/>
      <c r="D381">
        <v>630</v>
      </c>
      <c r="E381">
        <v>2.4169999999999998</v>
      </c>
      <c r="F381">
        <v>3.194</v>
      </c>
      <c r="G381">
        <v>4.74</v>
      </c>
      <c r="H381">
        <f t="shared" si="30"/>
        <v>0.27269881026925474</v>
      </c>
      <c r="I381">
        <f t="shared" si="31"/>
        <v>458.1997495303695</v>
      </c>
      <c r="J381" s="11" t="e">
        <f t="shared" si="29"/>
        <v>#DIV/0!</v>
      </c>
    </row>
    <row r="382" spans="1:10" x14ac:dyDescent="0.2">
      <c r="A382" s="25"/>
      <c r="B382" s="8" t="s">
        <v>22</v>
      </c>
      <c r="C382" s="26"/>
      <c r="D382" s="7"/>
      <c r="E382" s="7">
        <v>2.4129999999999998</v>
      </c>
      <c r="F382" s="7">
        <v>3.0680000000000001</v>
      </c>
      <c r="G382" s="7">
        <v>4.649</v>
      </c>
      <c r="H382" s="7">
        <f t="shared" si="30"/>
        <v>0.27118644067796605</v>
      </c>
      <c r="I382" s="7">
        <f t="shared" si="31"/>
        <v>0</v>
      </c>
      <c r="J382" s="12" t="e">
        <f t="shared" si="29"/>
        <v>#DIV/0!</v>
      </c>
    </row>
    <row r="383" spans="1:10" x14ac:dyDescent="0.2">
      <c r="A383" s="19" t="s">
        <v>9</v>
      </c>
      <c r="B383" s="5" t="s">
        <v>20</v>
      </c>
      <c r="C383" s="22">
        <v>10</v>
      </c>
      <c r="D383" s="4"/>
      <c r="E383" s="4">
        <v>2.448</v>
      </c>
      <c r="F383" s="4">
        <v>3.8370000000000002</v>
      </c>
      <c r="G383" s="4">
        <v>5.2430000000000003</v>
      </c>
      <c r="H383" s="4">
        <f t="shared" si="30"/>
        <v>0.27156632786030749</v>
      </c>
      <c r="I383" s="4">
        <f t="shared" si="31"/>
        <v>0</v>
      </c>
      <c r="J383" s="10">
        <f t="shared" si="29"/>
        <v>0</v>
      </c>
    </row>
    <row r="384" spans="1:10" x14ac:dyDescent="0.2">
      <c r="A384" s="20"/>
      <c r="B384" s="6" t="s">
        <v>21</v>
      </c>
      <c r="C384" s="23"/>
      <c r="D384">
        <v>822</v>
      </c>
      <c r="E384">
        <v>2.4449999999999998</v>
      </c>
      <c r="F384">
        <v>3.25</v>
      </c>
      <c r="G384">
        <v>4.835</v>
      </c>
      <c r="H384">
        <f t="shared" si="30"/>
        <v>0.26461538461538459</v>
      </c>
      <c r="I384">
        <f t="shared" si="31"/>
        <v>604.48615384615391</v>
      </c>
      <c r="J384" s="11" t="e">
        <f t="shared" si="29"/>
        <v>#DIV/0!</v>
      </c>
    </row>
    <row r="385" spans="1:10" x14ac:dyDescent="0.2">
      <c r="A385" s="25"/>
      <c r="B385" s="8" t="s">
        <v>22</v>
      </c>
      <c r="C385" s="26"/>
      <c r="D385" s="7"/>
      <c r="E385" s="7">
        <v>2.4249999999999998</v>
      </c>
      <c r="F385" s="7">
        <v>3.0579999999999998</v>
      </c>
      <c r="G385" s="7">
        <v>4.6849999999999996</v>
      </c>
      <c r="H385" s="7">
        <f t="shared" si="30"/>
        <v>0.26095487246566385</v>
      </c>
      <c r="I385" s="7">
        <f t="shared" si="31"/>
        <v>0</v>
      </c>
      <c r="J385" s="12" t="e">
        <f t="shared" si="29"/>
        <v>#DIV/0!</v>
      </c>
    </row>
    <row r="386" spans="1:10" x14ac:dyDescent="0.2">
      <c r="A386" s="19" t="s">
        <v>10</v>
      </c>
      <c r="B386" s="5" t="s">
        <v>20</v>
      </c>
      <c r="C386" s="22">
        <v>10</v>
      </c>
      <c r="D386" s="4"/>
      <c r="E386" s="4">
        <v>2.4300000000000002</v>
      </c>
      <c r="F386" s="4">
        <v>3.0619999999999998</v>
      </c>
      <c r="G386" s="4">
        <v>4.7210000000000001</v>
      </c>
      <c r="H386" s="4">
        <f t="shared" si="30"/>
        <v>0.25179621162638799</v>
      </c>
      <c r="I386" s="4">
        <f t="shared" si="31"/>
        <v>0</v>
      </c>
      <c r="J386" s="10">
        <f t="shared" si="29"/>
        <v>0</v>
      </c>
    </row>
    <row r="387" spans="1:10" x14ac:dyDescent="0.2">
      <c r="A387" s="20"/>
      <c r="B387" s="6" t="s">
        <v>21</v>
      </c>
      <c r="C387" s="23"/>
      <c r="D387">
        <v>852</v>
      </c>
      <c r="E387">
        <v>2.484</v>
      </c>
      <c r="F387">
        <v>3.3690000000000002</v>
      </c>
      <c r="G387">
        <v>4.9790000000000001</v>
      </c>
      <c r="H387">
        <f t="shared" si="30"/>
        <v>0.25942416147224695</v>
      </c>
      <c r="I387">
        <f t="shared" si="31"/>
        <v>630.97061442564564</v>
      </c>
      <c r="J387" s="11" t="e">
        <f t="shared" si="29"/>
        <v>#DIV/0!</v>
      </c>
    </row>
    <row r="388" spans="1:10" x14ac:dyDescent="0.2">
      <c r="A388" s="25"/>
      <c r="B388" s="8" t="s">
        <v>22</v>
      </c>
      <c r="C388" s="26"/>
      <c r="D388" s="7"/>
      <c r="E388" s="7">
        <v>2.42</v>
      </c>
      <c r="F388" s="7">
        <v>3.0110000000000001</v>
      </c>
      <c r="G388" s="7">
        <v>4.74</v>
      </c>
      <c r="H388" s="7">
        <f t="shared" si="30"/>
        <v>0.22949186316838252</v>
      </c>
      <c r="I388" s="7">
        <f t="shared" si="31"/>
        <v>0</v>
      </c>
      <c r="J388" s="12" t="e">
        <f t="shared" si="29"/>
        <v>#DIV/0!</v>
      </c>
    </row>
    <row r="389" spans="1:10" x14ac:dyDescent="0.2">
      <c r="A389" s="19" t="s">
        <v>11</v>
      </c>
      <c r="B389" s="5" t="s">
        <v>20</v>
      </c>
      <c r="C389" s="22">
        <v>10</v>
      </c>
      <c r="D389" s="4"/>
      <c r="E389" s="4">
        <v>2.427</v>
      </c>
      <c r="F389" s="4">
        <v>3.3279999999999998</v>
      </c>
      <c r="G389" s="4">
        <v>5.1790000000000003</v>
      </c>
      <c r="H389" s="4">
        <f t="shared" si="30"/>
        <v>0.17307692307692296</v>
      </c>
      <c r="I389" s="4">
        <f t="shared" si="31"/>
        <v>0</v>
      </c>
      <c r="J389" s="10">
        <f t="shared" si="29"/>
        <v>0</v>
      </c>
    </row>
    <row r="390" spans="1:10" x14ac:dyDescent="0.2">
      <c r="A390" s="20"/>
      <c r="B390" s="6" t="s">
        <v>21</v>
      </c>
      <c r="C390" s="23"/>
      <c r="D390">
        <v>908</v>
      </c>
      <c r="E390">
        <v>2.4260000000000002</v>
      </c>
      <c r="F390">
        <v>3.03</v>
      </c>
      <c r="G390">
        <v>4.8099999999999996</v>
      </c>
      <c r="H390">
        <f t="shared" si="30"/>
        <v>0.21320132013201334</v>
      </c>
      <c r="I390">
        <f t="shared" si="31"/>
        <v>714.41320132013186</v>
      </c>
      <c r="J390" s="11" t="e">
        <f t="shared" si="29"/>
        <v>#DIV/0!</v>
      </c>
    </row>
    <row r="391" spans="1:10" x14ac:dyDescent="0.2">
      <c r="A391" s="25"/>
      <c r="B391" s="8" t="s">
        <v>22</v>
      </c>
      <c r="C391" s="26"/>
      <c r="D391" s="7"/>
      <c r="E391" s="7">
        <v>2.431</v>
      </c>
      <c r="F391" s="7">
        <v>3.7320000000000002</v>
      </c>
      <c r="G391" s="7">
        <v>5.5869999999999997</v>
      </c>
      <c r="H391" s="7">
        <f t="shared" si="30"/>
        <v>0.15434083601286186</v>
      </c>
      <c r="I391" s="7">
        <f t="shared" si="31"/>
        <v>0</v>
      </c>
      <c r="J391" s="12" t="e">
        <f t="shared" si="29"/>
        <v>#DIV/0!</v>
      </c>
    </row>
    <row r="392" spans="1:10" x14ac:dyDescent="0.2">
      <c r="A392" s="19" t="s">
        <v>12</v>
      </c>
      <c r="B392" s="5" t="s">
        <v>20</v>
      </c>
      <c r="C392" s="22">
        <v>10</v>
      </c>
      <c r="D392" s="4"/>
      <c r="E392" s="4">
        <v>2.4239999999999999</v>
      </c>
      <c r="F392" s="4">
        <v>3.18</v>
      </c>
      <c r="G392" s="4">
        <v>5.274</v>
      </c>
      <c r="H392" s="4">
        <f t="shared" si="30"/>
        <v>0.1037735849056604</v>
      </c>
      <c r="I392" s="4">
        <f t="shared" si="31"/>
        <v>0</v>
      </c>
      <c r="J392" s="10">
        <f t="shared" si="29"/>
        <v>0</v>
      </c>
    </row>
    <row r="393" spans="1:10" x14ac:dyDescent="0.2">
      <c r="A393" s="20"/>
      <c r="B393" s="6" t="s">
        <v>21</v>
      </c>
      <c r="C393" s="23"/>
      <c r="D393">
        <v>769</v>
      </c>
      <c r="E393">
        <v>2.427</v>
      </c>
      <c r="F393">
        <v>3.7109999999999999</v>
      </c>
      <c r="G393">
        <v>5.3920000000000003</v>
      </c>
      <c r="H393">
        <f t="shared" si="30"/>
        <v>0.20102398275397457</v>
      </c>
      <c r="I393">
        <f t="shared" si="31"/>
        <v>614.41255726219356</v>
      </c>
      <c r="J393" s="11" t="e">
        <f t="shared" si="29"/>
        <v>#DIV/0!</v>
      </c>
    </row>
    <row r="394" spans="1:10" x14ac:dyDescent="0.2">
      <c r="A394" s="25"/>
      <c r="B394" s="8" t="s">
        <v>22</v>
      </c>
      <c r="C394" s="26"/>
      <c r="D394" s="7"/>
      <c r="E394" s="7">
        <v>2.4449999999999998</v>
      </c>
      <c r="F394" s="7">
        <v>3.0739999999999998</v>
      </c>
      <c r="G394" s="7">
        <v>5.0750000000000002</v>
      </c>
      <c r="H394" s="7">
        <f t="shared" si="30"/>
        <v>0.1444372153545867</v>
      </c>
      <c r="I394" s="7">
        <f t="shared" si="31"/>
        <v>0</v>
      </c>
      <c r="J394" s="12" t="e">
        <f t="shared" si="29"/>
        <v>#DIV/0!</v>
      </c>
    </row>
    <row r="395" spans="1:10" x14ac:dyDescent="0.2">
      <c r="A395" s="19" t="s">
        <v>13</v>
      </c>
      <c r="B395" s="5" t="s">
        <v>20</v>
      </c>
      <c r="C395" s="22">
        <v>10</v>
      </c>
      <c r="D395" s="4"/>
      <c r="E395" s="4">
        <v>2.4430000000000001</v>
      </c>
      <c r="F395" s="4">
        <v>3.4319999999999999</v>
      </c>
      <c r="G395" s="4">
        <v>5.4029999999999996</v>
      </c>
      <c r="H395" s="4">
        <f t="shared" si="30"/>
        <v>0.13752913752913765</v>
      </c>
      <c r="I395" s="4">
        <f t="shared" si="31"/>
        <v>0</v>
      </c>
      <c r="J395" s="10">
        <f t="shared" si="29"/>
        <v>0</v>
      </c>
    </row>
    <row r="396" spans="1:10" x14ac:dyDescent="0.2">
      <c r="A396" s="20"/>
      <c r="B396" s="6" t="s">
        <v>21</v>
      </c>
      <c r="C396" s="23"/>
      <c r="D396">
        <v>626</v>
      </c>
      <c r="E396">
        <v>2.4590000000000001</v>
      </c>
      <c r="F396">
        <v>3.4039999999999999</v>
      </c>
      <c r="G396">
        <v>5.423</v>
      </c>
      <c r="H396">
        <f t="shared" si="30"/>
        <v>0.12925969447708577</v>
      </c>
      <c r="I396">
        <f t="shared" si="31"/>
        <v>545.08343125734427</v>
      </c>
      <c r="J396" s="11" t="e">
        <f t="shared" si="29"/>
        <v>#DIV/0!</v>
      </c>
    </row>
    <row r="397" spans="1:10" x14ac:dyDescent="0.2">
      <c r="A397" s="25"/>
      <c r="B397" s="8" t="s">
        <v>22</v>
      </c>
      <c r="C397" s="26"/>
      <c r="D397" s="7"/>
      <c r="E397" s="7">
        <v>2.4239999999999999</v>
      </c>
      <c r="F397" s="7">
        <v>3.53</v>
      </c>
      <c r="G397" s="7">
        <v>5.5090000000000003</v>
      </c>
      <c r="H397" s="7">
        <f t="shared" si="30"/>
        <v>0.12606232294617548</v>
      </c>
      <c r="I397" s="7">
        <f t="shared" si="31"/>
        <v>0</v>
      </c>
      <c r="J397" s="12" t="e">
        <f t="shared" si="29"/>
        <v>#DIV/0!</v>
      </c>
    </row>
    <row r="398" spans="1:10" x14ac:dyDescent="0.2">
      <c r="A398" s="19" t="s">
        <v>14</v>
      </c>
      <c r="B398" s="5" t="s">
        <v>20</v>
      </c>
      <c r="C398" s="22">
        <v>10</v>
      </c>
      <c r="D398" s="4"/>
      <c r="E398" s="4"/>
      <c r="F398" s="4"/>
      <c r="G398" s="4"/>
      <c r="H398" s="4" t="e">
        <f t="shared" si="30"/>
        <v>#DIV/0!</v>
      </c>
      <c r="I398" s="4" t="e">
        <f t="shared" si="31"/>
        <v>#DIV/0!</v>
      </c>
      <c r="J398" s="10" t="e">
        <f t="shared" si="29"/>
        <v>#DIV/0!</v>
      </c>
    </row>
    <row r="399" spans="1:10" x14ac:dyDescent="0.2">
      <c r="A399" s="20"/>
      <c r="B399" s="6" t="s">
        <v>21</v>
      </c>
      <c r="C399" s="23"/>
      <c r="H399" t="e">
        <f t="shared" si="30"/>
        <v>#DIV/0!</v>
      </c>
      <c r="I399" t="e">
        <f t="shared" si="31"/>
        <v>#DIV/0!</v>
      </c>
      <c r="J399" s="11" t="e">
        <f t="shared" si="29"/>
        <v>#DIV/0!</v>
      </c>
    </row>
    <row r="400" spans="1:10" ht="16" thickBot="1" x14ac:dyDescent="0.25">
      <c r="A400" s="21"/>
      <c r="B400" s="15" t="s">
        <v>22</v>
      </c>
      <c r="C400" s="24"/>
      <c r="D400" s="13"/>
      <c r="E400" s="13"/>
      <c r="F400" s="13"/>
      <c r="G400" s="13"/>
      <c r="H400" s="13" t="e">
        <f t="shared" si="30"/>
        <v>#DIV/0!</v>
      </c>
      <c r="I400" s="13" t="e">
        <f t="shared" si="31"/>
        <v>#DIV/0!</v>
      </c>
      <c r="J400" s="14" t="e">
        <f t="shared" si="29"/>
        <v>#DIV/0!</v>
      </c>
    </row>
    <row r="401" spans="1:10" ht="16" thickBot="1" x14ac:dyDescent="0.25">
      <c r="A401" s="44" t="s">
        <v>1</v>
      </c>
      <c r="B401" s="33"/>
      <c r="C401" s="33"/>
      <c r="D401" s="33" t="s">
        <v>38</v>
      </c>
      <c r="E401" s="34"/>
      <c r="F401" s="9" t="s">
        <v>0</v>
      </c>
      <c r="G401" s="18">
        <v>44180</v>
      </c>
      <c r="H401" s="35" t="s">
        <v>24</v>
      </c>
      <c r="I401" s="36"/>
      <c r="J401" s="1">
        <v>110</v>
      </c>
    </row>
    <row r="402" spans="1:10" ht="16" thickBot="1" x14ac:dyDescent="0.25">
      <c r="A402" s="37" t="s">
        <v>2</v>
      </c>
      <c r="B402" s="38"/>
      <c r="C402" s="38"/>
      <c r="D402" s="38"/>
      <c r="E402" s="39"/>
      <c r="F402" s="40"/>
      <c r="G402" s="41"/>
      <c r="H402" s="42" t="s">
        <v>25</v>
      </c>
      <c r="I402" s="43"/>
      <c r="J402" s="2">
        <v>13</v>
      </c>
    </row>
    <row r="403" spans="1:10" ht="16" thickBot="1" x14ac:dyDescent="0.25">
      <c r="A403" s="45" t="s">
        <v>27</v>
      </c>
      <c r="B403" s="27"/>
      <c r="C403" s="27"/>
      <c r="D403" s="27" t="s">
        <v>33</v>
      </c>
      <c r="E403" s="28"/>
      <c r="F403" s="16" t="s">
        <v>30</v>
      </c>
      <c r="G403" s="16">
        <v>3.81</v>
      </c>
      <c r="H403" s="29" t="s">
        <v>26</v>
      </c>
      <c r="I403" s="30"/>
      <c r="J403" s="3">
        <v>31</v>
      </c>
    </row>
    <row r="404" spans="1:10" x14ac:dyDescent="0.2">
      <c r="A404" s="31"/>
      <c r="B404" s="32"/>
      <c r="C404" s="16" t="s">
        <v>29</v>
      </c>
      <c r="D404" s="16" t="s">
        <v>19</v>
      </c>
      <c r="E404" s="16" t="s">
        <v>15</v>
      </c>
      <c r="F404" s="16" t="s">
        <v>18</v>
      </c>
      <c r="G404" s="16" t="s">
        <v>17</v>
      </c>
      <c r="H404" s="16" t="s">
        <v>28</v>
      </c>
      <c r="I404" s="16" t="s">
        <v>16</v>
      </c>
      <c r="J404" s="17" t="s">
        <v>23</v>
      </c>
    </row>
    <row r="405" spans="1:10" x14ac:dyDescent="0.2">
      <c r="A405" s="19" t="s">
        <v>3</v>
      </c>
      <c r="B405" s="5" t="s">
        <v>20</v>
      </c>
      <c r="C405" s="22">
        <v>10</v>
      </c>
      <c r="D405" s="4"/>
      <c r="E405" s="4">
        <v>2.4319999999999999</v>
      </c>
      <c r="F405" s="4">
        <v>3.1589999999999998</v>
      </c>
      <c r="G405" s="4">
        <v>4.9980000000000002</v>
      </c>
      <c r="H405" s="4">
        <f>(F405-(G405-E405))/F405</f>
        <v>0.18771763216207646</v>
      </c>
      <c r="I405" s="4">
        <f>D405-H405*D405</f>
        <v>0</v>
      </c>
      <c r="J405" s="10">
        <f t="shared" ref="J405:J440" si="32">I405/($G$3^2*C405*PI())</f>
        <v>0</v>
      </c>
    </row>
    <row r="406" spans="1:10" x14ac:dyDescent="0.2">
      <c r="A406" s="20"/>
      <c r="B406" s="6" t="s">
        <v>21</v>
      </c>
      <c r="C406" s="23"/>
      <c r="D406">
        <v>802</v>
      </c>
      <c r="E406">
        <v>2.44</v>
      </c>
      <c r="F406">
        <v>3.4860000000000002</v>
      </c>
      <c r="G406">
        <v>5.2729999999999997</v>
      </c>
      <c r="H406">
        <f t="shared" ref="H406:H440" si="33">(F406-(G406-E406))/F406</f>
        <v>0.18732071141709708</v>
      </c>
      <c r="I406">
        <f t="shared" ref="I406:I440" si="34">D406-H406*D406</f>
        <v>651.76878944348812</v>
      </c>
      <c r="J406" s="11" t="e">
        <f t="shared" si="32"/>
        <v>#DIV/0!</v>
      </c>
    </row>
    <row r="407" spans="1:10" x14ac:dyDescent="0.2">
      <c r="A407" s="25"/>
      <c r="B407" s="8" t="s">
        <v>22</v>
      </c>
      <c r="C407" s="26"/>
      <c r="D407" s="7"/>
      <c r="E407" s="7">
        <v>2.42</v>
      </c>
      <c r="F407" s="7">
        <v>3.7010000000000001</v>
      </c>
      <c r="G407" s="7">
        <v>5.39</v>
      </c>
      <c r="H407" s="7">
        <f t="shared" si="33"/>
        <v>0.19751418535530946</v>
      </c>
      <c r="I407" s="7">
        <f t="shared" si="34"/>
        <v>0</v>
      </c>
      <c r="J407" s="12" t="e">
        <f t="shared" si="32"/>
        <v>#DIV/0!</v>
      </c>
    </row>
    <row r="408" spans="1:10" x14ac:dyDescent="0.2">
      <c r="A408" s="19" t="s">
        <v>4</v>
      </c>
      <c r="B408" s="5" t="s">
        <v>20</v>
      </c>
      <c r="C408" s="23">
        <v>10</v>
      </c>
      <c r="E408">
        <v>2.3969999999999998</v>
      </c>
      <c r="F408">
        <v>3.6560000000000001</v>
      </c>
      <c r="G408">
        <v>5.3390000000000004</v>
      </c>
      <c r="H408" s="4">
        <f t="shared" si="33"/>
        <v>0.19529540481400423</v>
      </c>
      <c r="I408" s="4">
        <f t="shared" si="34"/>
        <v>0</v>
      </c>
      <c r="J408" s="10">
        <f t="shared" si="32"/>
        <v>0</v>
      </c>
    </row>
    <row r="409" spans="1:10" x14ac:dyDescent="0.2">
      <c r="A409" s="20"/>
      <c r="B409" s="6" t="s">
        <v>21</v>
      </c>
      <c r="C409" s="23"/>
      <c r="D409">
        <v>801</v>
      </c>
      <c r="E409">
        <v>2.4540000000000002</v>
      </c>
      <c r="F409">
        <v>3.0950000000000002</v>
      </c>
      <c r="G409">
        <v>4.968</v>
      </c>
      <c r="H409">
        <f t="shared" si="33"/>
        <v>0.18772213247172873</v>
      </c>
      <c r="I409">
        <f t="shared" si="34"/>
        <v>650.63457189014525</v>
      </c>
      <c r="J409" s="11" t="e">
        <f t="shared" si="32"/>
        <v>#DIV/0!</v>
      </c>
    </row>
    <row r="410" spans="1:10" x14ac:dyDescent="0.2">
      <c r="A410" s="25"/>
      <c r="B410" s="8" t="s">
        <v>22</v>
      </c>
      <c r="C410" s="26"/>
      <c r="D410" s="7"/>
      <c r="E410" s="7">
        <v>2.4540000000000002</v>
      </c>
      <c r="F410" s="7">
        <v>3.3820000000000001</v>
      </c>
      <c r="G410" s="7">
        <v>5.18</v>
      </c>
      <c r="H410" s="7">
        <f t="shared" si="33"/>
        <v>0.19396806623299839</v>
      </c>
      <c r="I410" s="7">
        <f t="shared" si="34"/>
        <v>0</v>
      </c>
      <c r="J410" s="12" t="e">
        <f t="shared" si="32"/>
        <v>#DIV/0!</v>
      </c>
    </row>
    <row r="411" spans="1:10" x14ac:dyDescent="0.2">
      <c r="A411" s="19" t="s">
        <v>5</v>
      </c>
      <c r="B411" s="5" t="s">
        <v>20</v>
      </c>
      <c r="C411" s="22">
        <v>10</v>
      </c>
      <c r="D411" s="4"/>
      <c r="E411" s="4">
        <v>2.4390000000000001</v>
      </c>
      <c r="F411" s="4">
        <v>3.7250000000000001</v>
      </c>
      <c r="G411" s="4">
        <v>5.5049999999999999</v>
      </c>
      <c r="H411" s="4">
        <f t="shared" si="33"/>
        <v>0.17691275167785242</v>
      </c>
      <c r="I411" s="4">
        <f t="shared" si="34"/>
        <v>0</v>
      </c>
      <c r="J411" s="10">
        <f t="shared" si="32"/>
        <v>0</v>
      </c>
    </row>
    <row r="412" spans="1:10" x14ac:dyDescent="0.2">
      <c r="A412" s="20"/>
      <c r="B412" s="6" t="s">
        <v>21</v>
      </c>
      <c r="C412" s="23"/>
      <c r="D412">
        <v>799</v>
      </c>
      <c r="E412">
        <v>2.415</v>
      </c>
      <c r="F412">
        <v>3.4710000000000001</v>
      </c>
      <c r="G412">
        <v>5.2009999999999996</v>
      </c>
      <c r="H412">
        <f t="shared" si="33"/>
        <v>0.19734946701238851</v>
      </c>
      <c r="I412">
        <f t="shared" si="34"/>
        <v>641.31777585710165</v>
      </c>
      <c r="J412" s="11" t="e">
        <f t="shared" si="32"/>
        <v>#DIV/0!</v>
      </c>
    </row>
    <row r="413" spans="1:10" x14ac:dyDescent="0.2">
      <c r="A413" s="25"/>
      <c r="B413" s="8" t="s">
        <v>22</v>
      </c>
      <c r="C413" s="26"/>
      <c r="D413" s="7"/>
      <c r="E413" s="7">
        <v>2.4449999999999998</v>
      </c>
      <c r="F413" s="7">
        <v>3.2250000000000001</v>
      </c>
      <c r="G413" s="7">
        <v>5.0579999999999998</v>
      </c>
      <c r="H413" s="7">
        <f t="shared" si="33"/>
        <v>0.18976744186046515</v>
      </c>
      <c r="I413" s="7">
        <f t="shared" si="34"/>
        <v>0</v>
      </c>
      <c r="J413" s="12" t="e">
        <f t="shared" si="32"/>
        <v>#DIV/0!</v>
      </c>
    </row>
    <row r="414" spans="1:10" x14ac:dyDescent="0.2">
      <c r="A414" s="19" t="s">
        <v>6</v>
      </c>
      <c r="B414" s="5" t="s">
        <v>20</v>
      </c>
      <c r="C414" s="22">
        <v>10</v>
      </c>
      <c r="D414" s="4"/>
      <c r="E414" s="4">
        <v>2.4430000000000001</v>
      </c>
      <c r="F414" s="4">
        <v>3.7229999999999999</v>
      </c>
      <c r="G414" s="4">
        <v>5.5789999999999997</v>
      </c>
      <c r="H414" s="4">
        <f t="shared" si="33"/>
        <v>0.15766854687080317</v>
      </c>
      <c r="I414" s="4">
        <f t="shared" si="34"/>
        <v>0</v>
      </c>
      <c r="J414" s="10">
        <f t="shared" si="32"/>
        <v>0</v>
      </c>
    </row>
    <row r="415" spans="1:10" x14ac:dyDescent="0.2">
      <c r="A415" s="20"/>
      <c r="B415" s="6" t="s">
        <v>21</v>
      </c>
      <c r="C415" s="23"/>
      <c r="D415">
        <v>914</v>
      </c>
      <c r="E415">
        <v>2.4279999999999999</v>
      </c>
      <c r="F415">
        <v>3.2040000000000002</v>
      </c>
      <c r="G415">
        <v>5.1079999999999997</v>
      </c>
      <c r="H415">
        <f t="shared" si="33"/>
        <v>0.16354556803995021</v>
      </c>
      <c r="I415">
        <f t="shared" si="34"/>
        <v>764.51935081148554</v>
      </c>
      <c r="J415" s="11" t="e">
        <f t="shared" si="32"/>
        <v>#DIV/0!</v>
      </c>
    </row>
    <row r="416" spans="1:10" x14ac:dyDescent="0.2">
      <c r="A416" s="25"/>
      <c r="B416" s="8" t="s">
        <v>22</v>
      </c>
      <c r="C416" s="26"/>
      <c r="D416" s="7"/>
      <c r="E416" s="7">
        <v>2.4369999999999998</v>
      </c>
      <c r="F416" s="7">
        <v>3.8279999999999998</v>
      </c>
      <c r="G416" s="7">
        <v>5.6890000000000001</v>
      </c>
      <c r="H416" s="7">
        <f t="shared" si="33"/>
        <v>0.15047021943573657</v>
      </c>
      <c r="I416" s="7">
        <f t="shared" si="34"/>
        <v>0</v>
      </c>
      <c r="J416" s="12" t="e">
        <f t="shared" si="32"/>
        <v>#DIV/0!</v>
      </c>
    </row>
    <row r="417" spans="1:10" x14ac:dyDescent="0.2">
      <c r="A417" s="19" t="s">
        <v>7</v>
      </c>
      <c r="B417" s="5" t="s">
        <v>20</v>
      </c>
      <c r="C417" s="22">
        <v>10</v>
      </c>
      <c r="D417" s="4"/>
      <c r="E417" s="4">
        <v>2.4390000000000001</v>
      </c>
      <c r="F417" s="4">
        <v>3.9260000000000002</v>
      </c>
      <c r="G417" s="4">
        <v>5.7679999999999998</v>
      </c>
      <c r="H417" s="4">
        <f t="shared" si="33"/>
        <v>0.15206316861946012</v>
      </c>
      <c r="I417" s="4">
        <f t="shared" si="34"/>
        <v>0</v>
      </c>
      <c r="J417" s="10">
        <f t="shared" si="32"/>
        <v>0</v>
      </c>
    </row>
    <row r="418" spans="1:10" x14ac:dyDescent="0.2">
      <c r="A418" s="20"/>
      <c r="B418" s="6" t="s">
        <v>21</v>
      </c>
      <c r="C418" s="23"/>
      <c r="D418">
        <v>876</v>
      </c>
      <c r="E418">
        <v>2.4279999999999999</v>
      </c>
      <c r="F418">
        <v>3.5539999999999998</v>
      </c>
      <c r="G418">
        <v>5.4589999999999996</v>
      </c>
      <c r="H418">
        <f t="shared" si="33"/>
        <v>0.14715813168261119</v>
      </c>
      <c r="I418">
        <f t="shared" si="34"/>
        <v>747.08947664603261</v>
      </c>
      <c r="J418" s="11" t="e">
        <f t="shared" si="32"/>
        <v>#DIV/0!</v>
      </c>
    </row>
    <row r="419" spans="1:10" x14ac:dyDescent="0.2">
      <c r="A419" s="25"/>
      <c r="B419" s="8" t="s">
        <v>22</v>
      </c>
      <c r="C419" s="26"/>
      <c r="D419" s="7"/>
      <c r="E419" s="7">
        <v>2.4289999999999998</v>
      </c>
      <c r="F419" s="7">
        <v>3.3690000000000002</v>
      </c>
      <c r="G419" s="7">
        <v>5.3010000000000002</v>
      </c>
      <c r="H419" s="7">
        <f t="shared" si="33"/>
        <v>0.14752151973879485</v>
      </c>
      <c r="I419" s="7">
        <f t="shared" si="34"/>
        <v>0</v>
      </c>
      <c r="J419" s="12" t="e">
        <f t="shared" si="32"/>
        <v>#DIV/0!</v>
      </c>
    </row>
    <row r="420" spans="1:10" x14ac:dyDescent="0.2">
      <c r="A420" s="19" t="s">
        <v>8</v>
      </c>
      <c r="B420" s="5" t="s">
        <v>20</v>
      </c>
      <c r="C420" s="22">
        <v>10</v>
      </c>
      <c r="D420" s="4"/>
      <c r="E420" s="4">
        <v>2.4780000000000002</v>
      </c>
      <c r="F420" s="4">
        <v>3.262</v>
      </c>
      <c r="G420" s="4">
        <v>5.266</v>
      </c>
      <c r="H420" s="4">
        <f t="shared" si="33"/>
        <v>0.14530962599632133</v>
      </c>
      <c r="I420" s="4">
        <f t="shared" si="34"/>
        <v>0</v>
      </c>
      <c r="J420" s="10">
        <f t="shared" si="32"/>
        <v>0</v>
      </c>
    </row>
    <row r="421" spans="1:10" x14ac:dyDescent="0.2">
      <c r="A421" s="20"/>
      <c r="B421" s="6" t="s">
        <v>21</v>
      </c>
      <c r="C421" s="23"/>
      <c r="D421">
        <v>940</v>
      </c>
      <c r="E421">
        <v>2.427</v>
      </c>
      <c r="F421">
        <v>3.5619999999999998</v>
      </c>
      <c r="G421">
        <v>5.5279999999999996</v>
      </c>
      <c r="H421">
        <f t="shared" si="33"/>
        <v>0.12942167321729375</v>
      </c>
      <c r="I421">
        <f t="shared" si="34"/>
        <v>818.3436271757439</v>
      </c>
      <c r="J421" s="11" t="e">
        <f t="shared" si="32"/>
        <v>#DIV/0!</v>
      </c>
    </row>
    <row r="422" spans="1:10" x14ac:dyDescent="0.2">
      <c r="A422" s="25"/>
      <c r="B422" s="8" t="s">
        <v>22</v>
      </c>
      <c r="C422" s="26"/>
      <c r="D422" s="7"/>
      <c r="E422" s="7">
        <v>2.4460000000000002</v>
      </c>
      <c r="F422" s="7">
        <v>3.2250000000000001</v>
      </c>
      <c r="G422" s="7">
        <v>5.343</v>
      </c>
      <c r="H422" s="7">
        <f t="shared" si="33"/>
        <v>0.10170542635658923</v>
      </c>
      <c r="I422" s="7">
        <f t="shared" si="34"/>
        <v>0</v>
      </c>
      <c r="J422" s="12" t="e">
        <f t="shared" si="32"/>
        <v>#DIV/0!</v>
      </c>
    </row>
    <row r="423" spans="1:10" x14ac:dyDescent="0.2">
      <c r="A423" s="19" t="s">
        <v>9</v>
      </c>
      <c r="B423" s="5" t="s">
        <v>20</v>
      </c>
      <c r="C423" s="22">
        <v>10</v>
      </c>
      <c r="D423" s="4"/>
      <c r="E423" s="4">
        <v>2.4359999999999999</v>
      </c>
      <c r="F423" s="4">
        <v>3.2450000000000001</v>
      </c>
      <c r="G423" s="4">
        <v>5.2450000000000001</v>
      </c>
      <c r="H423" s="4">
        <f t="shared" si="33"/>
        <v>0.13436055469953773</v>
      </c>
      <c r="I423" s="4">
        <f t="shared" si="34"/>
        <v>0</v>
      </c>
      <c r="J423" s="10">
        <f t="shared" si="32"/>
        <v>0</v>
      </c>
    </row>
    <row r="424" spans="1:10" x14ac:dyDescent="0.2">
      <c r="A424" s="20"/>
      <c r="B424" s="6" t="s">
        <v>21</v>
      </c>
      <c r="C424" s="23"/>
      <c r="D424">
        <v>899</v>
      </c>
      <c r="E424">
        <v>2.4630000000000001</v>
      </c>
      <c r="F424">
        <v>3.7930000000000001</v>
      </c>
      <c r="G424">
        <v>5.73</v>
      </c>
      <c r="H424">
        <f t="shared" si="33"/>
        <v>0.13867650935934611</v>
      </c>
      <c r="I424">
        <f t="shared" si="34"/>
        <v>774.32981808594786</v>
      </c>
      <c r="J424" s="11" t="e">
        <f t="shared" si="32"/>
        <v>#DIV/0!</v>
      </c>
    </row>
    <row r="425" spans="1:10" x14ac:dyDescent="0.2">
      <c r="A425" s="25"/>
      <c r="B425" s="8" t="s">
        <v>22</v>
      </c>
      <c r="C425" s="26"/>
      <c r="D425" s="7"/>
      <c r="E425" s="7">
        <v>2.4369999999999998</v>
      </c>
      <c r="F425" s="7">
        <v>3.4329999999999998</v>
      </c>
      <c r="G425" s="7">
        <v>5.36</v>
      </c>
      <c r="H425" s="7">
        <f t="shared" si="33"/>
        <v>0.1485581124381006</v>
      </c>
      <c r="I425" s="7">
        <f t="shared" si="34"/>
        <v>0</v>
      </c>
      <c r="J425" s="12" t="e">
        <f t="shared" si="32"/>
        <v>#DIV/0!</v>
      </c>
    </row>
    <row r="426" spans="1:10" x14ac:dyDescent="0.2">
      <c r="A426" s="19" t="s">
        <v>10</v>
      </c>
      <c r="B426" s="5" t="s">
        <v>20</v>
      </c>
      <c r="C426" s="22">
        <v>10</v>
      </c>
      <c r="D426" s="4"/>
      <c r="E426" s="4">
        <v>2.4279999999999999</v>
      </c>
      <c r="F426" s="4">
        <v>3.6259999999999999</v>
      </c>
      <c r="G426" s="4">
        <v>5.4829999999999997</v>
      </c>
      <c r="H426" s="4">
        <f t="shared" si="33"/>
        <v>0.15747380033094324</v>
      </c>
      <c r="I426" s="4">
        <f t="shared" si="34"/>
        <v>0</v>
      </c>
      <c r="J426" s="10">
        <f t="shared" si="32"/>
        <v>0</v>
      </c>
    </row>
    <row r="427" spans="1:10" x14ac:dyDescent="0.2">
      <c r="A427" s="20"/>
      <c r="B427" s="6" t="s">
        <v>21</v>
      </c>
      <c r="C427" s="23"/>
      <c r="D427">
        <v>820</v>
      </c>
      <c r="E427">
        <v>2.4209999999999998</v>
      </c>
      <c r="F427">
        <v>3.1190000000000002</v>
      </c>
      <c r="G427">
        <v>5.0670000000000002</v>
      </c>
      <c r="H427">
        <f t="shared" si="33"/>
        <v>0.15165117024687394</v>
      </c>
      <c r="I427">
        <f t="shared" si="34"/>
        <v>695.64604039756341</v>
      </c>
      <c r="J427" s="11" t="e">
        <f t="shared" si="32"/>
        <v>#DIV/0!</v>
      </c>
    </row>
    <row r="428" spans="1:10" x14ac:dyDescent="0.2">
      <c r="A428" s="25"/>
      <c r="B428" s="8" t="s">
        <v>22</v>
      </c>
      <c r="C428" s="26"/>
      <c r="D428" s="7"/>
      <c r="E428" s="7">
        <v>2.427</v>
      </c>
      <c r="F428" s="7">
        <v>3.2410000000000001</v>
      </c>
      <c r="G428" s="7">
        <v>5.1689999999999996</v>
      </c>
      <c r="H428" s="7">
        <f t="shared" si="33"/>
        <v>0.15396482567108932</v>
      </c>
      <c r="I428" s="7">
        <f t="shared" si="34"/>
        <v>0</v>
      </c>
      <c r="J428" s="12" t="e">
        <f t="shared" si="32"/>
        <v>#DIV/0!</v>
      </c>
    </row>
    <row r="429" spans="1:10" x14ac:dyDescent="0.2">
      <c r="A429" s="19" t="s">
        <v>11</v>
      </c>
      <c r="B429" s="5" t="s">
        <v>20</v>
      </c>
      <c r="C429" s="22">
        <v>10</v>
      </c>
      <c r="D429" s="4"/>
      <c r="E429" s="4">
        <v>2.4630000000000001</v>
      </c>
      <c r="F429" s="4">
        <v>3.1259999999999999</v>
      </c>
      <c r="G429" s="4">
        <v>5.1619999999999999</v>
      </c>
      <c r="H429" s="4">
        <f t="shared" si="33"/>
        <v>0.13659628918746003</v>
      </c>
      <c r="I429" s="4">
        <f t="shared" si="34"/>
        <v>0</v>
      </c>
      <c r="J429" s="10">
        <f t="shared" si="32"/>
        <v>0</v>
      </c>
    </row>
    <row r="430" spans="1:10" x14ac:dyDescent="0.2">
      <c r="A430" s="20"/>
      <c r="B430" s="6" t="s">
        <v>21</v>
      </c>
      <c r="C430" s="23"/>
      <c r="D430">
        <v>868</v>
      </c>
      <c r="E430">
        <v>2.4020000000000001</v>
      </c>
      <c r="F430">
        <v>3.4910000000000001</v>
      </c>
      <c r="G430">
        <v>5.41</v>
      </c>
      <c r="H430">
        <f t="shared" si="33"/>
        <v>0.13835577198510457</v>
      </c>
      <c r="I430">
        <f t="shared" si="34"/>
        <v>747.90718991692927</v>
      </c>
      <c r="J430" s="11" t="e">
        <f t="shared" si="32"/>
        <v>#DIV/0!</v>
      </c>
    </row>
    <row r="431" spans="1:10" x14ac:dyDescent="0.2">
      <c r="A431" s="25"/>
      <c r="B431" s="8" t="s">
        <v>22</v>
      </c>
      <c r="C431" s="26"/>
      <c r="D431" s="7"/>
      <c r="E431" s="7">
        <v>2.4359999999999999</v>
      </c>
      <c r="F431" s="7">
        <v>3.1259999999999999</v>
      </c>
      <c r="G431" s="7">
        <v>5.101</v>
      </c>
      <c r="H431" s="7">
        <f t="shared" si="33"/>
        <v>0.14747280870121557</v>
      </c>
      <c r="I431" s="7">
        <f t="shared" si="34"/>
        <v>0</v>
      </c>
      <c r="J431" s="12" t="e">
        <f t="shared" si="32"/>
        <v>#DIV/0!</v>
      </c>
    </row>
    <row r="432" spans="1:10" x14ac:dyDescent="0.2">
      <c r="A432" s="19" t="s">
        <v>12</v>
      </c>
      <c r="B432" s="5" t="s">
        <v>20</v>
      </c>
      <c r="C432" s="22">
        <v>10</v>
      </c>
      <c r="D432" s="4"/>
      <c r="E432" s="4">
        <v>2.4329999999999998</v>
      </c>
      <c r="F432" s="4">
        <v>3.085</v>
      </c>
      <c r="G432" s="4">
        <v>5.0529999999999999</v>
      </c>
      <c r="H432" s="4">
        <f t="shared" si="33"/>
        <v>0.15072933549432735</v>
      </c>
      <c r="I432" s="4">
        <f t="shared" si="34"/>
        <v>0</v>
      </c>
      <c r="J432" s="10">
        <f t="shared" si="32"/>
        <v>0</v>
      </c>
    </row>
    <row r="433" spans="1:10" x14ac:dyDescent="0.2">
      <c r="A433" s="20"/>
      <c r="B433" s="6" t="s">
        <v>21</v>
      </c>
      <c r="C433" s="23"/>
      <c r="D433">
        <v>891</v>
      </c>
      <c r="E433">
        <v>2.4340000000000002</v>
      </c>
      <c r="F433">
        <v>3.1230000000000002</v>
      </c>
      <c r="G433">
        <v>5.048</v>
      </c>
      <c r="H433">
        <f t="shared" si="33"/>
        <v>0.16298430995837346</v>
      </c>
      <c r="I433">
        <f t="shared" si="34"/>
        <v>745.78097982708925</v>
      </c>
      <c r="J433" s="11" t="e">
        <f t="shared" si="32"/>
        <v>#DIV/0!</v>
      </c>
    </row>
    <row r="434" spans="1:10" x14ac:dyDescent="0.2">
      <c r="A434" s="25"/>
      <c r="B434" s="8" t="s">
        <v>22</v>
      </c>
      <c r="C434" s="26"/>
      <c r="D434" s="7"/>
      <c r="E434" s="7">
        <v>2.4329999999999998</v>
      </c>
      <c r="F434" s="7">
        <v>3.5230000000000001</v>
      </c>
      <c r="G434" s="7">
        <v>5.38</v>
      </c>
      <c r="H434" s="7">
        <f t="shared" si="33"/>
        <v>0.16349701958558049</v>
      </c>
      <c r="I434" s="7">
        <f t="shared" si="34"/>
        <v>0</v>
      </c>
      <c r="J434" s="12" t="e">
        <f t="shared" si="32"/>
        <v>#DIV/0!</v>
      </c>
    </row>
    <row r="435" spans="1:10" x14ac:dyDescent="0.2">
      <c r="A435" s="19" t="s">
        <v>13</v>
      </c>
      <c r="B435" s="5" t="s">
        <v>20</v>
      </c>
      <c r="C435" s="22">
        <v>10</v>
      </c>
      <c r="D435" s="4"/>
      <c r="E435" s="4">
        <v>2.4390000000000001</v>
      </c>
      <c r="F435" s="4">
        <v>3.2709999999999999</v>
      </c>
      <c r="G435" s="4">
        <v>5.2169999999999996</v>
      </c>
      <c r="H435" s="4">
        <f t="shared" si="33"/>
        <v>0.15071843472944063</v>
      </c>
      <c r="I435" s="4">
        <f t="shared" si="34"/>
        <v>0</v>
      </c>
      <c r="J435" s="10">
        <f t="shared" si="32"/>
        <v>0</v>
      </c>
    </row>
    <row r="436" spans="1:10" x14ac:dyDescent="0.2">
      <c r="A436" s="20"/>
      <c r="B436" s="6" t="s">
        <v>21</v>
      </c>
      <c r="C436" s="23"/>
      <c r="D436">
        <v>690</v>
      </c>
      <c r="E436">
        <v>2.4060000000000001</v>
      </c>
      <c r="F436">
        <v>3.125</v>
      </c>
      <c r="G436">
        <v>5.0670000000000002</v>
      </c>
      <c r="H436">
        <f t="shared" si="33"/>
        <v>0.14848</v>
      </c>
      <c r="I436">
        <f t="shared" si="34"/>
        <v>587.54880000000003</v>
      </c>
      <c r="J436" s="11" t="e">
        <f t="shared" si="32"/>
        <v>#DIV/0!</v>
      </c>
    </row>
    <row r="437" spans="1:10" x14ac:dyDescent="0.2">
      <c r="A437" s="25"/>
      <c r="B437" s="8" t="s">
        <v>22</v>
      </c>
      <c r="C437" s="26"/>
      <c r="D437" s="7"/>
      <c r="E437" s="7">
        <v>2.431</v>
      </c>
      <c r="F437" s="7">
        <v>3.407</v>
      </c>
      <c r="G437" s="7">
        <v>5.3129999999999997</v>
      </c>
      <c r="H437" s="7">
        <f t="shared" si="33"/>
        <v>0.15409451130026428</v>
      </c>
      <c r="I437" s="7">
        <f t="shared" si="34"/>
        <v>0</v>
      </c>
      <c r="J437" s="12" t="e">
        <f t="shared" si="32"/>
        <v>#DIV/0!</v>
      </c>
    </row>
    <row r="438" spans="1:10" x14ac:dyDescent="0.2">
      <c r="A438" s="19" t="s">
        <v>14</v>
      </c>
      <c r="B438" s="5" t="s">
        <v>20</v>
      </c>
      <c r="C438" s="22">
        <v>10</v>
      </c>
      <c r="D438" s="4"/>
      <c r="E438" s="4"/>
      <c r="F438" s="4"/>
      <c r="G438" s="4"/>
      <c r="H438" s="4" t="e">
        <f t="shared" si="33"/>
        <v>#DIV/0!</v>
      </c>
      <c r="I438" s="4" t="e">
        <f t="shared" si="34"/>
        <v>#DIV/0!</v>
      </c>
      <c r="J438" s="10" t="e">
        <f t="shared" si="32"/>
        <v>#DIV/0!</v>
      </c>
    </row>
    <row r="439" spans="1:10" x14ac:dyDescent="0.2">
      <c r="A439" s="20"/>
      <c r="B439" s="6" t="s">
        <v>21</v>
      </c>
      <c r="C439" s="23"/>
      <c r="H439" t="e">
        <f t="shared" si="33"/>
        <v>#DIV/0!</v>
      </c>
      <c r="I439" t="e">
        <f t="shared" si="34"/>
        <v>#DIV/0!</v>
      </c>
      <c r="J439" s="11" t="e">
        <f t="shared" si="32"/>
        <v>#DIV/0!</v>
      </c>
    </row>
    <row r="440" spans="1:10" ht="16" thickBot="1" x14ac:dyDescent="0.25">
      <c r="A440" s="21"/>
      <c r="B440" s="15" t="s">
        <v>22</v>
      </c>
      <c r="C440" s="24"/>
      <c r="D440" s="13"/>
      <c r="E440" s="13"/>
      <c r="F440" s="13"/>
      <c r="G440" s="13"/>
      <c r="H440" s="13" t="e">
        <f t="shared" si="33"/>
        <v>#DIV/0!</v>
      </c>
      <c r="I440" s="13" t="e">
        <f t="shared" si="34"/>
        <v>#DIV/0!</v>
      </c>
      <c r="J440" s="14" t="e">
        <f t="shared" si="32"/>
        <v>#DIV/0!</v>
      </c>
    </row>
    <row r="441" spans="1:10" ht="16" thickBot="1" x14ac:dyDescent="0.25">
      <c r="A441" s="44" t="s">
        <v>1</v>
      </c>
      <c r="B441" s="33"/>
      <c r="C441" s="33"/>
      <c r="D441" s="33" t="s">
        <v>38</v>
      </c>
      <c r="E441" s="34"/>
      <c r="F441" s="9" t="s">
        <v>0</v>
      </c>
      <c r="G441" s="18">
        <v>44180</v>
      </c>
      <c r="H441" s="35" t="s">
        <v>24</v>
      </c>
      <c r="I441" s="36"/>
      <c r="J441" s="1">
        <v>119</v>
      </c>
    </row>
    <row r="442" spans="1:10" ht="16" thickBot="1" x14ac:dyDescent="0.25">
      <c r="A442" s="37" t="s">
        <v>2</v>
      </c>
      <c r="B442" s="38"/>
      <c r="C442" s="38"/>
      <c r="D442" s="38"/>
      <c r="E442" s="39"/>
      <c r="F442" s="40"/>
      <c r="G442" s="41"/>
      <c r="H442" s="42" t="s">
        <v>25</v>
      </c>
      <c r="I442" s="43"/>
      <c r="J442" s="2">
        <v>23</v>
      </c>
    </row>
    <row r="443" spans="1:10" ht="16" thickBot="1" x14ac:dyDescent="0.25">
      <c r="A443" s="45" t="s">
        <v>27</v>
      </c>
      <c r="B443" s="27"/>
      <c r="C443" s="27"/>
      <c r="D443" s="27" t="s">
        <v>32</v>
      </c>
      <c r="E443" s="28"/>
      <c r="F443" s="16" t="s">
        <v>30</v>
      </c>
      <c r="G443" s="16">
        <v>3.81</v>
      </c>
      <c r="H443" s="29" t="s">
        <v>26</v>
      </c>
      <c r="I443" s="30"/>
      <c r="J443" s="3">
        <v>41.5</v>
      </c>
    </row>
    <row r="444" spans="1:10" x14ac:dyDescent="0.2">
      <c r="A444" s="31"/>
      <c r="B444" s="32"/>
      <c r="C444" s="16" t="s">
        <v>29</v>
      </c>
      <c r="D444" s="16" t="s">
        <v>19</v>
      </c>
      <c r="E444" s="16" t="s">
        <v>15</v>
      </c>
      <c r="F444" s="16" t="s">
        <v>18</v>
      </c>
      <c r="G444" s="16" t="s">
        <v>17</v>
      </c>
      <c r="H444" s="16" t="s">
        <v>28</v>
      </c>
      <c r="I444" s="16" t="s">
        <v>16</v>
      </c>
      <c r="J444" s="17" t="s">
        <v>23</v>
      </c>
    </row>
    <row r="445" spans="1:10" x14ac:dyDescent="0.2">
      <c r="A445" s="19" t="s">
        <v>3</v>
      </c>
      <c r="B445" s="5" t="s">
        <v>20</v>
      </c>
      <c r="C445" s="22">
        <v>10</v>
      </c>
      <c r="D445" s="4"/>
      <c r="E445" s="4">
        <v>2.4380000000000002</v>
      </c>
      <c r="F445" s="4">
        <v>3.0030000000000001</v>
      </c>
      <c r="G445" s="4">
        <v>4.883</v>
      </c>
      <c r="H445" s="4">
        <f>(F445-(G445-E445))/F445</f>
        <v>0.18581418581418591</v>
      </c>
      <c r="I445" s="4">
        <f>D445-H445*D445</f>
        <v>0</v>
      </c>
      <c r="J445" s="10">
        <f t="shared" ref="J445:J480" si="35">I445/($G$3^2*C445*PI())</f>
        <v>0</v>
      </c>
    </row>
    <row r="446" spans="1:10" x14ac:dyDescent="0.2">
      <c r="A446" s="20"/>
      <c r="B446" s="6" t="s">
        <v>21</v>
      </c>
      <c r="C446" s="23"/>
      <c r="D446">
        <v>740</v>
      </c>
      <c r="E446">
        <v>2.407</v>
      </c>
      <c r="F446">
        <v>3.246</v>
      </c>
      <c r="G446">
        <v>5.0279999999999996</v>
      </c>
      <c r="H446">
        <f t="shared" ref="H446:H480" si="36">(F446-(G446-E446))/F446</f>
        <v>0.19254467036352446</v>
      </c>
      <c r="I446">
        <f t="shared" ref="I446:I480" si="37">D446-H446*D446</f>
        <v>597.51694393099183</v>
      </c>
      <c r="J446" s="11" t="e">
        <f t="shared" si="35"/>
        <v>#DIV/0!</v>
      </c>
    </row>
    <row r="447" spans="1:10" x14ac:dyDescent="0.2">
      <c r="A447" s="25"/>
      <c r="B447" s="8" t="s">
        <v>22</v>
      </c>
      <c r="C447" s="26"/>
      <c r="D447" s="7"/>
      <c r="E447" s="7">
        <v>2.4249999999999998</v>
      </c>
      <c r="F447" s="7">
        <v>3.6379999999999999</v>
      </c>
      <c r="G447" s="7">
        <v>5.3869999999999996</v>
      </c>
      <c r="H447" s="7">
        <f t="shared" si="36"/>
        <v>0.18581638262781752</v>
      </c>
      <c r="I447" s="7">
        <f t="shared" si="37"/>
        <v>0</v>
      </c>
      <c r="J447" s="12" t="e">
        <f t="shared" si="35"/>
        <v>#DIV/0!</v>
      </c>
    </row>
    <row r="448" spans="1:10" x14ac:dyDescent="0.2">
      <c r="A448" s="19" t="s">
        <v>4</v>
      </c>
      <c r="B448" s="5" t="s">
        <v>20</v>
      </c>
      <c r="C448" s="23">
        <v>10</v>
      </c>
      <c r="E448">
        <v>2.4249999999999998</v>
      </c>
      <c r="F448">
        <v>3.4430000000000001</v>
      </c>
      <c r="G448">
        <v>5.2960000000000003</v>
      </c>
      <c r="H448" s="4">
        <f t="shared" si="36"/>
        <v>0.16613418530351426</v>
      </c>
      <c r="I448" s="4">
        <f t="shared" si="37"/>
        <v>0</v>
      </c>
      <c r="J448" s="10">
        <f t="shared" si="35"/>
        <v>0</v>
      </c>
    </row>
    <row r="449" spans="1:10" x14ac:dyDescent="0.2">
      <c r="A449" s="20"/>
      <c r="B449" s="6" t="s">
        <v>21</v>
      </c>
      <c r="C449" s="23"/>
      <c r="D449">
        <v>912</v>
      </c>
      <c r="E449">
        <v>2.46</v>
      </c>
      <c r="F449">
        <v>3.7639999999999998</v>
      </c>
      <c r="G449">
        <v>5.5069999999999997</v>
      </c>
      <c r="H449">
        <f t="shared" si="36"/>
        <v>0.19048884165781088</v>
      </c>
      <c r="I449">
        <f t="shared" si="37"/>
        <v>738.27417640807653</v>
      </c>
      <c r="J449" s="11" t="e">
        <f t="shared" si="35"/>
        <v>#DIV/0!</v>
      </c>
    </row>
    <row r="450" spans="1:10" x14ac:dyDescent="0.2">
      <c r="A450" s="25"/>
      <c r="B450" s="8" t="s">
        <v>22</v>
      </c>
      <c r="C450" s="26"/>
      <c r="D450" s="7"/>
      <c r="E450" s="7">
        <v>2.403</v>
      </c>
      <c r="F450" s="7">
        <v>3.6379999999999999</v>
      </c>
      <c r="G450" s="7">
        <v>5.47</v>
      </c>
      <c r="H450" s="7">
        <f t="shared" si="36"/>
        <v>0.15695437053326008</v>
      </c>
      <c r="I450" s="7">
        <f t="shared" si="37"/>
        <v>0</v>
      </c>
      <c r="J450" s="12" t="e">
        <f t="shared" si="35"/>
        <v>#DIV/0!</v>
      </c>
    </row>
    <row r="451" spans="1:10" x14ac:dyDescent="0.2">
      <c r="A451" s="19" t="s">
        <v>5</v>
      </c>
      <c r="B451" s="5" t="s">
        <v>20</v>
      </c>
      <c r="C451" s="22">
        <v>10</v>
      </c>
      <c r="D451" s="4"/>
      <c r="E451" s="4">
        <v>2.4319999999999999</v>
      </c>
      <c r="F451" s="4">
        <v>3.2509999999999999</v>
      </c>
      <c r="G451" s="4">
        <v>5.173</v>
      </c>
      <c r="H451" s="4">
        <f t="shared" si="36"/>
        <v>0.15687480775146104</v>
      </c>
      <c r="I451" s="4">
        <f t="shared" si="37"/>
        <v>0</v>
      </c>
      <c r="J451" s="10">
        <f t="shared" si="35"/>
        <v>0</v>
      </c>
    </row>
    <row r="452" spans="1:10" x14ac:dyDescent="0.2">
      <c r="A452" s="20"/>
      <c r="B452" s="6" t="s">
        <v>21</v>
      </c>
      <c r="C452" s="23"/>
      <c r="D452">
        <v>853</v>
      </c>
      <c r="E452">
        <v>2.4239999999999999</v>
      </c>
      <c r="F452">
        <v>3.0390000000000001</v>
      </c>
      <c r="G452">
        <v>4.8920000000000003</v>
      </c>
      <c r="H452">
        <f t="shared" si="36"/>
        <v>0.18789075353734772</v>
      </c>
      <c r="I452">
        <f t="shared" si="37"/>
        <v>692.7291872326424</v>
      </c>
      <c r="J452" s="11" t="e">
        <f t="shared" si="35"/>
        <v>#DIV/0!</v>
      </c>
    </row>
    <row r="453" spans="1:10" x14ac:dyDescent="0.2">
      <c r="A453" s="25"/>
      <c r="B453" s="8" t="s">
        <v>22</v>
      </c>
      <c r="C453" s="26"/>
      <c r="D453" s="7"/>
      <c r="E453" s="7">
        <v>2.46</v>
      </c>
      <c r="F453" s="7">
        <v>3.512</v>
      </c>
      <c r="G453" s="7">
        <v>5.3659999999999997</v>
      </c>
      <c r="H453" s="7">
        <f t="shared" si="36"/>
        <v>0.17255125284738049</v>
      </c>
      <c r="I453" s="7">
        <f t="shared" si="37"/>
        <v>0</v>
      </c>
      <c r="J453" s="12" t="e">
        <f t="shared" si="35"/>
        <v>#DIV/0!</v>
      </c>
    </row>
    <row r="454" spans="1:10" x14ac:dyDescent="0.2">
      <c r="A454" s="19" t="s">
        <v>6</v>
      </c>
      <c r="B454" s="5" t="s">
        <v>20</v>
      </c>
      <c r="C454" s="22">
        <v>10</v>
      </c>
      <c r="D454" s="4"/>
      <c r="E454" s="4">
        <v>2.4180000000000001</v>
      </c>
      <c r="F454" s="4">
        <v>3.3580000000000001</v>
      </c>
      <c r="G454" s="4">
        <v>5.3630000000000004</v>
      </c>
      <c r="H454" s="4">
        <f t="shared" si="36"/>
        <v>0.12298987492555086</v>
      </c>
      <c r="I454" s="4">
        <f t="shared" si="37"/>
        <v>0</v>
      </c>
      <c r="J454" s="10">
        <f t="shared" si="35"/>
        <v>0</v>
      </c>
    </row>
    <row r="455" spans="1:10" x14ac:dyDescent="0.2">
      <c r="A455" s="20"/>
      <c r="B455" s="6" t="s">
        <v>21</v>
      </c>
      <c r="C455" s="23"/>
      <c r="D455">
        <v>832</v>
      </c>
      <c r="E455">
        <v>2.4350000000000001</v>
      </c>
      <c r="F455">
        <v>3.7480000000000002</v>
      </c>
      <c r="G455">
        <v>5.6340000000000003</v>
      </c>
      <c r="H455">
        <f t="shared" si="36"/>
        <v>0.14647812166488791</v>
      </c>
      <c r="I455">
        <f t="shared" si="37"/>
        <v>710.13020277481326</v>
      </c>
      <c r="J455" s="11" t="e">
        <f t="shared" si="35"/>
        <v>#DIV/0!</v>
      </c>
    </row>
    <row r="456" spans="1:10" x14ac:dyDescent="0.2">
      <c r="A456" s="25"/>
      <c r="B456" s="8" t="s">
        <v>22</v>
      </c>
      <c r="C456" s="26"/>
      <c r="D456" s="7"/>
      <c r="E456" s="7">
        <v>2.4809999999999999</v>
      </c>
      <c r="F456" s="7">
        <v>3.996</v>
      </c>
      <c r="G456" s="7">
        <v>5.8579999999999997</v>
      </c>
      <c r="H456" s="7">
        <f t="shared" si="36"/>
        <v>0.15490490490490497</v>
      </c>
      <c r="I456" s="7">
        <f t="shared" si="37"/>
        <v>0</v>
      </c>
      <c r="J456" s="12" t="e">
        <f t="shared" si="35"/>
        <v>#DIV/0!</v>
      </c>
    </row>
    <row r="457" spans="1:10" x14ac:dyDescent="0.2">
      <c r="A457" s="19" t="s">
        <v>7</v>
      </c>
      <c r="B457" s="5" t="s">
        <v>20</v>
      </c>
      <c r="C457" s="22">
        <v>10</v>
      </c>
      <c r="D457" s="4"/>
      <c r="E457" s="4">
        <v>2.41</v>
      </c>
      <c r="F457" s="4">
        <v>3.2770000000000001</v>
      </c>
      <c r="G457" s="4">
        <v>5.2389999999999999</v>
      </c>
      <c r="H457" s="4">
        <f t="shared" si="36"/>
        <v>0.1367104058590175</v>
      </c>
      <c r="I457" s="4">
        <f t="shared" si="37"/>
        <v>0</v>
      </c>
      <c r="J457" s="10">
        <f t="shared" si="35"/>
        <v>0</v>
      </c>
    </row>
    <row r="458" spans="1:10" x14ac:dyDescent="0.2">
      <c r="A458" s="20"/>
      <c r="B458" s="6" t="s">
        <v>21</v>
      </c>
      <c r="C458" s="23"/>
      <c r="D458">
        <v>1016</v>
      </c>
      <c r="E458">
        <v>2.4580000000000002</v>
      </c>
      <c r="F458">
        <v>3.4239999999999999</v>
      </c>
      <c r="G458">
        <v>5.423</v>
      </c>
      <c r="H458">
        <f t="shared" si="36"/>
        <v>0.13405373831775702</v>
      </c>
      <c r="I458">
        <f t="shared" si="37"/>
        <v>879.80140186915889</v>
      </c>
      <c r="J458" s="11" t="e">
        <f t="shared" si="35"/>
        <v>#DIV/0!</v>
      </c>
    </row>
    <row r="459" spans="1:10" x14ac:dyDescent="0.2">
      <c r="A459" s="25"/>
      <c r="B459" s="8" t="s">
        <v>22</v>
      </c>
      <c r="C459" s="26"/>
      <c r="D459" s="7"/>
      <c r="E459" s="7">
        <v>2.4649999999999999</v>
      </c>
      <c r="F459" s="7">
        <v>3.0110000000000001</v>
      </c>
      <c r="G459" s="7">
        <v>5.0860000000000003</v>
      </c>
      <c r="H459" s="7">
        <f t="shared" si="36"/>
        <v>0.12952507472600455</v>
      </c>
      <c r="I459" s="7">
        <f t="shared" si="37"/>
        <v>0</v>
      </c>
      <c r="J459" s="12" t="e">
        <f t="shared" si="35"/>
        <v>#DIV/0!</v>
      </c>
    </row>
    <row r="460" spans="1:10" x14ac:dyDescent="0.2">
      <c r="A460" s="19" t="s">
        <v>8</v>
      </c>
      <c r="B460" s="5" t="s">
        <v>20</v>
      </c>
      <c r="C460" s="22">
        <v>10</v>
      </c>
      <c r="D460" s="4"/>
      <c r="E460" s="4">
        <v>2.4830000000000001</v>
      </c>
      <c r="F460" s="4">
        <v>3.8239999999999998</v>
      </c>
      <c r="G460" s="4">
        <v>5.8369999999999997</v>
      </c>
      <c r="H460" s="4">
        <f t="shared" si="36"/>
        <v>0.12290794979079503</v>
      </c>
      <c r="I460" s="4">
        <f t="shared" si="37"/>
        <v>0</v>
      </c>
      <c r="J460" s="10">
        <f t="shared" si="35"/>
        <v>0</v>
      </c>
    </row>
    <row r="461" spans="1:10" x14ac:dyDescent="0.2">
      <c r="A461" s="20"/>
      <c r="B461" s="6" t="s">
        <v>21</v>
      </c>
      <c r="C461" s="23"/>
      <c r="D461">
        <v>919</v>
      </c>
      <c r="E461">
        <v>2.4020000000000001</v>
      </c>
      <c r="F461">
        <v>3.6720000000000002</v>
      </c>
      <c r="G461">
        <v>5.577</v>
      </c>
      <c r="H461">
        <f t="shared" si="36"/>
        <v>0.13534858387799573</v>
      </c>
      <c r="I461">
        <f t="shared" si="37"/>
        <v>794.61465141612189</v>
      </c>
      <c r="J461" s="11" t="e">
        <f t="shared" si="35"/>
        <v>#DIV/0!</v>
      </c>
    </row>
    <row r="462" spans="1:10" x14ac:dyDescent="0.2">
      <c r="A462" s="25"/>
      <c r="B462" s="8" t="s">
        <v>22</v>
      </c>
      <c r="C462" s="26"/>
      <c r="D462" s="7"/>
      <c r="E462" s="7">
        <v>2.4529999999999998</v>
      </c>
      <c r="F462" s="7">
        <v>3.855</v>
      </c>
      <c r="G462" s="7">
        <v>5.8140000000000001</v>
      </c>
      <c r="H462" s="7">
        <f t="shared" si="36"/>
        <v>0.12814526588845648</v>
      </c>
      <c r="I462" s="7">
        <f t="shared" si="37"/>
        <v>0</v>
      </c>
      <c r="J462" s="12" t="e">
        <f t="shared" si="35"/>
        <v>#DIV/0!</v>
      </c>
    </row>
    <row r="463" spans="1:10" x14ac:dyDescent="0.2">
      <c r="A463" s="19" t="s">
        <v>9</v>
      </c>
      <c r="B463" s="5" t="s">
        <v>20</v>
      </c>
      <c r="C463" s="22">
        <v>10</v>
      </c>
      <c r="D463" s="4"/>
      <c r="E463" s="4">
        <v>2.4140000000000001</v>
      </c>
      <c r="F463" s="4">
        <v>3.403</v>
      </c>
      <c r="G463" s="4">
        <v>5.36</v>
      </c>
      <c r="H463" s="4">
        <f t="shared" si="36"/>
        <v>0.13429327064354976</v>
      </c>
      <c r="I463" s="4">
        <f t="shared" si="37"/>
        <v>0</v>
      </c>
      <c r="J463" s="10">
        <f t="shared" si="35"/>
        <v>0</v>
      </c>
    </row>
    <row r="464" spans="1:10" x14ac:dyDescent="0.2">
      <c r="A464" s="20"/>
      <c r="B464" s="6" t="s">
        <v>21</v>
      </c>
      <c r="C464" s="23"/>
      <c r="D464">
        <v>956</v>
      </c>
      <c r="E464">
        <v>2.4390000000000001</v>
      </c>
      <c r="F464">
        <v>3.4420000000000002</v>
      </c>
      <c r="G464">
        <v>5.4770000000000003</v>
      </c>
      <c r="H464">
        <f t="shared" si="36"/>
        <v>0.11737361998837882</v>
      </c>
      <c r="I464">
        <f t="shared" si="37"/>
        <v>843.79081929110987</v>
      </c>
      <c r="J464" s="11" t="e">
        <f t="shared" si="35"/>
        <v>#DIV/0!</v>
      </c>
    </row>
    <row r="465" spans="1:10" x14ac:dyDescent="0.2">
      <c r="A465" s="25"/>
      <c r="B465" s="8" t="s">
        <v>22</v>
      </c>
      <c r="C465" s="26"/>
      <c r="D465" s="7"/>
      <c r="E465" s="7">
        <v>2.4430000000000001</v>
      </c>
      <c r="F465" s="7">
        <v>3.7170000000000001</v>
      </c>
      <c r="G465" s="7">
        <v>5.68</v>
      </c>
      <c r="H465" s="7">
        <f t="shared" si="36"/>
        <v>0.1291364003228411</v>
      </c>
      <c r="I465" s="7">
        <f t="shared" si="37"/>
        <v>0</v>
      </c>
      <c r="J465" s="12" t="e">
        <f t="shared" si="35"/>
        <v>#DIV/0!</v>
      </c>
    </row>
    <row r="466" spans="1:10" x14ac:dyDescent="0.2">
      <c r="A466" s="19" t="s">
        <v>10</v>
      </c>
      <c r="B466" s="5" t="s">
        <v>20</v>
      </c>
      <c r="C466" s="22">
        <v>10</v>
      </c>
      <c r="D466" s="4"/>
      <c r="E466" s="4">
        <v>2.4590000000000001</v>
      </c>
      <c r="F466" s="4">
        <v>3.83</v>
      </c>
      <c r="G466" s="4">
        <v>5.7889999999999997</v>
      </c>
      <c r="H466" s="4">
        <f t="shared" si="36"/>
        <v>0.13054830287206279</v>
      </c>
      <c r="I466" s="4">
        <f t="shared" si="37"/>
        <v>0</v>
      </c>
      <c r="J466" s="10">
        <f t="shared" si="35"/>
        <v>0</v>
      </c>
    </row>
    <row r="467" spans="1:10" x14ac:dyDescent="0.2">
      <c r="A467" s="20"/>
      <c r="B467" s="6" t="s">
        <v>21</v>
      </c>
      <c r="C467" s="23"/>
      <c r="D467">
        <v>804</v>
      </c>
      <c r="E467">
        <v>2.4510000000000001</v>
      </c>
      <c r="F467">
        <v>3.4119999999999999</v>
      </c>
      <c r="G467">
        <v>5.6050000000000004</v>
      </c>
      <c r="H467">
        <f t="shared" si="36"/>
        <v>7.5615474794841611E-2</v>
      </c>
      <c r="I467">
        <f t="shared" si="37"/>
        <v>743.20515826494739</v>
      </c>
      <c r="J467" s="11" t="e">
        <f t="shared" si="35"/>
        <v>#DIV/0!</v>
      </c>
    </row>
    <row r="468" spans="1:10" x14ac:dyDescent="0.2">
      <c r="A468" s="25"/>
      <c r="B468" s="8" t="s">
        <v>22</v>
      </c>
      <c r="C468" s="26"/>
      <c r="D468" s="7"/>
      <c r="E468" s="7">
        <v>2.4300000000000002</v>
      </c>
      <c r="F468" s="7">
        <v>3.4430000000000001</v>
      </c>
      <c r="G468" s="7">
        <v>5.4370000000000003</v>
      </c>
      <c r="H468" s="7">
        <f t="shared" si="36"/>
        <v>0.12663374963694451</v>
      </c>
      <c r="I468" s="7">
        <f t="shared" si="37"/>
        <v>0</v>
      </c>
      <c r="J468" s="12" t="e">
        <f t="shared" si="35"/>
        <v>#DIV/0!</v>
      </c>
    </row>
    <row r="469" spans="1:10" x14ac:dyDescent="0.2">
      <c r="A469" s="19" t="s">
        <v>11</v>
      </c>
      <c r="B469" s="5" t="s">
        <v>20</v>
      </c>
      <c r="C469" s="22">
        <v>10</v>
      </c>
      <c r="D469" s="4"/>
      <c r="E469" s="4">
        <v>2.419</v>
      </c>
      <c r="F469" s="4">
        <v>3.0190000000000001</v>
      </c>
      <c r="G469" s="4">
        <v>4.7889999999999997</v>
      </c>
      <c r="H469" s="4">
        <f t="shared" si="36"/>
        <v>0.21497184498178218</v>
      </c>
      <c r="I469" s="4">
        <f t="shared" si="37"/>
        <v>0</v>
      </c>
      <c r="J469" s="10">
        <f t="shared" si="35"/>
        <v>0</v>
      </c>
    </row>
    <row r="470" spans="1:10" x14ac:dyDescent="0.2">
      <c r="A470" s="20"/>
      <c r="B470" s="6" t="s">
        <v>21</v>
      </c>
      <c r="C470" s="23"/>
      <c r="D470">
        <v>965</v>
      </c>
      <c r="E470">
        <v>2.4710000000000001</v>
      </c>
      <c r="F470">
        <v>3.0030000000000001</v>
      </c>
      <c r="G470">
        <v>4.8520000000000003</v>
      </c>
      <c r="H470">
        <f t="shared" si="36"/>
        <v>0.20712620712620708</v>
      </c>
      <c r="I470">
        <f t="shared" si="37"/>
        <v>765.12321012321013</v>
      </c>
      <c r="J470" s="11" t="e">
        <f t="shared" si="35"/>
        <v>#DIV/0!</v>
      </c>
    </row>
    <row r="471" spans="1:10" x14ac:dyDescent="0.2">
      <c r="A471" s="25"/>
      <c r="B471" s="8" t="s">
        <v>22</v>
      </c>
      <c r="C471" s="26"/>
      <c r="D471" s="7"/>
      <c r="E471" s="7">
        <v>2.444</v>
      </c>
      <c r="F471" s="7">
        <v>3.0619999999999998</v>
      </c>
      <c r="G471" s="7">
        <v>4.9320000000000004</v>
      </c>
      <c r="H471" s="7">
        <f t="shared" si="36"/>
        <v>0.18745917700849099</v>
      </c>
      <c r="I471" s="7">
        <f t="shared" si="37"/>
        <v>0</v>
      </c>
      <c r="J471" s="12" t="e">
        <f t="shared" si="35"/>
        <v>#DIV/0!</v>
      </c>
    </row>
    <row r="472" spans="1:10" x14ac:dyDescent="0.2">
      <c r="A472" s="19" t="s">
        <v>12</v>
      </c>
      <c r="B472" s="5" t="s">
        <v>20</v>
      </c>
      <c r="C472" s="22">
        <v>10</v>
      </c>
      <c r="D472" s="4"/>
      <c r="E472" s="4">
        <v>2.431</v>
      </c>
      <c r="F472" s="4">
        <v>3.1190000000000002</v>
      </c>
      <c r="G472" s="4">
        <v>5.1870000000000003</v>
      </c>
      <c r="H472" s="4">
        <f t="shared" si="36"/>
        <v>0.11638345623597306</v>
      </c>
      <c r="I472" s="4">
        <f t="shared" si="37"/>
        <v>0</v>
      </c>
      <c r="J472" s="10">
        <f t="shared" si="35"/>
        <v>0</v>
      </c>
    </row>
    <row r="473" spans="1:10" x14ac:dyDescent="0.2">
      <c r="A473" s="20"/>
      <c r="B473" s="6" t="s">
        <v>21</v>
      </c>
      <c r="C473" s="23"/>
      <c r="D473">
        <v>929</v>
      </c>
      <c r="E473">
        <v>2.4049999999999998</v>
      </c>
      <c r="F473">
        <v>3.2930000000000001</v>
      </c>
      <c r="G473">
        <v>5.2279999999999998</v>
      </c>
      <c r="H473">
        <f t="shared" si="36"/>
        <v>0.142726996659581</v>
      </c>
      <c r="I473">
        <f t="shared" si="37"/>
        <v>796.40662010324922</v>
      </c>
      <c r="J473" s="11" t="e">
        <f t="shared" si="35"/>
        <v>#DIV/0!</v>
      </c>
    </row>
    <row r="474" spans="1:10" x14ac:dyDescent="0.2">
      <c r="A474" s="25"/>
      <c r="B474" s="8" t="s">
        <v>22</v>
      </c>
      <c r="C474" s="26"/>
      <c r="D474" s="7"/>
      <c r="E474" s="7">
        <v>2.4329999999999998</v>
      </c>
      <c r="F474" s="7">
        <v>3.387</v>
      </c>
      <c r="G474" s="7">
        <v>5.3570000000000002</v>
      </c>
      <c r="H474" s="7">
        <f t="shared" si="36"/>
        <v>0.13669914378506043</v>
      </c>
      <c r="I474" s="7">
        <f t="shared" si="37"/>
        <v>0</v>
      </c>
      <c r="J474" s="12" t="e">
        <f t="shared" si="35"/>
        <v>#DIV/0!</v>
      </c>
    </row>
    <row r="475" spans="1:10" x14ac:dyDescent="0.2">
      <c r="A475" s="19" t="s">
        <v>13</v>
      </c>
      <c r="B475" s="5" t="s">
        <v>20</v>
      </c>
      <c r="C475" s="22">
        <v>10</v>
      </c>
      <c r="D475" s="4"/>
      <c r="E475" s="4">
        <v>2.4380000000000002</v>
      </c>
      <c r="F475" s="4">
        <v>3.0859999999999999</v>
      </c>
      <c r="G475" s="4">
        <v>5.1180000000000003</v>
      </c>
      <c r="H475" s="4">
        <f t="shared" si="36"/>
        <v>0.13156189241736868</v>
      </c>
      <c r="I475" s="4">
        <f t="shared" si="37"/>
        <v>0</v>
      </c>
      <c r="J475" s="10">
        <f t="shared" si="35"/>
        <v>0</v>
      </c>
    </row>
    <row r="476" spans="1:10" x14ac:dyDescent="0.2">
      <c r="A476" s="20"/>
      <c r="B476" s="6" t="s">
        <v>21</v>
      </c>
      <c r="C476" s="23"/>
      <c r="D476">
        <v>893</v>
      </c>
      <c r="E476">
        <v>2.4209999999999998</v>
      </c>
      <c r="F476">
        <v>3.2160000000000002</v>
      </c>
      <c r="G476">
        <v>5.1749999999999998</v>
      </c>
      <c r="H476">
        <f t="shared" si="36"/>
        <v>0.1436567164179105</v>
      </c>
      <c r="I476">
        <f t="shared" si="37"/>
        <v>764.71455223880594</v>
      </c>
      <c r="J476" s="11" t="e">
        <f t="shared" si="35"/>
        <v>#DIV/0!</v>
      </c>
    </row>
    <row r="477" spans="1:10" x14ac:dyDescent="0.2">
      <c r="A477" s="25"/>
      <c r="B477" s="8" t="s">
        <v>22</v>
      </c>
      <c r="C477" s="26"/>
      <c r="D477" s="7"/>
      <c r="E477" s="7">
        <v>2.399</v>
      </c>
      <c r="F477" s="7">
        <v>3.3149999999999999</v>
      </c>
      <c r="G477" s="7">
        <v>5.2759999999999998</v>
      </c>
      <c r="H477" s="7">
        <f t="shared" si="36"/>
        <v>0.13212669683257924</v>
      </c>
      <c r="I477" s="7">
        <f t="shared" si="37"/>
        <v>0</v>
      </c>
      <c r="J477" s="12" t="e">
        <f t="shared" si="35"/>
        <v>#DIV/0!</v>
      </c>
    </row>
    <row r="478" spans="1:10" x14ac:dyDescent="0.2">
      <c r="A478" s="19" t="s">
        <v>14</v>
      </c>
      <c r="B478" s="5" t="s">
        <v>20</v>
      </c>
      <c r="C478" s="22">
        <v>9</v>
      </c>
      <c r="D478" s="4"/>
      <c r="E478" s="4">
        <v>2.4489999999999998</v>
      </c>
      <c r="F478" s="4">
        <v>3.3650000000000002</v>
      </c>
      <c r="G478" s="4">
        <v>5.3339999999999996</v>
      </c>
      <c r="H478" s="4">
        <f t="shared" si="36"/>
        <v>0.14264487369985152</v>
      </c>
      <c r="I478" s="4">
        <f t="shared" si="37"/>
        <v>0</v>
      </c>
      <c r="J478" s="10">
        <f t="shared" si="35"/>
        <v>0</v>
      </c>
    </row>
    <row r="479" spans="1:10" x14ac:dyDescent="0.2">
      <c r="A479" s="20"/>
      <c r="B479" s="6" t="s">
        <v>21</v>
      </c>
      <c r="C479" s="23"/>
      <c r="D479">
        <v>799</v>
      </c>
      <c r="E479">
        <v>2.4820000000000002</v>
      </c>
      <c r="F479">
        <v>3.7280000000000002</v>
      </c>
      <c r="G479">
        <v>5.7359999999999998</v>
      </c>
      <c r="H479">
        <f t="shared" si="36"/>
        <v>0.12714592274678127</v>
      </c>
      <c r="I479">
        <f t="shared" si="37"/>
        <v>697.41040772532176</v>
      </c>
      <c r="J479" s="11" t="e">
        <f t="shared" si="35"/>
        <v>#DIV/0!</v>
      </c>
    </row>
    <row r="480" spans="1:10" ht="16" thickBot="1" x14ac:dyDescent="0.25">
      <c r="A480" s="21"/>
      <c r="B480" s="15" t="s">
        <v>22</v>
      </c>
      <c r="C480" s="24"/>
      <c r="D480" s="13"/>
      <c r="E480" s="13">
        <v>2.4420000000000002</v>
      </c>
      <c r="F480" s="13">
        <v>3.8010000000000002</v>
      </c>
      <c r="G480" s="13">
        <v>5.6870000000000003</v>
      </c>
      <c r="H480" s="13">
        <f t="shared" si="36"/>
        <v>0.14627729544856619</v>
      </c>
      <c r="I480" s="13">
        <f t="shared" si="37"/>
        <v>0</v>
      </c>
      <c r="J480" s="14" t="e">
        <f t="shared" si="35"/>
        <v>#DIV/0!</v>
      </c>
    </row>
    <row r="481" spans="1:10" ht="16" thickBot="1" x14ac:dyDescent="0.25">
      <c r="A481" s="44" t="s">
        <v>1</v>
      </c>
      <c r="B481" s="33"/>
      <c r="C481" s="33"/>
      <c r="D481" s="33" t="s">
        <v>38</v>
      </c>
      <c r="E481" s="34"/>
      <c r="F481" s="9" t="s">
        <v>0</v>
      </c>
      <c r="G481" s="18">
        <v>44180</v>
      </c>
      <c r="H481" s="35" t="s">
        <v>24</v>
      </c>
      <c r="I481" s="36"/>
      <c r="J481" s="1">
        <v>116</v>
      </c>
    </row>
    <row r="482" spans="1:10" ht="16" thickBot="1" x14ac:dyDescent="0.25">
      <c r="A482" s="37" t="s">
        <v>2</v>
      </c>
      <c r="B482" s="38"/>
      <c r="C482" s="38"/>
      <c r="D482" s="38"/>
      <c r="E482" s="39"/>
      <c r="F482" s="40"/>
      <c r="G482" s="41"/>
      <c r="H482" s="42" t="s">
        <v>25</v>
      </c>
      <c r="I482" s="43"/>
      <c r="J482" s="2">
        <v>21</v>
      </c>
    </row>
    <row r="483" spans="1:10" ht="16" thickBot="1" x14ac:dyDescent="0.25">
      <c r="A483" s="45" t="s">
        <v>27</v>
      </c>
      <c r="B483" s="27"/>
      <c r="C483" s="27"/>
      <c r="D483" s="27" t="s">
        <v>36</v>
      </c>
      <c r="E483" s="28"/>
      <c r="F483" s="16" t="s">
        <v>30</v>
      </c>
      <c r="G483" s="16">
        <v>3.81</v>
      </c>
      <c r="H483" s="29" t="s">
        <v>26</v>
      </c>
      <c r="I483" s="30"/>
      <c r="J483" s="3">
        <v>38</v>
      </c>
    </row>
    <row r="484" spans="1:10" x14ac:dyDescent="0.2">
      <c r="A484" s="31"/>
      <c r="B484" s="32"/>
      <c r="C484" s="16" t="s">
        <v>29</v>
      </c>
      <c r="D484" s="16" t="s">
        <v>19</v>
      </c>
      <c r="E484" s="16" t="s">
        <v>15</v>
      </c>
      <c r="F484" s="16" t="s">
        <v>18</v>
      </c>
      <c r="G484" s="16" t="s">
        <v>17</v>
      </c>
      <c r="H484" s="16" t="s">
        <v>28</v>
      </c>
      <c r="I484" s="16" t="s">
        <v>16</v>
      </c>
      <c r="J484" s="17" t="s">
        <v>23</v>
      </c>
    </row>
    <row r="485" spans="1:10" x14ac:dyDescent="0.2">
      <c r="A485" s="19" t="s">
        <v>3</v>
      </c>
      <c r="B485" s="5" t="s">
        <v>20</v>
      </c>
      <c r="C485" s="22">
        <v>10</v>
      </c>
      <c r="D485" s="4"/>
      <c r="E485" s="4">
        <v>2.4609999999999999</v>
      </c>
      <c r="F485" s="4">
        <v>3.887</v>
      </c>
      <c r="G485" s="4">
        <v>5.67</v>
      </c>
      <c r="H485" s="4">
        <f>(F485-(G485-E485))/F485</f>
        <v>0.17442757910985335</v>
      </c>
      <c r="I485" s="4">
        <f>D485-H485*D485</f>
        <v>0</v>
      </c>
      <c r="J485" s="10">
        <f t="shared" ref="J485:J520" si="38">I485/($G$3^2*C485*PI())</f>
        <v>0</v>
      </c>
    </row>
    <row r="486" spans="1:10" x14ac:dyDescent="0.2">
      <c r="A486" s="20"/>
      <c r="B486" s="6" t="s">
        <v>21</v>
      </c>
      <c r="C486" s="23"/>
      <c r="D486">
        <v>789</v>
      </c>
      <c r="E486">
        <v>2.4409999999999998</v>
      </c>
      <c r="F486">
        <v>3.6520000000000001</v>
      </c>
      <c r="G486">
        <v>5.4669999999999996</v>
      </c>
      <c r="H486">
        <f t="shared" ref="H486:H520" si="39">(F486-(G486-E486))/F486</f>
        <v>0.17141292442497269</v>
      </c>
      <c r="I486">
        <f t="shared" ref="I486:I520" si="40">D486-H486*D486</f>
        <v>653.75520262869657</v>
      </c>
      <c r="J486" s="11" t="e">
        <f t="shared" si="38"/>
        <v>#DIV/0!</v>
      </c>
    </row>
    <row r="487" spans="1:10" x14ac:dyDescent="0.2">
      <c r="A487" s="25"/>
      <c r="B487" s="8" t="s">
        <v>22</v>
      </c>
      <c r="C487" s="26"/>
      <c r="D487" s="7"/>
      <c r="E487" s="7">
        <v>2.4089999999999998</v>
      </c>
      <c r="F487" s="7">
        <v>3.9380000000000002</v>
      </c>
      <c r="G487" s="7">
        <v>5.7050000000000001</v>
      </c>
      <c r="H487" s="7">
        <f t="shared" si="39"/>
        <v>0.16302691721686133</v>
      </c>
      <c r="I487" s="7">
        <f t="shared" si="40"/>
        <v>0</v>
      </c>
      <c r="J487" s="12" t="e">
        <f t="shared" si="38"/>
        <v>#DIV/0!</v>
      </c>
    </row>
    <row r="488" spans="1:10" x14ac:dyDescent="0.2">
      <c r="A488" s="19" t="s">
        <v>4</v>
      </c>
      <c r="B488" s="5" t="s">
        <v>20</v>
      </c>
      <c r="C488" s="23">
        <v>10</v>
      </c>
      <c r="E488">
        <v>2.4220000000000002</v>
      </c>
      <c r="F488">
        <v>3.0459999999999998</v>
      </c>
      <c r="G488">
        <v>5.01</v>
      </c>
      <c r="H488" s="4">
        <f t="shared" si="39"/>
        <v>0.15036112934996723</v>
      </c>
      <c r="I488" s="4">
        <f t="shared" si="40"/>
        <v>0</v>
      </c>
      <c r="J488" s="10">
        <f t="shared" si="38"/>
        <v>0</v>
      </c>
    </row>
    <row r="489" spans="1:10" x14ac:dyDescent="0.2">
      <c r="A489" s="20"/>
      <c r="B489" s="6" t="s">
        <v>21</v>
      </c>
      <c r="C489" s="23"/>
      <c r="D489">
        <v>744</v>
      </c>
      <c r="E489">
        <v>2.44</v>
      </c>
      <c r="F489">
        <v>3.1150000000000002</v>
      </c>
      <c r="G489">
        <v>5.0119999999999996</v>
      </c>
      <c r="H489">
        <f t="shared" si="39"/>
        <v>0.1743178170144464</v>
      </c>
      <c r="I489">
        <f t="shared" si="40"/>
        <v>614.30754414125181</v>
      </c>
      <c r="J489" s="11" t="e">
        <f t="shared" si="38"/>
        <v>#DIV/0!</v>
      </c>
    </row>
    <row r="490" spans="1:10" x14ac:dyDescent="0.2">
      <c r="A490" s="25"/>
      <c r="B490" s="8" t="s">
        <v>22</v>
      </c>
      <c r="C490" s="26"/>
      <c r="D490" s="7"/>
      <c r="E490" s="7">
        <v>2.4460000000000002</v>
      </c>
      <c r="F490" s="7">
        <v>3.3879999999999999</v>
      </c>
      <c r="G490" s="7">
        <v>5.2670000000000003</v>
      </c>
      <c r="H490" s="7">
        <f t="shared" si="39"/>
        <v>0.16735537190082636</v>
      </c>
      <c r="I490" s="7">
        <f t="shared" si="40"/>
        <v>0</v>
      </c>
      <c r="J490" s="12" t="e">
        <f t="shared" si="38"/>
        <v>#DIV/0!</v>
      </c>
    </row>
    <row r="491" spans="1:10" x14ac:dyDescent="0.2">
      <c r="A491" s="19" t="s">
        <v>5</v>
      </c>
      <c r="B491" s="5" t="s">
        <v>20</v>
      </c>
      <c r="C491" s="22">
        <v>10</v>
      </c>
      <c r="D491" s="4"/>
      <c r="E491" s="4">
        <v>2.4510000000000001</v>
      </c>
      <c r="F491" s="4">
        <v>3.1880000000000002</v>
      </c>
      <c r="G491" s="4">
        <v>5.1820000000000004</v>
      </c>
      <c r="H491" s="4">
        <f t="shared" si="39"/>
        <v>0.14335006273525716</v>
      </c>
      <c r="I491" s="4">
        <f t="shared" si="40"/>
        <v>0</v>
      </c>
      <c r="J491" s="10">
        <f t="shared" si="38"/>
        <v>0</v>
      </c>
    </row>
    <row r="492" spans="1:10" x14ac:dyDescent="0.2">
      <c r="A492" s="20"/>
      <c r="B492" s="6" t="s">
        <v>21</v>
      </c>
      <c r="C492" s="23"/>
      <c r="D492">
        <v>961</v>
      </c>
      <c r="E492">
        <v>2.4470000000000001</v>
      </c>
      <c r="F492">
        <v>3.2010000000000001</v>
      </c>
      <c r="G492">
        <v>5.1710000000000003</v>
      </c>
      <c r="H492">
        <f t="shared" si="39"/>
        <v>0.14901593252108711</v>
      </c>
      <c r="I492">
        <f t="shared" si="40"/>
        <v>817.79568884723528</v>
      </c>
      <c r="J492" s="11" t="e">
        <f t="shared" si="38"/>
        <v>#DIV/0!</v>
      </c>
    </row>
    <row r="493" spans="1:10" x14ac:dyDescent="0.2">
      <c r="A493" s="25"/>
      <c r="B493" s="8" t="s">
        <v>22</v>
      </c>
      <c r="C493" s="26"/>
      <c r="D493" s="7"/>
      <c r="E493" s="7">
        <v>2.4319999999999999</v>
      </c>
      <c r="F493" s="7">
        <v>3.222</v>
      </c>
      <c r="G493" s="7">
        <v>5.1920000000000002</v>
      </c>
      <c r="H493" s="7">
        <f t="shared" si="39"/>
        <v>0.14338919925512097</v>
      </c>
      <c r="I493" s="7">
        <f t="shared" si="40"/>
        <v>0</v>
      </c>
      <c r="J493" s="12" t="e">
        <f t="shared" si="38"/>
        <v>#DIV/0!</v>
      </c>
    </row>
    <row r="494" spans="1:10" x14ac:dyDescent="0.2">
      <c r="A494" s="19" t="s">
        <v>6</v>
      </c>
      <c r="B494" s="5" t="s">
        <v>20</v>
      </c>
      <c r="C494" s="22">
        <v>10</v>
      </c>
      <c r="D494" s="4"/>
      <c r="E494" s="4">
        <v>2.423</v>
      </c>
      <c r="F494" s="4">
        <v>3.1320000000000001</v>
      </c>
      <c r="G494" s="4">
        <v>5.0579999999999998</v>
      </c>
      <c r="H494" s="4">
        <f t="shared" si="39"/>
        <v>0.15868454661558121</v>
      </c>
      <c r="I494" s="4">
        <f t="shared" si="40"/>
        <v>0</v>
      </c>
      <c r="J494" s="10">
        <f t="shared" si="38"/>
        <v>0</v>
      </c>
    </row>
    <row r="495" spans="1:10" x14ac:dyDescent="0.2">
      <c r="A495" s="20"/>
      <c r="B495" s="6" t="s">
        <v>21</v>
      </c>
      <c r="C495" s="23"/>
      <c r="D495">
        <v>879</v>
      </c>
      <c r="E495">
        <v>2.4580000000000002</v>
      </c>
      <c r="F495">
        <v>3.2909999999999999</v>
      </c>
      <c r="G495">
        <v>5.3449999999999998</v>
      </c>
      <c r="H495">
        <f t="shared" si="39"/>
        <v>0.12275903980553035</v>
      </c>
      <c r="I495">
        <f t="shared" si="40"/>
        <v>771.09480401093879</v>
      </c>
      <c r="J495" s="11" t="e">
        <f t="shared" si="38"/>
        <v>#DIV/0!</v>
      </c>
    </row>
    <row r="496" spans="1:10" x14ac:dyDescent="0.2">
      <c r="A496" s="25"/>
      <c r="B496" s="8" t="s">
        <v>22</v>
      </c>
      <c r="C496" s="26"/>
      <c r="D496" s="7"/>
      <c r="E496" s="7">
        <v>2.4279999999999999</v>
      </c>
      <c r="F496" s="7">
        <v>3.4460000000000002</v>
      </c>
      <c r="G496" s="7">
        <v>5.3929999999999998</v>
      </c>
      <c r="H496" s="7">
        <f t="shared" si="39"/>
        <v>0.13958212420197338</v>
      </c>
      <c r="I496" s="7">
        <f t="shared" si="40"/>
        <v>0</v>
      </c>
      <c r="J496" s="12" t="e">
        <f t="shared" si="38"/>
        <v>#DIV/0!</v>
      </c>
    </row>
    <row r="497" spans="1:10" x14ac:dyDescent="0.2">
      <c r="A497" s="19" t="s">
        <v>7</v>
      </c>
      <c r="B497" s="5" t="s">
        <v>20</v>
      </c>
      <c r="C497" s="22">
        <v>10</v>
      </c>
      <c r="D497" s="4"/>
      <c r="E497" s="4">
        <v>2.4380000000000002</v>
      </c>
      <c r="F497" s="4">
        <v>3.552</v>
      </c>
      <c r="G497" s="4">
        <v>5.5289999999999999</v>
      </c>
      <c r="H497" s="4">
        <f t="shared" si="39"/>
        <v>0.12978603603603611</v>
      </c>
      <c r="I497" s="4">
        <f t="shared" si="40"/>
        <v>0</v>
      </c>
      <c r="J497" s="10">
        <f t="shared" si="38"/>
        <v>0</v>
      </c>
    </row>
    <row r="498" spans="1:10" x14ac:dyDescent="0.2">
      <c r="A498" s="20"/>
      <c r="B498" s="6" t="s">
        <v>21</v>
      </c>
      <c r="C498" s="23"/>
      <c r="D498">
        <v>894</v>
      </c>
      <c r="E498">
        <v>2.4510000000000001</v>
      </c>
      <c r="F498">
        <v>3.1019999999999999</v>
      </c>
      <c r="G498">
        <v>5.1079999999999997</v>
      </c>
      <c r="H498">
        <f t="shared" si="39"/>
        <v>0.14345583494519676</v>
      </c>
      <c r="I498">
        <f t="shared" si="40"/>
        <v>765.75048355899412</v>
      </c>
      <c r="J498" s="11" t="e">
        <f t="shared" si="38"/>
        <v>#DIV/0!</v>
      </c>
    </row>
    <row r="499" spans="1:10" x14ac:dyDescent="0.2">
      <c r="A499" s="25"/>
      <c r="B499" s="8" t="s">
        <v>22</v>
      </c>
      <c r="C499" s="26"/>
      <c r="D499" s="7"/>
      <c r="E499" s="7">
        <v>2.4769999999999999</v>
      </c>
      <c r="F499" s="7">
        <v>3.125</v>
      </c>
      <c r="G499" s="7">
        <v>5.1660000000000004</v>
      </c>
      <c r="H499" s="7">
        <f t="shared" si="39"/>
        <v>0.13951999999999984</v>
      </c>
      <c r="I499" s="7">
        <f t="shared" si="40"/>
        <v>0</v>
      </c>
      <c r="J499" s="12" t="e">
        <f t="shared" si="38"/>
        <v>#DIV/0!</v>
      </c>
    </row>
    <row r="500" spans="1:10" x14ac:dyDescent="0.2">
      <c r="A500" s="19" t="s">
        <v>8</v>
      </c>
      <c r="B500" s="5" t="s">
        <v>20</v>
      </c>
      <c r="C500" s="22">
        <v>10</v>
      </c>
      <c r="D500" s="4"/>
      <c r="E500" s="4">
        <v>2.4940000000000002</v>
      </c>
      <c r="F500" s="4">
        <v>3.0609999999999999</v>
      </c>
      <c r="G500" s="4">
        <v>5.12</v>
      </c>
      <c r="H500" s="4">
        <f t="shared" si="39"/>
        <v>0.14211042143090497</v>
      </c>
      <c r="I500" s="4">
        <f t="shared" si="40"/>
        <v>0</v>
      </c>
      <c r="J500" s="10">
        <f t="shared" si="38"/>
        <v>0</v>
      </c>
    </row>
    <row r="501" spans="1:10" x14ac:dyDescent="0.2">
      <c r="A501" s="20"/>
      <c r="B501" s="6" t="s">
        <v>21</v>
      </c>
      <c r="C501" s="23"/>
      <c r="D501">
        <v>944</v>
      </c>
      <c r="E501">
        <v>2.419</v>
      </c>
      <c r="F501">
        <v>3.3570000000000002</v>
      </c>
      <c r="G501">
        <v>5.476</v>
      </c>
      <c r="H501">
        <f t="shared" si="39"/>
        <v>8.9365504915102839E-2</v>
      </c>
      <c r="I501">
        <f t="shared" si="40"/>
        <v>859.63896336014295</v>
      </c>
      <c r="J501" s="11" t="e">
        <f t="shared" si="38"/>
        <v>#DIV/0!</v>
      </c>
    </row>
    <row r="502" spans="1:10" x14ac:dyDescent="0.2">
      <c r="A502" s="25"/>
      <c r="B502" s="8" t="s">
        <v>22</v>
      </c>
      <c r="C502" s="26"/>
      <c r="D502" s="7"/>
      <c r="E502" s="7">
        <v>2.4649999999999999</v>
      </c>
      <c r="F502" s="7">
        <v>3.1760000000000002</v>
      </c>
      <c r="G502" s="7">
        <v>5.1959999999999997</v>
      </c>
      <c r="H502" s="7">
        <f t="shared" si="39"/>
        <v>0.14011335012594467</v>
      </c>
      <c r="I502" s="7">
        <f t="shared" si="40"/>
        <v>0</v>
      </c>
      <c r="J502" s="12" t="e">
        <f t="shared" si="38"/>
        <v>#DIV/0!</v>
      </c>
    </row>
    <row r="503" spans="1:10" x14ac:dyDescent="0.2">
      <c r="A503" s="19" t="s">
        <v>9</v>
      </c>
      <c r="B503" s="5" t="s">
        <v>20</v>
      </c>
      <c r="C503" s="22">
        <v>10</v>
      </c>
      <c r="D503" s="4"/>
      <c r="E503" s="4">
        <v>2.448</v>
      </c>
      <c r="F503" s="4">
        <v>3.1259999999999999</v>
      </c>
      <c r="G503" s="4">
        <v>5.1239999999999997</v>
      </c>
      <c r="H503" s="4">
        <f t="shared" si="39"/>
        <v>0.14395393474088297</v>
      </c>
      <c r="I503" s="4">
        <f t="shared" si="40"/>
        <v>0</v>
      </c>
      <c r="J503" s="10">
        <f t="shared" si="38"/>
        <v>0</v>
      </c>
    </row>
    <row r="504" spans="1:10" x14ac:dyDescent="0.2">
      <c r="A504" s="20"/>
      <c r="B504" s="6" t="s">
        <v>21</v>
      </c>
      <c r="C504" s="23"/>
      <c r="D504">
        <v>825</v>
      </c>
      <c r="E504">
        <v>2.4089999999999998</v>
      </c>
      <c r="F504">
        <v>3.0139999999999998</v>
      </c>
      <c r="G504">
        <v>4.9950000000000001</v>
      </c>
      <c r="H504">
        <f t="shared" si="39"/>
        <v>0.14200398142003964</v>
      </c>
      <c r="I504">
        <f t="shared" si="40"/>
        <v>707.84671532846733</v>
      </c>
      <c r="J504" s="11" t="e">
        <f t="shared" si="38"/>
        <v>#DIV/0!</v>
      </c>
    </row>
    <row r="505" spans="1:10" x14ac:dyDescent="0.2">
      <c r="A505" s="25"/>
      <c r="B505" s="8" t="s">
        <v>22</v>
      </c>
      <c r="C505" s="26"/>
      <c r="D505" s="7"/>
      <c r="E505" s="7">
        <v>2.4279999999999999</v>
      </c>
      <c r="F505" s="7">
        <v>3.008</v>
      </c>
      <c r="G505" s="7">
        <v>5.0190000000000001</v>
      </c>
      <c r="H505" s="7">
        <f t="shared" si="39"/>
        <v>0.13863031914893612</v>
      </c>
      <c r="I505" s="7">
        <f t="shared" si="40"/>
        <v>0</v>
      </c>
      <c r="J505" s="12" t="e">
        <f t="shared" si="38"/>
        <v>#DIV/0!</v>
      </c>
    </row>
    <row r="506" spans="1:10" x14ac:dyDescent="0.2">
      <c r="A506" s="19" t="s">
        <v>10</v>
      </c>
      <c r="B506" s="5" t="s">
        <v>20</v>
      </c>
      <c r="C506" s="22">
        <v>10</v>
      </c>
      <c r="D506" s="4"/>
      <c r="E506" s="4">
        <v>2.4380000000000002</v>
      </c>
      <c r="F506" s="4">
        <v>3.7650000000000001</v>
      </c>
      <c r="G506" s="4">
        <v>5.6849999999999996</v>
      </c>
      <c r="H506" s="4">
        <f t="shared" si="39"/>
        <v>0.13758300132802143</v>
      </c>
      <c r="I506" s="4">
        <f t="shared" si="40"/>
        <v>0</v>
      </c>
      <c r="J506" s="10">
        <f t="shared" si="38"/>
        <v>0</v>
      </c>
    </row>
    <row r="507" spans="1:10" x14ac:dyDescent="0.2">
      <c r="A507" s="20"/>
      <c r="B507" s="6" t="s">
        <v>21</v>
      </c>
      <c r="C507" s="23"/>
      <c r="D507">
        <v>888</v>
      </c>
      <c r="E507">
        <v>2.44</v>
      </c>
      <c r="F507">
        <v>3.2</v>
      </c>
      <c r="G507">
        <v>5.2380000000000004</v>
      </c>
      <c r="H507">
        <f t="shared" si="39"/>
        <v>0.1256249999999999</v>
      </c>
      <c r="I507">
        <f t="shared" si="40"/>
        <v>776.44500000000005</v>
      </c>
      <c r="J507" s="11" t="e">
        <f t="shared" si="38"/>
        <v>#DIV/0!</v>
      </c>
    </row>
    <row r="508" spans="1:10" x14ac:dyDescent="0.2">
      <c r="A508" s="25"/>
      <c r="B508" s="8" t="s">
        <v>22</v>
      </c>
      <c r="C508" s="26"/>
      <c r="D508" s="7"/>
      <c r="E508" s="7">
        <v>2.431</v>
      </c>
      <c r="F508" s="7">
        <v>3.806</v>
      </c>
      <c r="G508" s="7">
        <v>5.7110000000000003</v>
      </c>
      <c r="H508" s="7">
        <f t="shared" si="39"/>
        <v>0.1382028376248029</v>
      </c>
      <c r="I508" s="7">
        <f t="shared" si="40"/>
        <v>0</v>
      </c>
      <c r="J508" s="12" t="e">
        <f t="shared" si="38"/>
        <v>#DIV/0!</v>
      </c>
    </row>
    <row r="509" spans="1:10" x14ac:dyDescent="0.2">
      <c r="A509" s="19" t="s">
        <v>11</v>
      </c>
      <c r="B509" s="5" t="s">
        <v>20</v>
      </c>
      <c r="C509" s="22">
        <v>10</v>
      </c>
      <c r="D509" s="4"/>
      <c r="E509" s="4">
        <v>2.4409999999999998</v>
      </c>
      <c r="F509" s="4">
        <v>3.5179999999999998</v>
      </c>
      <c r="G509" s="4">
        <v>5.4649999999999999</v>
      </c>
      <c r="H509" s="4">
        <f t="shared" si="39"/>
        <v>0.14042069357589534</v>
      </c>
      <c r="I509" s="4">
        <f t="shared" si="40"/>
        <v>0</v>
      </c>
      <c r="J509" s="10">
        <f t="shared" si="38"/>
        <v>0</v>
      </c>
    </row>
    <row r="510" spans="1:10" x14ac:dyDescent="0.2">
      <c r="A510" s="20"/>
      <c r="B510" s="6" t="s">
        <v>21</v>
      </c>
      <c r="C510" s="23"/>
      <c r="D510">
        <v>975</v>
      </c>
      <c r="E510">
        <v>2.4580000000000002</v>
      </c>
      <c r="F510">
        <v>3.9460000000000002</v>
      </c>
      <c r="G510">
        <v>5.891</v>
      </c>
      <c r="H510">
        <f t="shared" si="39"/>
        <v>0.13000506842372031</v>
      </c>
      <c r="I510">
        <f t="shared" si="40"/>
        <v>848.24505828687268</v>
      </c>
      <c r="J510" s="11" t="e">
        <f t="shared" si="38"/>
        <v>#DIV/0!</v>
      </c>
    </row>
    <row r="511" spans="1:10" x14ac:dyDescent="0.2">
      <c r="A511" s="25"/>
      <c r="B511" s="8" t="s">
        <v>22</v>
      </c>
      <c r="C511" s="26"/>
      <c r="D511" s="7"/>
      <c r="E511" s="7">
        <v>2.4060000000000001</v>
      </c>
      <c r="F511" s="7">
        <v>3.4569999999999999</v>
      </c>
      <c r="G511" s="7">
        <v>5.4359999999999999</v>
      </c>
      <c r="H511" s="7">
        <f t="shared" si="39"/>
        <v>0.1235175007231704</v>
      </c>
      <c r="I511" s="7">
        <f t="shared" si="40"/>
        <v>0</v>
      </c>
      <c r="J511" s="12" t="e">
        <f t="shared" si="38"/>
        <v>#DIV/0!</v>
      </c>
    </row>
    <row r="512" spans="1:10" x14ac:dyDescent="0.2">
      <c r="A512" s="19" t="s">
        <v>12</v>
      </c>
      <c r="B512" s="5" t="s">
        <v>20</v>
      </c>
      <c r="C512" s="22">
        <v>10</v>
      </c>
      <c r="D512" s="4"/>
      <c r="E512" s="4">
        <v>2.419</v>
      </c>
      <c r="F512" s="4">
        <v>3.4380000000000002</v>
      </c>
      <c r="G512" s="4">
        <v>5.3789999999999996</v>
      </c>
      <c r="H512" s="4">
        <f t="shared" si="39"/>
        <v>0.13903432228039575</v>
      </c>
      <c r="I512" s="4">
        <f t="shared" si="40"/>
        <v>0</v>
      </c>
      <c r="J512" s="10">
        <f t="shared" si="38"/>
        <v>0</v>
      </c>
    </row>
    <row r="513" spans="1:10" x14ac:dyDescent="0.2">
      <c r="A513" s="20"/>
      <c r="B513" s="6" t="s">
        <v>21</v>
      </c>
      <c r="C513" s="23"/>
      <c r="D513">
        <v>813</v>
      </c>
      <c r="E513">
        <v>2.4089999999999998</v>
      </c>
      <c r="F513">
        <v>3.1520000000000001</v>
      </c>
      <c r="G513">
        <v>5.1130000000000004</v>
      </c>
      <c r="H513">
        <f t="shared" si="39"/>
        <v>0.14213197969543132</v>
      </c>
      <c r="I513">
        <f t="shared" si="40"/>
        <v>697.44670050761431</v>
      </c>
      <c r="J513" s="11" t="e">
        <f t="shared" si="38"/>
        <v>#DIV/0!</v>
      </c>
    </row>
    <row r="514" spans="1:10" x14ac:dyDescent="0.2">
      <c r="A514" s="25"/>
      <c r="B514" s="8" t="s">
        <v>22</v>
      </c>
      <c r="C514" s="26"/>
      <c r="D514" s="7"/>
      <c r="E514" s="7">
        <v>2.4529999999999998</v>
      </c>
      <c r="F514" s="7">
        <v>3.4390000000000001</v>
      </c>
      <c r="G514" s="7">
        <v>5.423</v>
      </c>
      <c r="H514" s="7">
        <f t="shared" si="39"/>
        <v>0.13637685373655128</v>
      </c>
      <c r="I514" s="7">
        <f t="shared" si="40"/>
        <v>0</v>
      </c>
      <c r="J514" s="12" t="e">
        <f t="shared" si="38"/>
        <v>#DIV/0!</v>
      </c>
    </row>
    <row r="515" spans="1:10" x14ac:dyDescent="0.2">
      <c r="A515" s="19" t="s">
        <v>13</v>
      </c>
      <c r="B515" s="5" t="s">
        <v>20</v>
      </c>
      <c r="C515" s="22">
        <v>10</v>
      </c>
      <c r="D515" s="4"/>
      <c r="E515" s="4">
        <v>2.4129999999999998</v>
      </c>
      <c r="F515" s="4">
        <v>3.464</v>
      </c>
      <c r="G515" s="4">
        <v>5.3879999999999999</v>
      </c>
      <c r="H515" s="4">
        <f t="shared" si="39"/>
        <v>0.14116628175519627</v>
      </c>
      <c r="I515" s="4">
        <f t="shared" si="40"/>
        <v>0</v>
      </c>
      <c r="J515" s="10">
        <f t="shared" si="38"/>
        <v>0</v>
      </c>
    </row>
    <row r="516" spans="1:10" x14ac:dyDescent="0.2">
      <c r="A516" s="20"/>
      <c r="B516" s="6" t="s">
        <v>21</v>
      </c>
      <c r="C516" s="23"/>
      <c r="D516">
        <v>904</v>
      </c>
      <c r="E516">
        <v>2.4900000000000002</v>
      </c>
      <c r="F516">
        <v>3.242</v>
      </c>
      <c r="G516">
        <v>5.2560000000000002</v>
      </c>
      <c r="H516">
        <f t="shared" si="39"/>
        <v>0.14682294879703886</v>
      </c>
      <c r="I516">
        <f t="shared" si="40"/>
        <v>771.27205428747686</v>
      </c>
      <c r="J516" s="11" t="e">
        <f t="shared" si="38"/>
        <v>#DIV/0!</v>
      </c>
    </row>
    <row r="517" spans="1:10" x14ac:dyDescent="0.2">
      <c r="A517" s="25"/>
      <c r="B517" s="8" t="s">
        <v>22</v>
      </c>
      <c r="C517" s="26"/>
      <c r="D517" s="7"/>
      <c r="E517" s="7">
        <v>2.4449999999999998</v>
      </c>
      <c r="F517" s="7">
        <v>3.4140000000000001</v>
      </c>
      <c r="G517" s="7">
        <v>5.37</v>
      </c>
      <c r="H517" s="7">
        <f t="shared" si="39"/>
        <v>0.1432337434094903</v>
      </c>
      <c r="I517" s="7">
        <f t="shared" si="40"/>
        <v>0</v>
      </c>
      <c r="J517" s="12" t="e">
        <f t="shared" si="38"/>
        <v>#DIV/0!</v>
      </c>
    </row>
    <row r="518" spans="1:10" x14ac:dyDescent="0.2">
      <c r="A518" s="19" t="s">
        <v>14</v>
      </c>
      <c r="B518" s="5" t="s">
        <v>20</v>
      </c>
      <c r="C518" s="22">
        <v>6</v>
      </c>
      <c r="D518" s="4"/>
      <c r="E518" s="4">
        <v>2.4289999999999998</v>
      </c>
      <c r="F518" s="4">
        <v>3.7130000000000001</v>
      </c>
      <c r="G518" s="4">
        <v>5.5810000000000004</v>
      </c>
      <c r="H518" s="4">
        <f t="shared" si="39"/>
        <v>0.15109076218691073</v>
      </c>
      <c r="I518" s="4">
        <f t="shared" si="40"/>
        <v>0</v>
      </c>
      <c r="J518" s="10">
        <f t="shared" si="38"/>
        <v>0</v>
      </c>
    </row>
    <row r="519" spans="1:10" x14ac:dyDescent="0.2">
      <c r="A519" s="20"/>
      <c r="B519" s="6" t="s">
        <v>21</v>
      </c>
      <c r="C519" s="23"/>
      <c r="D519">
        <v>294</v>
      </c>
      <c r="E519">
        <v>2.4159999999999999</v>
      </c>
      <c r="F519">
        <v>3.39</v>
      </c>
      <c r="G519">
        <v>5.3529999999999998</v>
      </c>
      <c r="H519">
        <f t="shared" si="39"/>
        <v>0.13362831858407087</v>
      </c>
      <c r="I519">
        <f t="shared" si="40"/>
        <v>254.71327433628318</v>
      </c>
      <c r="J519" s="11" t="e">
        <f t="shared" si="38"/>
        <v>#DIV/0!</v>
      </c>
    </row>
    <row r="520" spans="1:10" ht="16" thickBot="1" x14ac:dyDescent="0.25">
      <c r="A520" s="21"/>
      <c r="B520" s="15" t="s">
        <v>22</v>
      </c>
      <c r="C520" s="24"/>
      <c r="D520" s="13"/>
      <c r="E520" s="13">
        <v>2.4359999999999999</v>
      </c>
      <c r="F520" s="13">
        <v>3.395</v>
      </c>
      <c r="G520" s="13">
        <v>5.3769999999999998</v>
      </c>
      <c r="H520" s="13">
        <f t="shared" si="39"/>
        <v>0.13372606774668636</v>
      </c>
      <c r="I520" s="13">
        <f t="shared" si="40"/>
        <v>0</v>
      </c>
      <c r="J520" s="14" t="e">
        <f t="shared" si="38"/>
        <v>#DIV/0!</v>
      </c>
    </row>
    <row r="521" spans="1:10" ht="16" thickBot="1" x14ac:dyDescent="0.25">
      <c r="A521" s="44" t="s">
        <v>1</v>
      </c>
      <c r="B521" s="33"/>
      <c r="C521" s="33"/>
      <c r="D521" s="33" t="s">
        <v>39</v>
      </c>
      <c r="E521" s="34"/>
      <c r="F521" s="9" t="s">
        <v>0</v>
      </c>
      <c r="G521" s="18">
        <v>44180</v>
      </c>
      <c r="H521" s="35" t="s">
        <v>24</v>
      </c>
      <c r="I521" s="36"/>
      <c r="J521" s="1">
        <v>97</v>
      </c>
    </row>
    <row r="522" spans="1:10" ht="16" thickBot="1" x14ac:dyDescent="0.25">
      <c r="A522" s="37" t="s">
        <v>2</v>
      </c>
      <c r="B522" s="38"/>
      <c r="C522" s="38"/>
      <c r="D522" s="38"/>
      <c r="E522" s="39"/>
      <c r="F522" s="40"/>
      <c r="G522" s="41"/>
      <c r="H522" s="42" t="s">
        <v>25</v>
      </c>
      <c r="I522" s="43"/>
      <c r="J522" s="2">
        <v>20</v>
      </c>
    </row>
    <row r="523" spans="1:10" ht="16" thickBot="1" x14ac:dyDescent="0.25">
      <c r="A523" s="45" t="s">
        <v>27</v>
      </c>
      <c r="B523" s="27"/>
      <c r="C523" s="27"/>
      <c r="D523" s="27" t="s">
        <v>36</v>
      </c>
      <c r="E523" s="28"/>
      <c r="F523" s="16" t="s">
        <v>30</v>
      </c>
      <c r="G523" s="16">
        <v>3.81</v>
      </c>
      <c r="H523" s="29" t="s">
        <v>26</v>
      </c>
      <c r="I523" s="30"/>
      <c r="J523" s="3">
        <v>44</v>
      </c>
    </row>
    <row r="524" spans="1:10" x14ac:dyDescent="0.2">
      <c r="A524" s="31"/>
      <c r="B524" s="32"/>
      <c r="C524" s="16" t="s">
        <v>29</v>
      </c>
      <c r="D524" s="16" t="s">
        <v>19</v>
      </c>
      <c r="E524" s="16" t="s">
        <v>15</v>
      </c>
      <c r="F524" s="16" t="s">
        <v>18</v>
      </c>
      <c r="G524" s="16" t="s">
        <v>17</v>
      </c>
      <c r="H524" s="16" t="s">
        <v>28</v>
      </c>
      <c r="I524" s="16" t="s">
        <v>16</v>
      </c>
      <c r="J524" s="17" t="s">
        <v>23</v>
      </c>
    </row>
    <row r="525" spans="1:10" x14ac:dyDescent="0.2">
      <c r="A525" s="19" t="s">
        <v>3</v>
      </c>
      <c r="B525" s="5" t="s">
        <v>20</v>
      </c>
      <c r="C525" s="22">
        <v>10</v>
      </c>
      <c r="D525" s="4"/>
      <c r="E525" s="4">
        <v>1.7310000000000001</v>
      </c>
      <c r="F525" s="4">
        <v>3.7480000000000002</v>
      </c>
      <c r="G525" s="4">
        <v>4.7889999999999997</v>
      </c>
      <c r="H525" s="4">
        <f>(F525-(G525-E525))/F525</f>
        <v>0.18409818569903957</v>
      </c>
      <c r="I525" s="4">
        <f>D525-H525*D525</f>
        <v>0</v>
      </c>
      <c r="J525" s="10">
        <f t="shared" ref="J525:J560" si="41">I525/($G$3^2*C525*PI())</f>
        <v>0</v>
      </c>
    </row>
    <row r="526" spans="1:10" x14ac:dyDescent="0.2">
      <c r="A526" s="20"/>
      <c r="B526" s="6" t="s">
        <v>21</v>
      </c>
      <c r="C526" s="23"/>
      <c r="D526">
        <v>753</v>
      </c>
      <c r="E526">
        <v>1.744</v>
      </c>
      <c r="F526">
        <v>3.6190000000000002</v>
      </c>
      <c r="G526">
        <v>4.5810000000000004</v>
      </c>
      <c r="H526">
        <f t="shared" ref="H526:H560" si="42">(F526-(G526-E526))/F526</f>
        <v>0.21608179054987553</v>
      </c>
      <c r="I526">
        <f t="shared" ref="I526:I560" si="43">D526-H526*D526</f>
        <v>590.29041171594372</v>
      </c>
      <c r="J526" s="11" t="e">
        <f t="shared" si="41"/>
        <v>#DIV/0!</v>
      </c>
    </row>
    <row r="527" spans="1:10" x14ac:dyDescent="0.2">
      <c r="A527" s="25"/>
      <c r="B527" s="8" t="s">
        <v>22</v>
      </c>
      <c r="C527" s="26"/>
      <c r="D527" s="7"/>
      <c r="E527" s="7">
        <v>1.736</v>
      </c>
      <c r="F527" s="7">
        <v>6.6070000000000002</v>
      </c>
      <c r="G527" s="7">
        <v>4.577</v>
      </c>
      <c r="H527" s="7">
        <f t="shared" si="42"/>
        <v>0.57000151354623885</v>
      </c>
      <c r="I527" s="7">
        <f t="shared" si="43"/>
        <v>0</v>
      </c>
      <c r="J527" s="12" t="e">
        <f t="shared" si="41"/>
        <v>#DIV/0!</v>
      </c>
    </row>
    <row r="528" spans="1:10" x14ac:dyDescent="0.2">
      <c r="A528" s="19" t="s">
        <v>4</v>
      </c>
      <c r="B528" s="5" t="s">
        <v>20</v>
      </c>
      <c r="C528" s="23">
        <v>10</v>
      </c>
      <c r="E528">
        <v>1.7310000000000001</v>
      </c>
      <c r="F528">
        <v>3.4009999999999998</v>
      </c>
      <c r="G528">
        <v>4.577</v>
      </c>
      <c r="H528" s="4">
        <f t="shared" si="42"/>
        <v>0.16318729785357242</v>
      </c>
      <c r="I528" s="4">
        <f t="shared" si="43"/>
        <v>0</v>
      </c>
      <c r="J528" s="10">
        <f t="shared" si="41"/>
        <v>0</v>
      </c>
    </row>
    <row r="529" spans="1:10" x14ac:dyDescent="0.2">
      <c r="A529" s="20"/>
      <c r="B529" s="6" t="s">
        <v>21</v>
      </c>
      <c r="C529" s="23"/>
      <c r="D529">
        <v>696</v>
      </c>
      <c r="E529">
        <v>1.742</v>
      </c>
      <c r="F529">
        <v>3.8090000000000002</v>
      </c>
      <c r="G529">
        <v>4.859</v>
      </c>
      <c r="H529">
        <f t="shared" si="42"/>
        <v>0.18167498030979262</v>
      </c>
      <c r="I529">
        <f t="shared" si="43"/>
        <v>569.55421370438432</v>
      </c>
      <c r="J529" s="11" t="e">
        <f t="shared" si="41"/>
        <v>#DIV/0!</v>
      </c>
    </row>
    <row r="530" spans="1:10" x14ac:dyDescent="0.2">
      <c r="A530" s="25"/>
      <c r="B530" s="8" t="s">
        <v>22</v>
      </c>
      <c r="C530" s="26"/>
      <c r="D530" s="7"/>
      <c r="E530" s="7">
        <v>1.75</v>
      </c>
      <c r="F530" s="7">
        <v>3.9710000000000001</v>
      </c>
      <c r="G530" s="7">
        <v>5.0129999999999999</v>
      </c>
      <c r="H530" s="7">
        <f t="shared" si="42"/>
        <v>0.17829262150591796</v>
      </c>
      <c r="I530" s="7">
        <f t="shared" si="43"/>
        <v>0</v>
      </c>
      <c r="J530" s="12" t="e">
        <f t="shared" si="41"/>
        <v>#DIV/0!</v>
      </c>
    </row>
    <row r="531" spans="1:10" x14ac:dyDescent="0.2">
      <c r="A531" s="19" t="s">
        <v>5</v>
      </c>
      <c r="B531" s="5" t="s">
        <v>20</v>
      </c>
      <c r="C531" s="22">
        <v>10</v>
      </c>
      <c r="D531" s="4"/>
      <c r="E531" s="4">
        <v>1.7190000000000001</v>
      </c>
      <c r="F531" s="4">
        <v>3.9870000000000001</v>
      </c>
      <c r="G531" s="4">
        <v>5.109</v>
      </c>
      <c r="H531" s="4">
        <f t="shared" si="42"/>
        <v>0.14973664409330334</v>
      </c>
      <c r="I531" s="4">
        <f t="shared" si="43"/>
        <v>0</v>
      </c>
      <c r="J531" s="10">
        <f t="shared" si="41"/>
        <v>0</v>
      </c>
    </row>
    <row r="532" spans="1:10" x14ac:dyDescent="0.2">
      <c r="A532" s="20"/>
      <c r="B532" s="6" t="s">
        <v>21</v>
      </c>
      <c r="C532" s="23"/>
      <c r="D532">
        <v>830</v>
      </c>
      <c r="E532">
        <v>1.74</v>
      </c>
      <c r="F532">
        <v>3.1419999999999999</v>
      </c>
      <c r="G532">
        <v>4.407</v>
      </c>
      <c r="H532">
        <f t="shared" si="42"/>
        <v>0.15117759388924254</v>
      </c>
      <c r="I532">
        <f t="shared" si="43"/>
        <v>704.52259707192866</v>
      </c>
      <c r="J532" s="11" t="e">
        <f t="shared" si="41"/>
        <v>#DIV/0!</v>
      </c>
    </row>
    <row r="533" spans="1:10" x14ac:dyDescent="0.2">
      <c r="A533" s="25"/>
      <c r="B533" s="8" t="s">
        <v>22</v>
      </c>
      <c r="C533" s="26"/>
      <c r="D533" s="7"/>
      <c r="E533" s="7">
        <v>1.7450000000000001</v>
      </c>
      <c r="F533" s="7">
        <v>3.7029999999999998</v>
      </c>
      <c r="G533" s="7">
        <v>4.8659999999999997</v>
      </c>
      <c r="H533" s="7">
        <f t="shared" si="42"/>
        <v>0.15716986227383212</v>
      </c>
      <c r="I533" s="7">
        <f t="shared" si="43"/>
        <v>0</v>
      </c>
      <c r="J533" s="12" t="e">
        <f t="shared" si="41"/>
        <v>#DIV/0!</v>
      </c>
    </row>
    <row r="534" spans="1:10" x14ac:dyDescent="0.2">
      <c r="A534" s="19" t="s">
        <v>6</v>
      </c>
      <c r="B534" s="5" t="s">
        <v>20</v>
      </c>
      <c r="C534" s="22">
        <v>10</v>
      </c>
      <c r="D534" s="4"/>
      <c r="E534" s="4">
        <v>1.7470000000000001</v>
      </c>
      <c r="F534" s="4">
        <v>3.3730000000000002</v>
      </c>
      <c r="G534" s="4">
        <v>4.5419999999999998</v>
      </c>
      <c r="H534" s="4">
        <f t="shared" si="42"/>
        <v>0.17136080640379492</v>
      </c>
      <c r="I534" s="4">
        <f t="shared" si="43"/>
        <v>0</v>
      </c>
      <c r="J534" s="10">
        <f t="shared" si="41"/>
        <v>0</v>
      </c>
    </row>
    <row r="535" spans="1:10" x14ac:dyDescent="0.2">
      <c r="A535" s="20"/>
      <c r="B535" s="6" t="s">
        <v>21</v>
      </c>
      <c r="C535" s="23"/>
      <c r="D535">
        <v>772</v>
      </c>
      <c r="E535">
        <v>1.7250000000000001</v>
      </c>
      <c r="F535">
        <v>3.827</v>
      </c>
      <c r="G535">
        <v>4.9279999999999999</v>
      </c>
      <c r="H535">
        <f t="shared" si="42"/>
        <v>0.16305199895479491</v>
      </c>
      <c r="I535">
        <f t="shared" si="43"/>
        <v>646.12385680689829</v>
      </c>
      <c r="J535" s="11" t="e">
        <f t="shared" si="41"/>
        <v>#DIV/0!</v>
      </c>
    </row>
    <row r="536" spans="1:10" x14ac:dyDescent="0.2">
      <c r="A536" s="25"/>
      <c r="B536" s="8" t="s">
        <v>22</v>
      </c>
      <c r="C536" s="26"/>
      <c r="D536" s="7"/>
      <c r="E536" s="7">
        <v>1.7290000000000001</v>
      </c>
      <c r="F536" s="7">
        <v>3.5390000000000001</v>
      </c>
      <c r="G536" s="7">
        <v>4.6929999999999996</v>
      </c>
      <c r="H536" s="7">
        <f t="shared" si="42"/>
        <v>0.16247527550155427</v>
      </c>
      <c r="I536" s="7">
        <f t="shared" si="43"/>
        <v>0</v>
      </c>
      <c r="J536" s="12" t="e">
        <f t="shared" si="41"/>
        <v>#DIV/0!</v>
      </c>
    </row>
    <row r="537" spans="1:10" x14ac:dyDescent="0.2">
      <c r="A537" s="19" t="s">
        <v>7</v>
      </c>
      <c r="B537" s="5" t="s">
        <v>20</v>
      </c>
      <c r="C537" s="22">
        <v>10</v>
      </c>
      <c r="D537" s="4"/>
      <c r="E537" s="4">
        <v>1.7250000000000001</v>
      </c>
      <c r="F537" s="4">
        <v>3.2669999999999999</v>
      </c>
      <c r="G537" s="4">
        <v>4.4569999999999999</v>
      </c>
      <c r="H537" s="4">
        <f t="shared" si="42"/>
        <v>0.16375880012243654</v>
      </c>
      <c r="I537" s="4">
        <f t="shared" si="43"/>
        <v>0</v>
      </c>
      <c r="J537" s="10">
        <f t="shared" si="41"/>
        <v>0</v>
      </c>
    </row>
    <row r="538" spans="1:10" x14ac:dyDescent="0.2">
      <c r="A538" s="20"/>
      <c r="B538" s="6" t="s">
        <v>21</v>
      </c>
      <c r="C538" s="23"/>
      <c r="D538">
        <v>810</v>
      </c>
      <c r="E538">
        <v>1.7350000000000001</v>
      </c>
      <c r="F538">
        <v>3.75</v>
      </c>
      <c r="G538">
        <v>4.8860000000000001</v>
      </c>
      <c r="H538">
        <f t="shared" si="42"/>
        <v>0.15973333333333339</v>
      </c>
      <c r="I538">
        <f t="shared" si="43"/>
        <v>680.61599999999999</v>
      </c>
      <c r="J538" s="11" t="e">
        <f t="shared" si="41"/>
        <v>#DIV/0!</v>
      </c>
    </row>
    <row r="539" spans="1:10" x14ac:dyDescent="0.2">
      <c r="A539" s="25"/>
      <c r="B539" s="8" t="s">
        <v>22</v>
      </c>
      <c r="C539" s="26"/>
      <c r="D539" s="7"/>
      <c r="E539" s="7">
        <v>1.7290000000000001</v>
      </c>
      <c r="F539" s="7">
        <v>3.2090000000000001</v>
      </c>
      <c r="G539" s="7">
        <v>4.4370000000000003</v>
      </c>
      <c r="H539" s="7">
        <f t="shared" si="42"/>
        <v>0.15612340292926141</v>
      </c>
      <c r="I539" s="7">
        <f t="shared" si="43"/>
        <v>0</v>
      </c>
      <c r="J539" s="12" t="e">
        <f t="shared" si="41"/>
        <v>#DIV/0!</v>
      </c>
    </row>
    <row r="540" spans="1:10" x14ac:dyDescent="0.2">
      <c r="A540" s="19" t="s">
        <v>8</v>
      </c>
      <c r="B540" s="5" t="s">
        <v>20</v>
      </c>
      <c r="C540" s="22">
        <v>10</v>
      </c>
      <c r="D540" s="4"/>
      <c r="E540" s="4">
        <v>1.74</v>
      </c>
      <c r="F540" s="4">
        <v>3.7890000000000001</v>
      </c>
      <c r="G540" s="4">
        <v>4.843</v>
      </c>
      <c r="H540" s="4">
        <f t="shared" si="42"/>
        <v>0.18105040907891273</v>
      </c>
      <c r="I540" s="4">
        <f t="shared" si="43"/>
        <v>0</v>
      </c>
      <c r="J540" s="10">
        <f t="shared" si="41"/>
        <v>0</v>
      </c>
    </row>
    <row r="541" spans="1:10" x14ac:dyDescent="0.2">
      <c r="A541" s="20"/>
      <c r="B541" s="6" t="s">
        <v>21</v>
      </c>
      <c r="C541" s="23"/>
      <c r="D541">
        <v>818</v>
      </c>
      <c r="E541">
        <v>1.74</v>
      </c>
      <c r="F541">
        <v>3.9510000000000001</v>
      </c>
      <c r="G541">
        <v>4.968</v>
      </c>
      <c r="H541">
        <f t="shared" si="42"/>
        <v>0.18299164768413068</v>
      </c>
      <c r="I541">
        <f t="shared" si="43"/>
        <v>668.31283219438114</v>
      </c>
      <c r="J541" s="11" t="e">
        <f t="shared" si="41"/>
        <v>#DIV/0!</v>
      </c>
    </row>
    <row r="542" spans="1:10" x14ac:dyDescent="0.2">
      <c r="A542" s="25"/>
      <c r="B542" s="8" t="s">
        <v>22</v>
      </c>
      <c r="C542" s="26"/>
      <c r="D542" s="7"/>
      <c r="E542" s="7">
        <v>1.7190000000000001</v>
      </c>
      <c r="F542" s="7">
        <v>3.7559999999999998</v>
      </c>
      <c r="G542" s="7">
        <v>4.7869999999999999</v>
      </c>
      <c r="H542" s="7">
        <f t="shared" si="42"/>
        <v>0.1831735889243877</v>
      </c>
      <c r="I542" s="7">
        <f t="shared" si="43"/>
        <v>0</v>
      </c>
      <c r="J542" s="12" t="e">
        <f t="shared" si="41"/>
        <v>#DIV/0!</v>
      </c>
    </row>
    <row r="543" spans="1:10" x14ac:dyDescent="0.2">
      <c r="A543" s="19" t="s">
        <v>9</v>
      </c>
      <c r="B543" s="5" t="s">
        <v>20</v>
      </c>
      <c r="C543" s="22">
        <v>10</v>
      </c>
      <c r="D543" s="4"/>
      <c r="E543" s="4">
        <v>1.9330000000000001</v>
      </c>
      <c r="F543" s="4">
        <v>3.1339999999999999</v>
      </c>
      <c r="G543" s="4">
        <v>4.452</v>
      </c>
      <c r="H543" s="4">
        <f t="shared" si="42"/>
        <v>0.19623484365028709</v>
      </c>
      <c r="I543" s="4">
        <f t="shared" si="43"/>
        <v>0</v>
      </c>
      <c r="J543" s="10">
        <f t="shared" si="41"/>
        <v>0</v>
      </c>
    </row>
    <row r="544" spans="1:10" x14ac:dyDescent="0.2">
      <c r="A544" s="20"/>
      <c r="B544" s="6" t="s">
        <v>21</v>
      </c>
      <c r="C544" s="23"/>
      <c r="D544">
        <v>968</v>
      </c>
      <c r="E544">
        <v>1.744</v>
      </c>
      <c r="F544">
        <v>3.8090000000000002</v>
      </c>
      <c r="G544">
        <v>4.9340000000000002</v>
      </c>
      <c r="H544">
        <f t="shared" si="42"/>
        <v>0.1625098451037017</v>
      </c>
      <c r="I544">
        <f t="shared" si="43"/>
        <v>810.69046993961672</v>
      </c>
      <c r="J544" s="11" t="e">
        <f t="shared" si="41"/>
        <v>#DIV/0!</v>
      </c>
    </row>
    <row r="545" spans="1:10" x14ac:dyDescent="0.2">
      <c r="A545" s="25"/>
      <c r="B545" s="8" t="s">
        <v>22</v>
      </c>
      <c r="C545" s="26"/>
      <c r="D545" s="7"/>
      <c r="E545" s="7">
        <v>4.7309999999999999</v>
      </c>
      <c r="F545" s="7">
        <v>3.3490000000000002</v>
      </c>
      <c r="G545" s="7">
        <v>4.5640000000000001</v>
      </c>
      <c r="H545" s="7">
        <f t="shared" si="42"/>
        <v>1.0498656315318005</v>
      </c>
      <c r="I545" s="7">
        <f t="shared" si="43"/>
        <v>0</v>
      </c>
      <c r="J545" s="12" t="e">
        <f t="shared" si="41"/>
        <v>#DIV/0!</v>
      </c>
    </row>
    <row r="546" spans="1:10" x14ac:dyDescent="0.2">
      <c r="A546" s="19" t="s">
        <v>10</v>
      </c>
      <c r="B546" s="5" t="s">
        <v>20</v>
      </c>
      <c r="C546" s="22">
        <v>10</v>
      </c>
      <c r="D546" s="4"/>
      <c r="E546" s="4">
        <v>1.7210000000000001</v>
      </c>
      <c r="F546" s="4">
        <v>3.3180000000000001</v>
      </c>
      <c r="G546" s="4">
        <v>4.4939999999999998</v>
      </c>
      <c r="H546" s="4">
        <f t="shared" si="42"/>
        <v>0.16425557564798082</v>
      </c>
      <c r="I546" s="4">
        <f t="shared" si="43"/>
        <v>0</v>
      </c>
      <c r="J546" s="10">
        <f t="shared" si="41"/>
        <v>0</v>
      </c>
    </row>
    <row r="547" spans="1:10" x14ac:dyDescent="0.2">
      <c r="A547" s="20"/>
      <c r="B547" s="6" t="s">
        <v>21</v>
      </c>
      <c r="C547" s="23"/>
      <c r="D547">
        <v>790</v>
      </c>
      <c r="E547">
        <v>1.73</v>
      </c>
      <c r="F547">
        <v>3.819</v>
      </c>
      <c r="G547">
        <v>5.0650000000000004</v>
      </c>
      <c r="H547">
        <f t="shared" si="42"/>
        <v>0.12673474731605119</v>
      </c>
      <c r="I547">
        <f t="shared" si="43"/>
        <v>689.87954962031949</v>
      </c>
      <c r="J547" s="11" t="e">
        <f t="shared" si="41"/>
        <v>#DIV/0!</v>
      </c>
    </row>
    <row r="548" spans="1:10" x14ac:dyDescent="0.2">
      <c r="A548" s="25"/>
      <c r="B548" s="8" t="s">
        <v>22</v>
      </c>
      <c r="C548" s="26"/>
      <c r="D548" s="7"/>
      <c r="E548" s="7">
        <v>1.7210000000000001</v>
      </c>
      <c r="F548" s="7">
        <v>3.492</v>
      </c>
      <c r="G548" s="7">
        <v>4.7409999999999997</v>
      </c>
      <c r="H548" s="7">
        <f t="shared" si="42"/>
        <v>0.13516609392898066</v>
      </c>
      <c r="I548" s="7">
        <f t="shared" si="43"/>
        <v>0</v>
      </c>
      <c r="J548" s="12" t="e">
        <f t="shared" si="41"/>
        <v>#DIV/0!</v>
      </c>
    </row>
    <row r="549" spans="1:10" x14ac:dyDescent="0.2">
      <c r="A549" s="19" t="s">
        <v>11</v>
      </c>
      <c r="B549" s="5" t="s">
        <v>20</v>
      </c>
      <c r="C549" s="22">
        <v>10</v>
      </c>
      <c r="D549" s="4"/>
      <c r="E549" s="4">
        <v>1.726</v>
      </c>
      <c r="F549" s="4">
        <v>3.3330000000000002</v>
      </c>
      <c r="G549" s="4">
        <v>4.5549999999999997</v>
      </c>
      <c r="H549" s="4">
        <f t="shared" si="42"/>
        <v>0.15121512151215133</v>
      </c>
      <c r="I549" s="4">
        <f t="shared" si="43"/>
        <v>0</v>
      </c>
      <c r="J549" s="10">
        <f t="shared" si="41"/>
        <v>0</v>
      </c>
    </row>
    <row r="550" spans="1:10" x14ac:dyDescent="0.2">
      <c r="A550" s="20"/>
      <c r="B550" s="6" t="s">
        <v>21</v>
      </c>
      <c r="C550" s="23"/>
      <c r="D550">
        <v>832</v>
      </c>
      <c r="E550">
        <v>1.7410000000000001</v>
      </c>
      <c r="F550">
        <v>3.4079999999999999</v>
      </c>
      <c r="G550">
        <v>4.5990000000000002</v>
      </c>
      <c r="H550">
        <f t="shared" si="42"/>
        <v>0.16138497652582154</v>
      </c>
      <c r="I550">
        <f t="shared" si="43"/>
        <v>697.72769953051647</v>
      </c>
      <c r="J550" s="11" t="e">
        <f t="shared" si="41"/>
        <v>#DIV/0!</v>
      </c>
    </row>
    <row r="551" spans="1:10" x14ac:dyDescent="0.2">
      <c r="A551" s="25"/>
      <c r="B551" s="8" t="s">
        <v>22</v>
      </c>
      <c r="C551" s="26"/>
      <c r="D551" s="7"/>
      <c r="E551" s="7">
        <v>1.736</v>
      </c>
      <c r="F551" s="7">
        <v>3.415</v>
      </c>
      <c r="G551" s="7">
        <v>4.6509999999999998</v>
      </c>
      <c r="H551" s="7">
        <f t="shared" si="42"/>
        <v>0.14641288433382138</v>
      </c>
      <c r="I551" s="7">
        <f t="shared" si="43"/>
        <v>0</v>
      </c>
      <c r="J551" s="12" t="e">
        <f t="shared" si="41"/>
        <v>#DIV/0!</v>
      </c>
    </row>
    <row r="552" spans="1:10" x14ac:dyDescent="0.2">
      <c r="A552" s="19" t="s">
        <v>12</v>
      </c>
      <c r="B552" s="5" t="s">
        <v>20</v>
      </c>
      <c r="C552" s="22">
        <v>7</v>
      </c>
      <c r="D552" s="4"/>
      <c r="E552" s="4">
        <v>1.736</v>
      </c>
      <c r="F552" s="4">
        <v>3.528</v>
      </c>
      <c r="G552" s="4">
        <v>4.6840000000000002</v>
      </c>
      <c r="H552" s="4">
        <f t="shared" si="42"/>
        <v>0.16439909297052144</v>
      </c>
      <c r="I552" s="4">
        <f t="shared" si="43"/>
        <v>0</v>
      </c>
      <c r="J552" s="10">
        <f t="shared" si="41"/>
        <v>0</v>
      </c>
    </row>
    <row r="553" spans="1:10" x14ac:dyDescent="0.2">
      <c r="A553" s="20"/>
      <c r="B553" s="6" t="s">
        <v>21</v>
      </c>
      <c r="C553" s="23"/>
      <c r="D553">
        <v>858</v>
      </c>
      <c r="E553">
        <v>1.7270000000000001</v>
      </c>
      <c r="F553">
        <v>3.036</v>
      </c>
      <c r="G553">
        <v>4.2889999999999997</v>
      </c>
      <c r="H553">
        <f t="shared" si="42"/>
        <v>0.15612648221343894</v>
      </c>
      <c r="I553">
        <f t="shared" si="43"/>
        <v>724.04347826086939</v>
      </c>
      <c r="J553" s="11" t="e">
        <f t="shared" si="41"/>
        <v>#DIV/0!</v>
      </c>
    </row>
    <row r="554" spans="1:10" x14ac:dyDescent="0.2">
      <c r="A554" s="25"/>
      <c r="B554" s="8" t="s">
        <v>22</v>
      </c>
      <c r="C554" s="26"/>
      <c r="D554" s="7"/>
      <c r="E554" s="7">
        <v>1.722</v>
      </c>
      <c r="F554" s="7">
        <v>3.044</v>
      </c>
      <c r="G554" s="7">
        <v>4.2169999999999996</v>
      </c>
      <c r="H554" s="7">
        <f t="shared" si="42"/>
        <v>0.18035479632063087</v>
      </c>
      <c r="I554" s="7">
        <f t="shared" si="43"/>
        <v>0</v>
      </c>
      <c r="J554" s="12" t="e">
        <f t="shared" si="41"/>
        <v>#DIV/0!</v>
      </c>
    </row>
    <row r="555" spans="1:10" x14ac:dyDescent="0.2">
      <c r="A555" s="19" t="s">
        <v>13</v>
      </c>
      <c r="B555" s="5" t="s">
        <v>20</v>
      </c>
      <c r="C555" s="22">
        <v>10</v>
      </c>
      <c r="D555" s="4"/>
      <c r="E555" s="4"/>
      <c r="F555" s="4"/>
      <c r="G555" s="4"/>
      <c r="H555" s="4" t="e">
        <f t="shared" si="42"/>
        <v>#DIV/0!</v>
      </c>
      <c r="I555" s="4" t="e">
        <f t="shared" si="43"/>
        <v>#DIV/0!</v>
      </c>
      <c r="J555" s="10" t="e">
        <f t="shared" si="41"/>
        <v>#DIV/0!</v>
      </c>
    </row>
    <row r="556" spans="1:10" x14ac:dyDescent="0.2">
      <c r="A556" s="20"/>
      <c r="B556" s="6" t="s">
        <v>21</v>
      </c>
      <c r="C556" s="23"/>
      <c r="H556" t="e">
        <f t="shared" si="42"/>
        <v>#DIV/0!</v>
      </c>
      <c r="I556" t="e">
        <f t="shared" si="43"/>
        <v>#DIV/0!</v>
      </c>
      <c r="J556" s="11" t="e">
        <f t="shared" si="41"/>
        <v>#DIV/0!</v>
      </c>
    </row>
    <row r="557" spans="1:10" x14ac:dyDescent="0.2">
      <c r="A557" s="25"/>
      <c r="B557" s="8" t="s">
        <v>22</v>
      </c>
      <c r="C557" s="26"/>
      <c r="D557" s="7"/>
      <c r="E557" s="7"/>
      <c r="F557" s="7"/>
      <c r="G557" s="7"/>
      <c r="H557" s="7" t="e">
        <f t="shared" si="42"/>
        <v>#DIV/0!</v>
      </c>
      <c r="I557" s="7" t="e">
        <f t="shared" si="43"/>
        <v>#DIV/0!</v>
      </c>
      <c r="J557" s="12" t="e">
        <f t="shared" si="41"/>
        <v>#DIV/0!</v>
      </c>
    </row>
    <row r="558" spans="1:10" x14ac:dyDescent="0.2">
      <c r="A558" s="19" t="s">
        <v>14</v>
      </c>
      <c r="B558" s="5" t="s">
        <v>20</v>
      </c>
      <c r="C558" s="22">
        <v>10</v>
      </c>
      <c r="D558" s="4"/>
      <c r="E558" s="4"/>
      <c r="F558" s="4"/>
      <c r="G558" s="4"/>
      <c r="H558" s="4" t="e">
        <f t="shared" si="42"/>
        <v>#DIV/0!</v>
      </c>
      <c r="I558" s="4" t="e">
        <f t="shared" si="43"/>
        <v>#DIV/0!</v>
      </c>
      <c r="J558" s="10" t="e">
        <f t="shared" si="41"/>
        <v>#DIV/0!</v>
      </c>
    </row>
    <row r="559" spans="1:10" x14ac:dyDescent="0.2">
      <c r="A559" s="20"/>
      <c r="B559" s="6" t="s">
        <v>21</v>
      </c>
      <c r="C559" s="23"/>
      <c r="H559" t="e">
        <f t="shared" si="42"/>
        <v>#DIV/0!</v>
      </c>
      <c r="I559" t="e">
        <f t="shared" si="43"/>
        <v>#DIV/0!</v>
      </c>
      <c r="J559" s="11" t="e">
        <f t="shared" si="41"/>
        <v>#DIV/0!</v>
      </c>
    </row>
    <row r="560" spans="1:10" ht="16" thickBot="1" x14ac:dyDescent="0.25">
      <c r="A560" s="21"/>
      <c r="B560" s="15" t="s">
        <v>22</v>
      </c>
      <c r="C560" s="24"/>
      <c r="D560" s="13"/>
      <c r="E560" s="13"/>
      <c r="F560" s="13"/>
      <c r="G560" s="13"/>
      <c r="H560" s="13" t="e">
        <f t="shared" si="42"/>
        <v>#DIV/0!</v>
      </c>
      <c r="I560" s="13" t="e">
        <f t="shared" si="43"/>
        <v>#DIV/0!</v>
      </c>
      <c r="J560" s="14" t="e">
        <f t="shared" si="41"/>
        <v>#DIV/0!</v>
      </c>
    </row>
    <row r="561" spans="1:10" ht="16" thickBot="1" x14ac:dyDescent="0.25">
      <c r="A561" s="44" t="s">
        <v>1</v>
      </c>
      <c r="B561" s="33"/>
      <c r="C561" s="33"/>
      <c r="D561" s="33" t="s">
        <v>39</v>
      </c>
      <c r="E561" s="34"/>
      <c r="F561" s="9" t="s">
        <v>0</v>
      </c>
      <c r="G561" s="18">
        <v>44180</v>
      </c>
      <c r="H561" s="35" t="s">
        <v>24</v>
      </c>
      <c r="I561" s="36"/>
      <c r="J561" s="1">
        <v>118</v>
      </c>
    </row>
    <row r="562" spans="1:10" ht="16" thickBot="1" x14ac:dyDescent="0.25">
      <c r="A562" s="37" t="s">
        <v>2</v>
      </c>
      <c r="B562" s="38"/>
      <c r="C562" s="38"/>
      <c r="D562" s="38"/>
      <c r="E562" s="39"/>
      <c r="F562" s="40"/>
      <c r="G562" s="41"/>
      <c r="H562" s="42" t="s">
        <v>25</v>
      </c>
      <c r="I562" s="43"/>
      <c r="J562" s="2">
        <v>20</v>
      </c>
    </row>
    <row r="563" spans="1:10" ht="16" thickBot="1" x14ac:dyDescent="0.25">
      <c r="A563" s="45" t="s">
        <v>27</v>
      </c>
      <c r="B563" s="27"/>
      <c r="C563" s="27"/>
      <c r="D563" s="27" t="s">
        <v>32</v>
      </c>
      <c r="E563" s="28"/>
      <c r="F563" s="16" t="s">
        <v>30</v>
      </c>
      <c r="G563" s="16">
        <v>3.81</v>
      </c>
      <c r="H563" s="29" t="s">
        <v>26</v>
      </c>
      <c r="I563" s="30"/>
      <c r="J563" s="3">
        <v>45</v>
      </c>
    </row>
    <row r="564" spans="1:10" x14ac:dyDescent="0.2">
      <c r="A564" s="31"/>
      <c r="B564" s="32"/>
      <c r="C564" s="16" t="s">
        <v>29</v>
      </c>
      <c r="D564" s="16" t="s">
        <v>19</v>
      </c>
      <c r="E564" s="16" t="s">
        <v>15</v>
      </c>
      <c r="F564" s="16" t="s">
        <v>18</v>
      </c>
      <c r="G564" s="16" t="s">
        <v>17</v>
      </c>
      <c r="H564" s="16" t="s">
        <v>28</v>
      </c>
      <c r="I564" s="16" t="s">
        <v>16</v>
      </c>
      <c r="J564" s="17" t="s">
        <v>23</v>
      </c>
    </row>
    <row r="565" spans="1:10" x14ac:dyDescent="0.2">
      <c r="A565" s="19" t="s">
        <v>3</v>
      </c>
      <c r="B565" s="5" t="s">
        <v>20</v>
      </c>
      <c r="C565" s="22">
        <v>10</v>
      </c>
      <c r="D565" s="4"/>
      <c r="E565" s="4">
        <v>1.752</v>
      </c>
      <c r="F565" s="4">
        <v>3.57</v>
      </c>
      <c r="G565" s="4">
        <v>4.6260000000000003</v>
      </c>
      <c r="H565" s="4">
        <f>(F565-(G565-E565))/F565</f>
        <v>0.19495798319327712</v>
      </c>
      <c r="I565" s="4">
        <f>D565-H565*D565</f>
        <v>0</v>
      </c>
      <c r="J565" s="10">
        <f t="shared" ref="J565:J600" si="44">I565/($G$3^2*C565*PI())</f>
        <v>0</v>
      </c>
    </row>
    <row r="566" spans="1:10" x14ac:dyDescent="0.2">
      <c r="A566" s="20"/>
      <c r="B566" s="6" t="s">
        <v>21</v>
      </c>
      <c r="C566" s="23"/>
      <c r="D566">
        <v>735</v>
      </c>
      <c r="E566">
        <v>1.7430000000000001</v>
      </c>
      <c r="F566">
        <v>3.0750000000000002</v>
      </c>
      <c r="G566">
        <v>4.2469999999999999</v>
      </c>
      <c r="H566">
        <f t="shared" ref="H566:H600" si="45">(F566-(G566-E566))/F566</f>
        <v>0.18569105691056931</v>
      </c>
      <c r="I566">
        <f t="shared" ref="I566:I600" si="46">D566-H566*D566</f>
        <v>598.51707317073158</v>
      </c>
      <c r="J566" s="11" t="e">
        <f t="shared" si="44"/>
        <v>#DIV/0!</v>
      </c>
    </row>
    <row r="567" spans="1:10" x14ac:dyDescent="0.2">
      <c r="A567" s="25"/>
      <c r="B567" s="8" t="s">
        <v>22</v>
      </c>
      <c r="C567" s="26"/>
      <c r="D567" s="7"/>
      <c r="E567" s="7">
        <v>1.7290000000000001</v>
      </c>
      <c r="F567" s="7">
        <v>3.8319999999999999</v>
      </c>
      <c r="G567" s="7">
        <v>4.8540000000000001</v>
      </c>
      <c r="H567" s="7">
        <f t="shared" si="45"/>
        <v>0.18449895615866385</v>
      </c>
      <c r="I567" s="7">
        <f t="shared" si="46"/>
        <v>0</v>
      </c>
      <c r="J567" s="12" t="e">
        <f t="shared" si="44"/>
        <v>#DIV/0!</v>
      </c>
    </row>
    <row r="568" spans="1:10" x14ac:dyDescent="0.2">
      <c r="A568" s="19" t="s">
        <v>4</v>
      </c>
      <c r="B568" s="5" t="s">
        <v>20</v>
      </c>
      <c r="C568" s="23">
        <v>10</v>
      </c>
      <c r="E568">
        <v>1.756</v>
      </c>
      <c r="F568">
        <v>3.3820000000000001</v>
      </c>
      <c r="G568">
        <v>4.6100000000000003</v>
      </c>
      <c r="H568" s="4">
        <f t="shared" si="45"/>
        <v>0.15612063867534004</v>
      </c>
      <c r="I568" s="4">
        <f t="shared" si="46"/>
        <v>0</v>
      </c>
      <c r="J568" s="10">
        <f t="shared" si="44"/>
        <v>0</v>
      </c>
    </row>
    <row r="569" spans="1:10" x14ac:dyDescent="0.2">
      <c r="A569" s="20"/>
      <c r="B569" s="6" t="s">
        <v>21</v>
      </c>
      <c r="C569" s="23"/>
      <c r="D569">
        <v>751</v>
      </c>
      <c r="E569">
        <v>1.7190000000000001</v>
      </c>
      <c r="F569">
        <v>3.9340000000000002</v>
      </c>
      <c r="G569">
        <v>4.891</v>
      </c>
      <c r="H569">
        <f t="shared" si="45"/>
        <v>0.19369598373157101</v>
      </c>
      <c r="I569">
        <f t="shared" si="46"/>
        <v>605.53431621759023</v>
      </c>
      <c r="J569" s="11" t="e">
        <f t="shared" si="44"/>
        <v>#DIV/0!</v>
      </c>
    </row>
    <row r="570" spans="1:10" x14ac:dyDescent="0.2">
      <c r="A570" s="25"/>
      <c r="B570" s="8" t="s">
        <v>22</v>
      </c>
      <c r="C570" s="26"/>
      <c r="D570" s="7"/>
      <c r="E570" s="7">
        <v>1.7190000000000001</v>
      </c>
      <c r="F570" s="7">
        <v>3.2719999999999998</v>
      </c>
      <c r="G570" s="7">
        <v>4.3890000000000002</v>
      </c>
      <c r="H570" s="7">
        <f t="shared" si="45"/>
        <v>0.18398533007334961</v>
      </c>
      <c r="I570" s="7">
        <f t="shared" si="46"/>
        <v>0</v>
      </c>
      <c r="J570" s="12" t="e">
        <f t="shared" si="44"/>
        <v>#DIV/0!</v>
      </c>
    </row>
    <row r="571" spans="1:10" x14ac:dyDescent="0.2">
      <c r="A571" s="19" t="s">
        <v>5</v>
      </c>
      <c r="B571" s="5" t="s">
        <v>20</v>
      </c>
      <c r="C571" s="22">
        <v>10</v>
      </c>
      <c r="D571" s="4"/>
      <c r="E571" s="4">
        <v>1.7310000000000001</v>
      </c>
      <c r="F571" s="4">
        <v>3.5720000000000001</v>
      </c>
      <c r="G571" s="4">
        <v>4.7720000000000002</v>
      </c>
      <c r="H571" s="4">
        <f t="shared" si="45"/>
        <v>0.14865621500559903</v>
      </c>
      <c r="I571" s="4">
        <f t="shared" si="46"/>
        <v>0</v>
      </c>
      <c r="J571" s="10">
        <f t="shared" si="44"/>
        <v>0</v>
      </c>
    </row>
    <row r="572" spans="1:10" x14ac:dyDescent="0.2">
      <c r="A572" s="20"/>
      <c r="B572" s="6" t="s">
        <v>21</v>
      </c>
      <c r="C572" s="23"/>
      <c r="D572">
        <v>826</v>
      </c>
      <c r="E572">
        <v>1.73</v>
      </c>
      <c r="F572">
        <v>3.157</v>
      </c>
      <c r="G572">
        <v>4.3650000000000002</v>
      </c>
      <c r="H572">
        <f t="shared" si="45"/>
        <v>0.16534684827367749</v>
      </c>
      <c r="I572">
        <f t="shared" si="46"/>
        <v>689.42350332594242</v>
      </c>
      <c r="J572" s="11" t="e">
        <f t="shared" si="44"/>
        <v>#DIV/0!</v>
      </c>
    </row>
    <row r="573" spans="1:10" x14ac:dyDescent="0.2">
      <c r="A573" s="25"/>
      <c r="B573" s="8" t="s">
        <v>22</v>
      </c>
      <c r="C573" s="26"/>
      <c r="D573" s="7"/>
      <c r="E573" s="7">
        <v>1.7390000000000001</v>
      </c>
      <c r="F573" s="7">
        <v>3.4369999999999998</v>
      </c>
      <c r="G573" s="7">
        <v>4.7119999999999997</v>
      </c>
      <c r="H573" s="7">
        <f t="shared" si="45"/>
        <v>0.13500145475705558</v>
      </c>
      <c r="I573" s="7">
        <f t="shared" si="46"/>
        <v>0</v>
      </c>
      <c r="J573" s="12" t="e">
        <f t="shared" si="44"/>
        <v>#DIV/0!</v>
      </c>
    </row>
    <row r="574" spans="1:10" x14ac:dyDescent="0.2">
      <c r="A574" s="19" t="s">
        <v>6</v>
      </c>
      <c r="B574" s="5" t="s">
        <v>20</v>
      </c>
      <c r="C574" s="22">
        <v>10</v>
      </c>
      <c r="D574" s="4"/>
      <c r="E574" s="4">
        <v>1.7310000000000001</v>
      </c>
      <c r="F574" s="4">
        <v>3.57</v>
      </c>
      <c r="G574" s="4">
        <v>4.7789999999999999</v>
      </c>
      <c r="H574" s="4">
        <f t="shared" si="45"/>
        <v>0.14621848739495794</v>
      </c>
      <c r="I574" s="4">
        <f t="shared" si="46"/>
        <v>0</v>
      </c>
      <c r="J574" s="10">
        <f t="shared" si="44"/>
        <v>0</v>
      </c>
    </row>
    <row r="575" spans="1:10" x14ac:dyDescent="0.2">
      <c r="A575" s="20"/>
      <c r="B575" s="6" t="s">
        <v>21</v>
      </c>
      <c r="C575" s="23"/>
      <c r="D575">
        <v>887</v>
      </c>
      <c r="E575">
        <v>1.724</v>
      </c>
      <c r="F575">
        <v>3.4649999999999999</v>
      </c>
      <c r="G575">
        <v>4.67</v>
      </c>
      <c r="H575">
        <f t="shared" si="45"/>
        <v>0.14978354978354982</v>
      </c>
      <c r="I575">
        <f t="shared" si="46"/>
        <v>754.14199134199134</v>
      </c>
      <c r="J575" s="11" t="e">
        <f t="shared" si="44"/>
        <v>#DIV/0!</v>
      </c>
    </row>
    <row r="576" spans="1:10" x14ac:dyDescent="0.2">
      <c r="A576" s="25"/>
      <c r="B576" s="8" t="s">
        <v>22</v>
      </c>
      <c r="C576" s="26"/>
      <c r="D576" s="7"/>
      <c r="E576" s="7">
        <v>1.7150000000000001</v>
      </c>
      <c r="F576" s="7">
        <v>3.6850000000000001</v>
      </c>
      <c r="G576" s="7">
        <v>4.8860000000000001</v>
      </c>
      <c r="H576" s="7">
        <f t="shared" si="45"/>
        <v>0.13948439620081404</v>
      </c>
      <c r="I576" s="7">
        <f t="shared" si="46"/>
        <v>0</v>
      </c>
      <c r="J576" s="12" t="e">
        <f t="shared" si="44"/>
        <v>#DIV/0!</v>
      </c>
    </row>
    <row r="577" spans="1:10" x14ac:dyDescent="0.2">
      <c r="A577" s="19" t="s">
        <v>7</v>
      </c>
      <c r="B577" s="5" t="s">
        <v>20</v>
      </c>
      <c r="C577" s="22">
        <v>10</v>
      </c>
      <c r="D577" s="4"/>
      <c r="E577" s="4">
        <v>1.7270000000000001</v>
      </c>
      <c r="F577" s="4">
        <v>3.2490000000000001</v>
      </c>
      <c r="G577" s="4">
        <v>4.4619999999999997</v>
      </c>
      <c r="H577" s="4">
        <f t="shared" si="45"/>
        <v>0.15820252385349359</v>
      </c>
      <c r="I577" s="4">
        <f t="shared" si="46"/>
        <v>0</v>
      </c>
      <c r="J577" s="10">
        <f t="shared" si="44"/>
        <v>0</v>
      </c>
    </row>
    <row r="578" spans="1:10" x14ac:dyDescent="0.2">
      <c r="A578" s="20"/>
      <c r="B578" s="6" t="s">
        <v>21</v>
      </c>
      <c r="C578" s="23"/>
      <c r="D578">
        <v>751</v>
      </c>
      <c r="E578">
        <v>1.7090000000000001</v>
      </c>
      <c r="F578">
        <v>3.794</v>
      </c>
      <c r="G578">
        <v>4.9279999999999999</v>
      </c>
      <c r="H578">
        <f t="shared" si="45"/>
        <v>0.15155508697944126</v>
      </c>
      <c r="I578">
        <f t="shared" si="46"/>
        <v>637.18212967843965</v>
      </c>
      <c r="J578" s="11" t="e">
        <f t="shared" si="44"/>
        <v>#DIV/0!</v>
      </c>
    </row>
    <row r="579" spans="1:10" x14ac:dyDescent="0.2">
      <c r="A579" s="25"/>
      <c r="B579" s="8" t="s">
        <v>22</v>
      </c>
      <c r="C579" s="26"/>
      <c r="D579" s="7"/>
      <c r="E579" s="7">
        <v>1.73</v>
      </c>
      <c r="F579" s="7">
        <v>3.3980000000000001</v>
      </c>
      <c r="G579" s="7">
        <v>4.601</v>
      </c>
      <c r="H579" s="7">
        <f t="shared" si="45"/>
        <v>0.15509123013537379</v>
      </c>
      <c r="I579" s="7">
        <f t="shared" si="46"/>
        <v>0</v>
      </c>
      <c r="J579" s="12" t="e">
        <f t="shared" si="44"/>
        <v>#DIV/0!</v>
      </c>
    </row>
    <row r="580" spans="1:10" x14ac:dyDescent="0.2">
      <c r="A580" s="19" t="s">
        <v>8</v>
      </c>
      <c r="B580" s="5" t="s">
        <v>20</v>
      </c>
      <c r="C580" s="22">
        <v>10</v>
      </c>
      <c r="D580" s="4"/>
      <c r="E580" s="4">
        <v>1.7350000000000001</v>
      </c>
      <c r="F580" s="4">
        <v>3.5760000000000001</v>
      </c>
      <c r="G580" s="4">
        <v>4.6790000000000003</v>
      </c>
      <c r="H580" s="4">
        <f t="shared" si="45"/>
        <v>0.17673378076062643</v>
      </c>
      <c r="I580" s="4">
        <f t="shared" si="46"/>
        <v>0</v>
      </c>
      <c r="J580" s="10">
        <f t="shared" si="44"/>
        <v>0</v>
      </c>
    </row>
    <row r="581" spans="1:10" x14ac:dyDescent="0.2">
      <c r="A581" s="20"/>
      <c r="B581" s="6" t="s">
        <v>21</v>
      </c>
      <c r="C581" s="23"/>
      <c r="D581">
        <v>708</v>
      </c>
      <c r="E581">
        <v>1.736</v>
      </c>
      <c r="F581">
        <v>3.7610000000000001</v>
      </c>
      <c r="G581">
        <v>4.8330000000000002</v>
      </c>
      <c r="H581">
        <f t="shared" si="45"/>
        <v>0.17654879021536818</v>
      </c>
      <c r="I581">
        <f t="shared" si="46"/>
        <v>583.00345652751935</v>
      </c>
      <c r="J581" s="11" t="e">
        <f t="shared" si="44"/>
        <v>#DIV/0!</v>
      </c>
    </row>
    <row r="582" spans="1:10" x14ac:dyDescent="0.2">
      <c r="A582" s="25"/>
      <c r="B582" s="8" t="s">
        <v>22</v>
      </c>
      <c r="C582" s="26"/>
      <c r="D582" s="7"/>
      <c r="E582" s="7">
        <v>1.7270000000000001</v>
      </c>
      <c r="F582" s="7">
        <v>3.55</v>
      </c>
      <c r="G582" s="7">
        <v>4.6660000000000004</v>
      </c>
      <c r="H582" s="7">
        <f t="shared" si="45"/>
        <v>0.17211267605633798</v>
      </c>
      <c r="I582" s="7">
        <f t="shared" si="46"/>
        <v>0</v>
      </c>
      <c r="J582" s="12" t="e">
        <f t="shared" si="44"/>
        <v>#DIV/0!</v>
      </c>
    </row>
    <row r="583" spans="1:10" x14ac:dyDescent="0.2">
      <c r="A583" s="19" t="s">
        <v>9</v>
      </c>
      <c r="B583" s="5" t="s">
        <v>20</v>
      </c>
      <c r="C583" s="22">
        <v>10</v>
      </c>
      <c r="D583" s="4"/>
      <c r="E583" s="4">
        <v>1.7210000000000001</v>
      </c>
      <c r="F583" s="4">
        <v>3.2690000000000001</v>
      </c>
      <c r="G583" s="4">
        <v>4.4909999999999997</v>
      </c>
      <c r="H583" s="4">
        <f t="shared" si="45"/>
        <v>0.15264606913429199</v>
      </c>
      <c r="I583" s="4">
        <f t="shared" si="46"/>
        <v>0</v>
      </c>
      <c r="J583" s="10">
        <f t="shared" si="44"/>
        <v>0</v>
      </c>
    </row>
    <row r="584" spans="1:10" x14ac:dyDescent="0.2">
      <c r="A584" s="20"/>
      <c r="B584" s="6" t="s">
        <v>21</v>
      </c>
      <c r="C584" s="23"/>
      <c r="D584">
        <v>954</v>
      </c>
      <c r="E584">
        <v>1.714</v>
      </c>
      <c r="F584">
        <v>3.5510000000000002</v>
      </c>
      <c r="G584">
        <v>4.6920000000000002</v>
      </c>
      <c r="H584">
        <f t="shared" si="45"/>
        <v>0.1613629963390594</v>
      </c>
      <c r="I584">
        <f t="shared" si="46"/>
        <v>800.05970149253733</v>
      </c>
      <c r="J584" s="11" t="e">
        <f t="shared" si="44"/>
        <v>#DIV/0!</v>
      </c>
    </row>
    <row r="585" spans="1:10" x14ac:dyDescent="0.2">
      <c r="A585" s="25"/>
      <c r="B585" s="8" t="s">
        <v>22</v>
      </c>
      <c r="C585" s="26"/>
      <c r="D585" s="7"/>
      <c r="E585" s="7">
        <v>1.716</v>
      </c>
      <c r="F585" s="7">
        <v>3.371</v>
      </c>
      <c r="G585" s="7">
        <v>4.4660000000000002</v>
      </c>
      <c r="H585" s="7">
        <f t="shared" si="45"/>
        <v>0.1842183328389202</v>
      </c>
      <c r="I585" s="7">
        <f t="shared" si="46"/>
        <v>0</v>
      </c>
      <c r="J585" s="12" t="e">
        <f t="shared" si="44"/>
        <v>#DIV/0!</v>
      </c>
    </row>
    <row r="586" spans="1:10" x14ac:dyDescent="0.2">
      <c r="A586" s="19" t="s">
        <v>10</v>
      </c>
      <c r="B586" s="5" t="s">
        <v>20</v>
      </c>
      <c r="C586" s="22">
        <v>10</v>
      </c>
      <c r="D586" s="4"/>
      <c r="E586" s="4">
        <v>1.7330000000000001</v>
      </c>
      <c r="F586" s="4">
        <v>3.7810000000000001</v>
      </c>
      <c r="G586" s="4">
        <v>4.8330000000000002</v>
      </c>
      <c r="H586" s="4">
        <f t="shared" si="45"/>
        <v>0.18011108172441154</v>
      </c>
      <c r="I586" s="4">
        <f t="shared" si="46"/>
        <v>0</v>
      </c>
      <c r="J586" s="10">
        <f t="shared" si="44"/>
        <v>0</v>
      </c>
    </row>
    <row r="587" spans="1:10" x14ac:dyDescent="0.2">
      <c r="A587" s="20"/>
      <c r="B587" s="6" t="s">
        <v>21</v>
      </c>
      <c r="C587" s="23"/>
      <c r="D587">
        <v>865</v>
      </c>
      <c r="E587">
        <v>1.736</v>
      </c>
      <c r="F587">
        <v>3.4489999999999998</v>
      </c>
      <c r="G587">
        <v>4.5590000000000002</v>
      </c>
      <c r="H587">
        <f t="shared" si="45"/>
        <v>0.18150188460423297</v>
      </c>
      <c r="I587">
        <f t="shared" si="46"/>
        <v>708.00086981733853</v>
      </c>
      <c r="J587" s="11" t="e">
        <f t="shared" si="44"/>
        <v>#DIV/0!</v>
      </c>
    </row>
    <row r="588" spans="1:10" x14ac:dyDescent="0.2">
      <c r="A588" s="25"/>
      <c r="B588" s="8" t="s">
        <v>22</v>
      </c>
      <c r="C588" s="26"/>
      <c r="D588" s="7"/>
      <c r="E588" s="7">
        <v>1.724</v>
      </c>
      <c r="F588" s="7">
        <v>3.778</v>
      </c>
      <c r="G588" s="7">
        <v>4.7690000000000001</v>
      </c>
      <c r="H588" s="7">
        <f t="shared" si="45"/>
        <v>0.19401799894123878</v>
      </c>
      <c r="I588" s="7">
        <f t="shared" si="46"/>
        <v>0</v>
      </c>
      <c r="J588" s="12" t="e">
        <f t="shared" si="44"/>
        <v>#DIV/0!</v>
      </c>
    </row>
    <row r="589" spans="1:10" x14ac:dyDescent="0.2">
      <c r="A589" s="19" t="s">
        <v>11</v>
      </c>
      <c r="B589" s="5" t="s">
        <v>20</v>
      </c>
      <c r="C589" s="22">
        <v>10</v>
      </c>
      <c r="D589" s="4"/>
      <c r="E589" s="4">
        <v>1.7490000000000001</v>
      </c>
      <c r="F589" s="4">
        <v>3.109</v>
      </c>
      <c r="G589" s="4">
        <v>4.3819999999999997</v>
      </c>
      <c r="H589" s="4">
        <f t="shared" si="45"/>
        <v>0.15310389192666465</v>
      </c>
      <c r="I589" s="4">
        <f t="shared" si="46"/>
        <v>0</v>
      </c>
      <c r="J589" s="10">
        <f t="shared" si="44"/>
        <v>0</v>
      </c>
    </row>
    <row r="590" spans="1:10" x14ac:dyDescent="0.2">
      <c r="A590" s="20"/>
      <c r="B590" s="6" t="s">
        <v>21</v>
      </c>
      <c r="C590" s="23"/>
      <c r="D590">
        <v>970</v>
      </c>
      <c r="E590">
        <v>1.73</v>
      </c>
      <c r="F590">
        <v>3.23</v>
      </c>
      <c r="G590">
        <v>4.4210000000000003</v>
      </c>
      <c r="H590">
        <f t="shared" si="45"/>
        <v>0.16687306501547977</v>
      </c>
      <c r="I590">
        <f t="shared" si="46"/>
        <v>808.1331269349846</v>
      </c>
      <c r="J590" s="11" t="e">
        <f t="shared" si="44"/>
        <v>#DIV/0!</v>
      </c>
    </row>
    <row r="591" spans="1:10" x14ac:dyDescent="0.2">
      <c r="A591" s="25"/>
      <c r="B591" s="8" t="s">
        <v>22</v>
      </c>
      <c r="C591" s="26"/>
      <c r="D591" s="7"/>
      <c r="E591" s="7">
        <v>1.7509999999999999</v>
      </c>
      <c r="F591" s="7">
        <v>3.1269999999999998</v>
      </c>
      <c r="G591" s="7">
        <v>4.4429999999999996</v>
      </c>
      <c r="H591" s="7">
        <f t="shared" si="45"/>
        <v>0.13911096897985292</v>
      </c>
      <c r="I591" s="7">
        <f t="shared" si="46"/>
        <v>0</v>
      </c>
      <c r="J591" s="12" t="e">
        <f t="shared" si="44"/>
        <v>#DIV/0!</v>
      </c>
    </row>
    <row r="592" spans="1:10" x14ac:dyDescent="0.2">
      <c r="A592" s="19" t="s">
        <v>12</v>
      </c>
      <c r="B592" s="5" t="s">
        <v>20</v>
      </c>
      <c r="C592" s="22">
        <v>10</v>
      </c>
      <c r="D592" s="4"/>
      <c r="E592" s="4">
        <v>1.7230000000000001</v>
      </c>
      <c r="F592" s="4">
        <v>3.149</v>
      </c>
      <c r="G592" s="4">
        <v>4.4569999999999999</v>
      </c>
      <c r="H592" s="4">
        <f t="shared" si="45"/>
        <v>0.13178786916481425</v>
      </c>
      <c r="I592" s="4">
        <f t="shared" si="46"/>
        <v>0</v>
      </c>
      <c r="J592" s="10">
        <f t="shared" si="44"/>
        <v>0</v>
      </c>
    </row>
    <row r="593" spans="1:10" x14ac:dyDescent="0.2">
      <c r="A593" s="20"/>
      <c r="B593" s="6" t="s">
        <v>21</v>
      </c>
      <c r="C593" s="23"/>
      <c r="D593">
        <v>985</v>
      </c>
      <c r="E593">
        <v>1.726</v>
      </c>
      <c r="F593">
        <v>3.7559999999999998</v>
      </c>
      <c r="G593">
        <v>5.0019999999999998</v>
      </c>
      <c r="H593">
        <f t="shared" si="45"/>
        <v>0.12779552715654952</v>
      </c>
      <c r="I593">
        <f t="shared" si="46"/>
        <v>859.12140575079877</v>
      </c>
      <c r="J593" s="11" t="e">
        <f t="shared" si="44"/>
        <v>#DIV/0!</v>
      </c>
    </row>
    <row r="594" spans="1:10" x14ac:dyDescent="0.2">
      <c r="A594" s="25"/>
      <c r="B594" s="8" t="s">
        <v>22</v>
      </c>
      <c r="C594" s="26"/>
      <c r="D594" s="7"/>
      <c r="E594" s="7">
        <v>1.7290000000000001</v>
      </c>
      <c r="F594" s="7">
        <v>3.1269999999999998</v>
      </c>
      <c r="G594" s="7">
        <v>4.468</v>
      </c>
      <c r="H594" s="7">
        <f t="shared" si="45"/>
        <v>0.12408058842340899</v>
      </c>
      <c r="I594" s="7">
        <f t="shared" si="46"/>
        <v>0</v>
      </c>
      <c r="J594" s="12" t="e">
        <f t="shared" si="44"/>
        <v>#DIV/0!</v>
      </c>
    </row>
    <row r="595" spans="1:10" x14ac:dyDescent="0.2">
      <c r="A595" s="19" t="s">
        <v>13</v>
      </c>
      <c r="B595" s="5" t="s">
        <v>20</v>
      </c>
      <c r="C595" s="22">
        <v>10</v>
      </c>
      <c r="D595" s="4"/>
      <c r="E595" s="4">
        <v>1.7290000000000001</v>
      </c>
      <c r="F595" s="4">
        <v>3.6819999999999999</v>
      </c>
      <c r="G595" s="4">
        <v>5</v>
      </c>
      <c r="H595" s="4">
        <f t="shared" si="45"/>
        <v>0.11162411732753939</v>
      </c>
      <c r="I595" s="4">
        <f t="shared" si="46"/>
        <v>0</v>
      </c>
      <c r="J595" s="10">
        <f t="shared" si="44"/>
        <v>0</v>
      </c>
    </row>
    <row r="596" spans="1:10" x14ac:dyDescent="0.2">
      <c r="A596" s="20"/>
      <c r="B596" s="6" t="s">
        <v>21</v>
      </c>
      <c r="C596" s="23"/>
      <c r="D596">
        <v>950</v>
      </c>
      <c r="E596">
        <v>1.7450000000000001</v>
      </c>
      <c r="F596">
        <v>3.665</v>
      </c>
      <c r="G596">
        <v>5.0830000000000002</v>
      </c>
      <c r="H596">
        <f t="shared" si="45"/>
        <v>8.9222373806275568E-2</v>
      </c>
      <c r="I596">
        <f t="shared" si="46"/>
        <v>865.23874488403817</v>
      </c>
      <c r="J596" s="11" t="e">
        <f t="shared" si="44"/>
        <v>#DIV/0!</v>
      </c>
    </row>
    <row r="597" spans="1:10" x14ac:dyDescent="0.2">
      <c r="A597" s="25"/>
      <c r="B597" s="8" t="s">
        <v>22</v>
      </c>
      <c r="C597" s="26"/>
      <c r="D597" s="7"/>
      <c r="E597" s="7">
        <v>1.7170000000000001</v>
      </c>
      <c r="F597" s="7">
        <v>3.0590000000000002</v>
      </c>
      <c r="G597" s="7">
        <v>4.3920000000000003</v>
      </c>
      <c r="H597" s="7">
        <f t="shared" si="45"/>
        <v>0.12553121935272962</v>
      </c>
      <c r="I597" s="7">
        <f t="shared" si="46"/>
        <v>0</v>
      </c>
      <c r="J597" s="12" t="e">
        <f t="shared" si="44"/>
        <v>#DIV/0!</v>
      </c>
    </row>
    <row r="598" spans="1:10" x14ac:dyDescent="0.2">
      <c r="A598" s="19" t="s">
        <v>14</v>
      </c>
      <c r="B598" s="5" t="s">
        <v>20</v>
      </c>
      <c r="C598" s="22">
        <v>8</v>
      </c>
      <c r="D598" s="4"/>
      <c r="E598" s="4">
        <v>1.7290000000000001</v>
      </c>
      <c r="F598" s="4">
        <v>3.516</v>
      </c>
      <c r="G598" s="4">
        <v>4.7880000000000003</v>
      </c>
      <c r="H598" s="4">
        <f t="shared" si="45"/>
        <v>0.12997724687144477</v>
      </c>
      <c r="I598" s="4">
        <f t="shared" si="46"/>
        <v>0</v>
      </c>
      <c r="J598" s="10">
        <f t="shared" si="44"/>
        <v>0</v>
      </c>
    </row>
    <row r="599" spans="1:10" x14ac:dyDescent="0.2">
      <c r="A599" s="20"/>
      <c r="B599" s="6" t="s">
        <v>21</v>
      </c>
      <c r="C599" s="23"/>
      <c r="D599">
        <v>788</v>
      </c>
      <c r="E599">
        <v>1.742</v>
      </c>
      <c r="F599">
        <v>3.4319999999999999</v>
      </c>
      <c r="G599">
        <v>4.7060000000000004</v>
      </c>
      <c r="H599">
        <f t="shared" si="45"/>
        <v>0.13636363636363621</v>
      </c>
      <c r="I599">
        <f t="shared" si="46"/>
        <v>680.54545454545462</v>
      </c>
      <c r="J599" s="11" t="e">
        <f t="shared" si="44"/>
        <v>#DIV/0!</v>
      </c>
    </row>
    <row r="600" spans="1:10" ht="16" thickBot="1" x14ac:dyDescent="0.25">
      <c r="A600" s="21"/>
      <c r="B600" s="15" t="s">
        <v>22</v>
      </c>
      <c r="C600" s="24"/>
      <c r="D600" s="13"/>
      <c r="E600" s="13">
        <v>1.7190000000000001</v>
      </c>
      <c r="F600" s="13">
        <v>3.556</v>
      </c>
      <c r="G600" s="13">
        <v>4.7839999999999998</v>
      </c>
      <c r="H600" s="13">
        <f t="shared" si="45"/>
        <v>0.13807649043869533</v>
      </c>
      <c r="I600" s="13">
        <f t="shared" si="46"/>
        <v>0</v>
      </c>
      <c r="J600" s="14" t="e">
        <f t="shared" si="44"/>
        <v>#DIV/0!</v>
      </c>
    </row>
    <row r="601" spans="1:10" ht="16" thickBot="1" x14ac:dyDescent="0.25">
      <c r="A601" s="44" t="s">
        <v>1</v>
      </c>
      <c r="B601" s="33"/>
      <c r="C601" s="33"/>
      <c r="D601" s="33" t="s">
        <v>39</v>
      </c>
      <c r="E601" s="34"/>
      <c r="F601" s="9" t="s">
        <v>0</v>
      </c>
      <c r="G601" s="18">
        <v>44180</v>
      </c>
      <c r="H601" s="35" t="s">
        <v>24</v>
      </c>
      <c r="I601" s="36"/>
      <c r="J601" s="1">
        <v>120</v>
      </c>
    </row>
    <row r="602" spans="1:10" ht="16" thickBot="1" x14ac:dyDescent="0.25">
      <c r="A602" s="37" t="s">
        <v>2</v>
      </c>
      <c r="B602" s="38"/>
      <c r="C602" s="38"/>
      <c r="D602" s="38"/>
      <c r="E602" s="39"/>
      <c r="F602" s="40"/>
      <c r="G602" s="41"/>
      <c r="H602" s="42" t="s">
        <v>25</v>
      </c>
      <c r="I602" s="43"/>
      <c r="J602" s="2">
        <v>23</v>
      </c>
    </row>
    <row r="603" spans="1:10" ht="16" thickBot="1" x14ac:dyDescent="0.25">
      <c r="A603" s="45" t="s">
        <v>27</v>
      </c>
      <c r="B603" s="27"/>
      <c r="C603" s="27"/>
      <c r="D603" s="27" t="s">
        <v>33</v>
      </c>
      <c r="E603" s="28"/>
      <c r="F603" s="16" t="s">
        <v>30</v>
      </c>
      <c r="G603" s="16">
        <v>3.81</v>
      </c>
      <c r="H603" s="29" t="s">
        <v>26</v>
      </c>
      <c r="I603" s="30"/>
      <c r="J603" s="3">
        <v>52</v>
      </c>
    </row>
    <row r="604" spans="1:10" x14ac:dyDescent="0.2">
      <c r="A604" s="31"/>
      <c r="B604" s="32"/>
      <c r="C604" s="16" t="s">
        <v>29</v>
      </c>
      <c r="D604" s="16" t="s">
        <v>19</v>
      </c>
      <c r="E604" s="16" t="s">
        <v>15</v>
      </c>
      <c r="F604" s="16" t="s">
        <v>18</v>
      </c>
      <c r="G604" s="16" t="s">
        <v>17</v>
      </c>
      <c r="H604" s="16" t="s">
        <v>28</v>
      </c>
      <c r="I604" s="16" t="s">
        <v>16</v>
      </c>
      <c r="J604" s="17" t="s">
        <v>23</v>
      </c>
    </row>
    <row r="605" spans="1:10" x14ac:dyDescent="0.2">
      <c r="A605" s="19" t="s">
        <v>3</v>
      </c>
      <c r="B605" s="5" t="s">
        <v>20</v>
      </c>
      <c r="C605" s="22">
        <v>10</v>
      </c>
      <c r="D605" s="4"/>
      <c r="E605" s="4">
        <v>1.7410000000000001</v>
      </c>
      <c r="F605" s="4">
        <v>3.8769999999999998</v>
      </c>
      <c r="G605" s="4">
        <v>4.9489999999999998</v>
      </c>
      <c r="H605" s="4">
        <f>(F605-(G605-E605))/F605</f>
        <v>0.17255610007737943</v>
      </c>
      <c r="I605" s="4">
        <f>D605-H605*D605</f>
        <v>0</v>
      </c>
      <c r="J605" s="10">
        <f t="shared" ref="J605:J640" si="47">I605/($G$3^2*C605*PI())</f>
        <v>0</v>
      </c>
    </row>
    <row r="606" spans="1:10" x14ac:dyDescent="0.2">
      <c r="A606" s="20"/>
      <c r="B606" s="6" t="s">
        <v>21</v>
      </c>
      <c r="C606" s="23"/>
      <c r="D606">
        <v>723</v>
      </c>
      <c r="E606">
        <v>1.732</v>
      </c>
      <c r="F606">
        <v>3.64</v>
      </c>
      <c r="G606">
        <v>4.3762999999999996</v>
      </c>
      <c r="H606">
        <f t="shared" ref="H606:H640" si="48">(F606-(G606-E606))/F606</f>
        <v>0.2735439560439562</v>
      </c>
      <c r="I606">
        <f t="shared" ref="I606:I640" si="49">D606-H606*D606</f>
        <v>525.22771978021967</v>
      </c>
      <c r="J606" s="11" t="e">
        <f t="shared" si="47"/>
        <v>#DIV/0!</v>
      </c>
    </row>
    <row r="607" spans="1:10" x14ac:dyDescent="0.2">
      <c r="A607" s="25"/>
      <c r="B607" s="8" t="s">
        <v>22</v>
      </c>
      <c r="C607" s="26"/>
      <c r="D607" s="7"/>
      <c r="E607" s="7">
        <v>1.742</v>
      </c>
      <c r="F607" s="7">
        <v>3.4</v>
      </c>
      <c r="G607" s="7">
        <v>4.492</v>
      </c>
      <c r="H607" s="7">
        <f t="shared" si="48"/>
        <v>0.19117647058823528</v>
      </c>
      <c r="I607" s="7">
        <f t="shared" si="49"/>
        <v>0</v>
      </c>
      <c r="J607" s="12" t="e">
        <f t="shared" si="47"/>
        <v>#DIV/0!</v>
      </c>
    </row>
    <row r="608" spans="1:10" x14ac:dyDescent="0.2">
      <c r="A608" s="19" t="s">
        <v>4</v>
      </c>
      <c r="B608" s="5" t="s">
        <v>20</v>
      </c>
      <c r="C608" s="23">
        <v>10</v>
      </c>
      <c r="E608">
        <v>1.712</v>
      </c>
      <c r="F608">
        <v>3.4409999999999998</v>
      </c>
      <c r="G608">
        <v>4.4930000000000003</v>
      </c>
      <c r="H608" s="4">
        <f t="shared" si="48"/>
        <v>0.19180470793373999</v>
      </c>
      <c r="I608" s="4">
        <f t="shared" si="49"/>
        <v>0</v>
      </c>
      <c r="J608" s="10">
        <f t="shared" si="47"/>
        <v>0</v>
      </c>
    </row>
    <row r="609" spans="1:10" x14ac:dyDescent="0.2">
      <c r="A609" s="20"/>
      <c r="B609" s="6" t="s">
        <v>21</v>
      </c>
      <c r="C609" s="23"/>
      <c r="D609">
        <v>826</v>
      </c>
      <c r="E609">
        <v>1.7010000000000001</v>
      </c>
      <c r="F609">
        <v>3.6070000000000002</v>
      </c>
      <c r="G609">
        <v>4.7549999999999999</v>
      </c>
      <c r="H609">
        <f t="shared" si="48"/>
        <v>0.15331300249514843</v>
      </c>
      <c r="I609">
        <f t="shared" si="49"/>
        <v>699.36345993900738</v>
      </c>
      <c r="J609" s="11" t="e">
        <f t="shared" si="47"/>
        <v>#DIV/0!</v>
      </c>
    </row>
    <row r="610" spans="1:10" x14ac:dyDescent="0.2">
      <c r="A610" s="25"/>
      <c r="B610" s="8" t="s">
        <v>22</v>
      </c>
      <c r="C610" s="26"/>
      <c r="D610" s="7"/>
      <c r="E610" s="7">
        <v>1.7170000000000001</v>
      </c>
      <c r="F610" s="7">
        <v>3.2229999999999999</v>
      </c>
      <c r="G610" s="7">
        <v>4.367</v>
      </c>
      <c r="H610" s="7">
        <f t="shared" si="48"/>
        <v>0.17778467266521875</v>
      </c>
      <c r="I610" s="7">
        <f t="shared" si="49"/>
        <v>0</v>
      </c>
      <c r="J610" s="12" t="e">
        <f t="shared" si="47"/>
        <v>#DIV/0!</v>
      </c>
    </row>
    <row r="611" spans="1:10" x14ac:dyDescent="0.2">
      <c r="A611" s="19" t="s">
        <v>5</v>
      </c>
      <c r="B611" s="5" t="s">
        <v>20</v>
      </c>
      <c r="C611" s="22">
        <v>10</v>
      </c>
      <c r="D611" s="4"/>
      <c r="E611" s="4">
        <v>1.7090000000000001</v>
      </c>
      <c r="F611" s="4">
        <v>3.78</v>
      </c>
      <c r="G611" s="4">
        <v>5.1230000000000002</v>
      </c>
      <c r="H611" s="4">
        <f t="shared" si="48"/>
        <v>9.6825396825396745E-2</v>
      </c>
      <c r="I611" s="4">
        <f t="shared" si="49"/>
        <v>0</v>
      </c>
      <c r="J611" s="10">
        <f t="shared" si="47"/>
        <v>0</v>
      </c>
    </row>
    <row r="612" spans="1:10" x14ac:dyDescent="0.2">
      <c r="A612" s="20"/>
      <c r="B612" s="6" t="s">
        <v>21</v>
      </c>
      <c r="C612" s="23"/>
      <c r="D612">
        <v>814</v>
      </c>
      <c r="E612">
        <v>1.7330000000000001</v>
      </c>
      <c r="F612">
        <v>3.4239999999999999</v>
      </c>
      <c r="G612">
        <v>4.5910000000000002</v>
      </c>
      <c r="H612">
        <f t="shared" si="48"/>
        <v>0.16530373831775697</v>
      </c>
      <c r="I612">
        <f t="shared" si="49"/>
        <v>679.44275700934577</v>
      </c>
      <c r="J612" s="11" t="e">
        <f t="shared" si="47"/>
        <v>#DIV/0!</v>
      </c>
    </row>
    <row r="613" spans="1:10" x14ac:dyDescent="0.2">
      <c r="A613" s="25"/>
      <c r="B613" s="8" t="s">
        <v>22</v>
      </c>
      <c r="C613" s="26"/>
      <c r="D613" s="7"/>
      <c r="E613" s="7">
        <v>1.7370000000000001</v>
      </c>
      <c r="F613" s="7">
        <v>3.5179999999999998</v>
      </c>
      <c r="G613" s="7">
        <v>4.6710000000000003</v>
      </c>
      <c r="H613" s="7">
        <f t="shared" si="48"/>
        <v>0.16600341102899366</v>
      </c>
      <c r="I613" s="7">
        <f t="shared" si="49"/>
        <v>0</v>
      </c>
      <c r="J613" s="12" t="e">
        <f t="shared" si="47"/>
        <v>#DIV/0!</v>
      </c>
    </row>
    <row r="614" spans="1:10" x14ac:dyDescent="0.2">
      <c r="A614" s="19" t="s">
        <v>6</v>
      </c>
      <c r="B614" s="5" t="s">
        <v>20</v>
      </c>
      <c r="C614" s="22">
        <v>10</v>
      </c>
      <c r="D614" s="4"/>
      <c r="E614" s="4">
        <v>1.7290000000000001</v>
      </c>
      <c r="F614" s="4">
        <v>3.5310000000000001</v>
      </c>
      <c r="G614" s="4">
        <v>4.7549999999999999</v>
      </c>
      <c r="H614" s="4">
        <f t="shared" si="48"/>
        <v>0.14301897479467582</v>
      </c>
      <c r="I614" s="4">
        <f t="shared" si="49"/>
        <v>0</v>
      </c>
      <c r="J614" s="10">
        <f t="shared" si="47"/>
        <v>0</v>
      </c>
    </row>
    <row r="615" spans="1:10" x14ac:dyDescent="0.2">
      <c r="A615" s="20"/>
      <c r="B615" s="6" t="s">
        <v>21</v>
      </c>
      <c r="C615" s="23"/>
      <c r="D615">
        <v>819</v>
      </c>
      <c r="E615">
        <v>1.7370000000000001</v>
      </c>
      <c r="F615">
        <v>3.3620000000000001</v>
      </c>
      <c r="G615">
        <v>4.5579999999999998</v>
      </c>
      <c r="H615">
        <f t="shared" si="48"/>
        <v>0.16091612135633562</v>
      </c>
      <c r="I615">
        <f t="shared" si="49"/>
        <v>687.20969660916114</v>
      </c>
      <c r="J615" s="11" t="e">
        <f t="shared" si="47"/>
        <v>#DIV/0!</v>
      </c>
    </row>
    <row r="616" spans="1:10" x14ac:dyDescent="0.2">
      <c r="A616" s="25"/>
      <c r="B616" s="8" t="s">
        <v>22</v>
      </c>
      <c r="C616" s="26"/>
      <c r="D616" s="7"/>
      <c r="E616" s="7">
        <v>1.734</v>
      </c>
      <c r="F616" s="7">
        <v>3.4289999999999998</v>
      </c>
      <c r="G616" s="7">
        <v>4.6710000000000003</v>
      </c>
      <c r="H616" s="7">
        <f t="shared" si="48"/>
        <v>0.14348206474190714</v>
      </c>
      <c r="I616" s="7">
        <f t="shared" si="49"/>
        <v>0</v>
      </c>
      <c r="J616" s="12" t="e">
        <f t="shared" si="47"/>
        <v>#DIV/0!</v>
      </c>
    </row>
    <row r="617" spans="1:10" x14ac:dyDescent="0.2">
      <c r="A617" s="19" t="s">
        <v>7</v>
      </c>
      <c r="B617" s="5" t="s">
        <v>20</v>
      </c>
      <c r="C617" s="22">
        <v>10</v>
      </c>
      <c r="D617" s="4"/>
      <c r="E617" s="4">
        <v>1.7270000000000001</v>
      </c>
      <c r="F617" s="4">
        <v>3.5939999999999999</v>
      </c>
      <c r="G617" s="4">
        <v>4.7619999999999996</v>
      </c>
      <c r="H617" s="4">
        <f t="shared" si="48"/>
        <v>0.15553700612131346</v>
      </c>
      <c r="I617" s="4">
        <f t="shared" si="49"/>
        <v>0</v>
      </c>
      <c r="J617" s="10">
        <f t="shared" si="47"/>
        <v>0</v>
      </c>
    </row>
    <row r="618" spans="1:10" x14ac:dyDescent="0.2">
      <c r="A618" s="20"/>
      <c r="B618" s="6" t="s">
        <v>21</v>
      </c>
      <c r="C618" s="23"/>
      <c r="D618">
        <v>883</v>
      </c>
      <c r="E618">
        <v>1.7190000000000001</v>
      </c>
      <c r="F618">
        <v>3.8980000000000001</v>
      </c>
      <c r="G618">
        <v>5.0419999999999998</v>
      </c>
      <c r="H618">
        <f t="shared" si="48"/>
        <v>0.14751154438173439</v>
      </c>
      <c r="I618">
        <f t="shared" si="49"/>
        <v>752.74730631092848</v>
      </c>
      <c r="J618" s="11" t="e">
        <f t="shared" si="47"/>
        <v>#DIV/0!</v>
      </c>
    </row>
    <row r="619" spans="1:10" x14ac:dyDescent="0.2">
      <c r="A619" s="25"/>
      <c r="B619" s="8" t="s">
        <v>22</v>
      </c>
      <c r="C619" s="26"/>
      <c r="D619" s="7"/>
      <c r="E619" s="7">
        <v>1.7410000000000001</v>
      </c>
      <c r="F619" s="7">
        <v>3.3879999999999999</v>
      </c>
      <c r="G619" s="7">
        <v>4.5839999999999996</v>
      </c>
      <c r="H619" s="7">
        <f t="shared" si="48"/>
        <v>0.16086186540732006</v>
      </c>
      <c r="I619" s="7">
        <f t="shared" si="49"/>
        <v>0</v>
      </c>
      <c r="J619" s="12" t="e">
        <f t="shared" si="47"/>
        <v>#DIV/0!</v>
      </c>
    </row>
    <row r="620" spans="1:10" x14ac:dyDescent="0.2">
      <c r="A620" s="19" t="s">
        <v>8</v>
      </c>
      <c r="B620" s="5" t="s">
        <v>20</v>
      </c>
      <c r="C620" s="22">
        <v>10</v>
      </c>
      <c r="D620" s="4"/>
      <c r="E620" s="4">
        <v>1.7350000000000001</v>
      </c>
      <c r="F620" s="4">
        <v>3.3010000000000002</v>
      </c>
      <c r="G620" s="4">
        <v>4.5679999999999996</v>
      </c>
      <c r="H620" s="4">
        <f t="shared" si="48"/>
        <v>0.14177521963041528</v>
      </c>
      <c r="I620" s="4">
        <f t="shared" si="49"/>
        <v>0</v>
      </c>
      <c r="J620" s="10">
        <f t="shared" si="47"/>
        <v>0</v>
      </c>
    </row>
    <row r="621" spans="1:10" x14ac:dyDescent="0.2">
      <c r="A621" s="20"/>
      <c r="B621" s="6" t="s">
        <v>21</v>
      </c>
      <c r="C621" s="23"/>
      <c r="D621">
        <v>790</v>
      </c>
      <c r="E621">
        <v>1.7410000000000001</v>
      </c>
      <c r="F621">
        <v>3.593</v>
      </c>
      <c r="G621">
        <v>4.7629999999999999</v>
      </c>
      <c r="H621">
        <f t="shared" si="48"/>
        <v>0.1589201224603396</v>
      </c>
      <c r="I621">
        <f t="shared" si="49"/>
        <v>664.4531032563317</v>
      </c>
      <c r="J621" s="11" t="e">
        <f t="shared" si="47"/>
        <v>#DIV/0!</v>
      </c>
    </row>
    <row r="622" spans="1:10" x14ac:dyDescent="0.2">
      <c r="A622" s="25"/>
      <c r="B622" s="8" t="s">
        <v>22</v>
      </c>
      <c r="C622" s="26"/>
      <c r="D622" s="7"/>
      <c r="E622" s="7">
        <v>1.7110000000000001</v>
      </c>
      <c r="F622" s="7">
        <v>3.698</v>
      </c>
      <c r="G622" s="7">
        <v>4.8310000000000004</v>
      </c>
      <c r="H622" s="7">
        <f t="shared" si="48"/>
        <v>0.15630070308274741</v>
      </c>
      <c r="I622" s="7">
        <f t="shared" si="49"/>
        <v>0</v>
      </c>
      <c r="J622" s="12" t="e">
        <f t="shared" si="47"/>
        <v>#DIV/0!</v>
      </c>
    </row>
    <row r="623" spans="1:10" x14ac:dyDescent="0.2">
      <c r="A623" s="19" t="s">
        <v>9</v>
      </c>
      <c r="B623" s="5" t="s">
        <v>20</v>
      </c>
      <c r="C623" s="22">
        <v>10</v>
      </c>
      <c r="D623" s="4"/>
      <c r="E623" s="4">
        <v>1.7130000000000001</v>
      </c>
      <c r="F623" s="4">
        <v>3.6509999999999998</v>
      </c>
      <c r="G623" s="4">
        <v>4.7610000000000001</v>
      </c>
      <c r="H623" s="4">
        <f t="shared" si="48"/>
        <v>0.16516023007395228</v>
      </c>
      <c r="I623" s="4">
        <f t="shared" si="49"/>
        <v>0</v>
      </c>
      <c r="J623" s="10">
        <f t="shared" si="47"/>
        <v>0</v>
      </c>
    </row>
    <row r="624" spans="1:10" x14ac:dyDescent="0.2">
      <c r="A624" s="20"/>
      <c r="B624" s="6" t="s">
        <v>21</v>
      </c>
      <c r="C624" s="23"/>
      <c r="D624">
        <v>833</v>
      </c>
      <c r="E624">
        <v>1.17</v>
      </c>
      <c r="F624">
        <v>3.117</v>
      </c>
      <c r="G624">
        <v>4.21</v>
      </c>
      <c r="H624">
        <f t="shared" si="48"/>
        <v>2.4703240295155585E-2</v>
      </c>
      <c r="I624">
        <f t="shared" si="49"/>
        <v>812.42220083413542</v>
      </c>
      <c r="J624" s="11" t="e">
        <f t="shared" si="47"/>
        <v>#DIV/0!</v>
      </c>
    </row>
    <row r="625" spans="1:10" x14ac:dyDescent="0.2">
      <c r="A625" s="25"/>
      <c r="B625" s="8" t="s">
        <v>22</v>
      </c>
      <c r="C625" s="26"/>
      <c r="D625" s="7"/>
      <c r="E625" s="7">
        <v>1.7290000000000001</v>
      </c>
      <c r="F625" s="7">
        <v>3.5270000000000001</v>
      </c>
      <c r="G625" s="7">
        <v>4.625</v>
      </c>
      <c r="H625" s="7">
        <f t="shared" si="48"/>
        <v>0.17890558548341373</v>
      </c>
      <c r="I625" s="7">
        <f t="shared" si="49"/>
        <v>0</v>
      </c>
      <c r="J625" s="12" t="e">
        <f t="shared" si="47"/>
        <v>#DIV/0!</v>
      </c>
    </row>
    <row r="626" spans="1:10" x14ac:dyDescent="0.2">
      <c r="A626" s="19" t="s">
        <v>10</v>
      </c>
      <c r="B626" s="5" t="s">
        <v>20</v>
      </c>
      <c r="C626" s="22">
        <v>10</v>
      </c>
      <c r="D626" s="4"/>
      <c r="E626" s="4">
        <v>1.7310000000000001</v>
      </c>
      <c r="F626" s="4">
        <v>3.27</v>
      </c>
      <c r="G626" s="4">
        <v>4.335</v>
      </c>
      <c r="H626" s="4">
        <f t="shared" si="48"/>
        <v>0.20366972477064219</v>
      </c>
      <c r="I626" s="4">
        <f t="shared" si="49"/>
        <v>0</v>
      </c>
      <c r="J626" s="10">
        <f t="shared" si="47"/>
        <v>0</v>
      </c>
    </row>
    <row r="627" spans="1:10" x14ac:dyDescent="0.2">
      <c r="A627" s="20"/>
      <c r="B627" s="6" t="s">
        <v>21</v>
      </c>
      <c r="C627" s="23"/>
      <c r="D627">
        <v>742</v>
      </c>
      <c r="E627">
        <v>1.73</v>
      </c>
      <c r="F627">
        <v>3.472</v>
      </c>
      <c r="G627">
        <v>4.57</v>
      </c>
      <c r="H627">
        <f t="shared" si="48"/>
        <v>0.18202764976958516</v>
      </c>
      <c r="I627">
        <f t="shared" si="49"/>
        <v>606.9354838709678</v>
      </c>
      <c r="J627" s="11" t="e">
        <f t="shared" si="47"/>
        <v>#DIV/0!</v>
      </c>
    </row>
    <row r="628" spans="1:10" x14ac:dyDescent="0.2">
      <c r="A628" s="25"/>
      <c r="B628" s="8" t="s">
        <v>22</v>
      </c>
      <c r="C628" s="26"/>
      <c r="D628" s="7"/>
      <c r="E628" s="7">
        <v>1.7529999999999999</v>
      </c>
      <c r="F628" s="7">
        <v>3.4340000000000002</v>
      </c>
      <c r="G628" s="7">
        <v>4.4740000000000002</v>
      </c>
      <c r="H628" s="7">
        <f t="shared" si="48"/>
        <v>0.2076295864880606</v>
      </c>
      <c r="I628" s="7">
        <f t="shared" si="49"/>
        <v>0</v>
      </c>
      <c r="J628" s="12" t="e">
        <f t="shared" si="47"/>
        <v>#DIV/0!</v>
      </c>
    </row>
    <row r="629" spans="1:10" x14ac:dyDescent="0.2">
      <c r="A629" s="19" t="s">
        <v>11</v>
      </c>
      <c r="B629" s="5" t="s">
        <v>20</v>
      </c>
      <c r="C629" s="22">
        <v>10</v>
      </c>
      <c r="D629" s="4"/>
      <c r="E629" s="4">
        <v>1.758</v>
      </c>
      <c r="F629" s="4">
        <v>3.3969999999999998</v>
      </c>
      <c r="G629" s="4">
        <v>4.4580000000000002</v>
      </c>
      <c r="H629" s="4">
        <f t="shared" si="48"/>
        <v>0.20518104209596694</v>
      </c>
      <c r="I629" s="4">
        <f t="shared" si="49"/>
        <v>0</v>
      </c>
      <c r="J629" s="10">
        <f t="shared" si="47"/>
        <v>0</v>
      </c>
    </row>
    <row r="630" spans="1:10" x14ac:dyDescent="0.2">
      <c r="A630" s="20"/>
      <c r="B630" s="6" t="s">
        <v>21</v>
      </c>
      <c r="C630" s="23"/>
      <c r="D630">
        <v>959</v>
      </c>
      <c r="E630">
        <v>1.7110000000000001</v>
      </c>
      <c r="F630">
        <v>3.879</v>
      </c>
      <c r="G630">
        <v>4.7750000000000004</v>
      </c>
      <c r="H630">
        <f t="shared" si="48"/>
        <v>0.21010569734467646</v>
      </c>
      <c r="I630">
        <f t="shared" si="49"/>
        <v>757.50863624645524</v>
      </c>
      <c r="J630" s="11" t="e">
        <f t="shared" si="47"/>
        <v>#DIV/0!</v>
      </c>
    </row>
    <row r="631" spans="1:10" x14ac:dyDescent="0.2">
      <c r="A631" s="25"/>
      <c r="B631" s="8" t="s">
        <v>22</v>
      </c>
      <c r="C631" s="26"/>
      <c r="D631" s="7"/>
      <c r="E631" s="7">
        <v>1.74</v>
      </c>
      <c r="F631" s="7">
        <v>3.194</v>
      </c>
      <c r="G631" s="7">
        <v>4.3029999999999999</v>
      </c>
      <c r="H631" s="7">
        <f t="shared" si="48"/>
        <v>0.19755792110206644</v>
      </c>
      <c r="I631" s="7">
        <f t="shared" si="49"/>
        <v>0</v>
      </c>
      <c r="J631" s="12" t="e">
        <f t="shared" si="47"/>
        <v>#DIV/0!</v>
      </c>
    </row>
    <row r="632" spans="1:10" x14ac:dyDescent="0.2">
      <c r="A632" s="19" t="s">
        <v>12</v>
      </c>
      <c r="B632" s="5" t="s">
        <v>20</v>
      </c>
      <c r="C632" s="22">
        <v>10</v>
      </c>
      <c r="D632" s="4"/>
      <c r="E632" s="4">
        <v>1.7230000000000001</v>
      </c>
      <c r="F632" s="4">
        <v>3.2290000000000001</v>
      </c>
      <c r="G632" s="4">
        <v>4.4249999999999998</v>
      </c>
      <c r="H632" s="4">
        <f t="shared" si="48"/>
        <v>0.16320842366057606</v>
      </c>
      <c r="I632" s="4">
        <f t="shared" si="49"/>
        <v>0</v>
      </c>
      <c r="J632" s="10">
        <f t="shared" si="47"/>
        <v>0</v>
      </c>
    </row>
    <row r="633" spans="1:10" x14ac:dyDescent="0.2">
      <c r="A633" s="20"/>
      <c r="B633" s="6" t="s">
        <v>21</v>
      </c>
      <c r="C633" s="23"/>
      <c r="D633">
        <v>702</v>
      </c>
      <c r="E633">
        <v>1.7290000000000001</v>
      </c>
      <c r="F633">
        <v>3.1659999999999999</v>
      </c>
      <c r="G633">
        <v>4.383</v>
      </c>
      <c r="H633">
        <f t="shared" si="48"/>
        <v>0.16171825647504739</v>
      </c>
      <c r="I633">
        <f t="shared" si="49"/>
        <v>588.47378395451676</v>
      </c>
      <c r="J633" s="11" t="e">
        <f t="shared" si="47"/>
        <v>#DIV/0!</v>
      </c>
    </row>
    <row r="634" spans="1:10" x14ac:dyDescent="0.2">
      <c r="A634" s="25"/>
      <c r="B634" s="8" t="s">
        <v>22</v>
      </c>
      <c r="C634" s="26"/>
      <c r="D634" s="7"/>
      <c r="E634" s="7">
        <v>1.7230000000000001</v>
      </c>
      <c r="F634" s="7">
        <v>3.2989999999999999</v>
      </c>
      <c r="G634" s="7">
        <v>4.4290000000000003</v>
      </c>
      <c r="H634" s="7">
        <f t="shared" si="48"/>
        <v>0.17975143983025146</v>
      </c>
      <c r="I634" s="7">
        <f t="shared" si="49"/>
        <v>0</v>
      </c>
      <c r="J634" s="12" t="e">
        <f t="shared" si="47"/>
        <v>#DIV/0!</v>
      </c>
    </row>
    <row r="635" spans="1:10" x14ac:dyDescent="0.2">
      <c r="A635" s="19" t="s">
        <v>13</v>
      </c>
      <c r="B635" s="5" t="s">
        <v>20</v>
      </c>
      <c r="C635" s="22">
        <v>10</v>
      </c>
      <c r="D635" s="4"/>
      <c r="E635" s="4">
        <v>1.746</v>
      </c>
      <c r="F635" s="4">
        <v>3.875</v>
      </c>
      <c r="G635" s="4">
        <v>4.968</v>
      </c>
      <c r="H635" s="4">
        <f t="shared" si="48"/>
        <v>0.16851612903225807</v>
      </c>
      <c r="I635" s="4">
        <f t="shared" si="49"/>
        <v>0</v>
      </c>
      <c r="J635" s="10">
        <f t="shared" si="47"/>
        <v>0</v>
      </c>
    </row>
    <row r="636" spans="1:10" x14ac:dyDescent="0.2">
      <c r="A636" s="20"/>
      <c r="B636" s="6" t="s">
        <v>21</v>
      </c>
      <c r="C636" s="23"/>
      <c r="D636">
        <v>978</v>
      </c>
      <c r="E636">
        <v>1.724</v>
      </c>
      <c r="F636">
        <v>3.3359999999999999</v>
      </c>
      <c r="G636">
        <v>4.5739999999999998</v>
      </c>
      <c r="H636">
        <f t="shared" si="48"/>
        <v>0.14568345323741014</v>
      </c>
      <c r="I636">
        <f t="shared" si="49"/>
        <v>835.52158273381292</v>
      </c>
      <c r="J636" s="11" t="e">
        <f t="shared" si="47"/>
        <v>#DIV/0!</v>
      </c>
    </row>
    <row r="637" spans="1:10" x14ac:dyDescent="0.2">
      <c r="A637" s="25"/>
      <c r="B637" s="8" t="s">
        <v>22</v>
      </c>
      <c r="C637" s="26"/>
      <c r="D637" s="7"/>
      <c r="E637" s="7">
        <v>1.7250000000000001</v>
      </c>
      <c r="F637" s="7">
        <v>3.13</v>
      </c>
      <c r="G637" s="7">
        <v>4.3819999999999997</v>
      </c>
      <c r="H637" s="7">
        <f t="shared" si="48"/>
        <v>0.15111821086261992</v>
      </c>
      <c r="I637" s="7">
        <f t="shared" si="49"/>
        <v>0</v>
      </c>
      <c r="J637" s="12" t="e">
        <f t="shared" si="47"/>
        <v>#DIV/0!</v>
      </c>
    </row>
    <row r="638" spans="1:10" x14ac:dyDescent="0.2">
      <c r="A638" s="19" t="s">
        <v>14</v>
      </c>
      <c r="B638" s="5" t="s">
        <v>20</v>
      </c>
      <c r="C638" s="22">
        <v>10</v>
      </c>
      <c r="D638" s="4"/>
      <c r="E638" s="4">
        <v>1.72</v>
      </c>
      <c r="F638" s="4">
        <v>3.6949999999999998</v>
      </c>
      <c r="G638" s="4">
        <v>4.9130000000000003</v>
      </c>
      <c r="H638" s="4">
        <f t="shared" si="48"/>
        <v>0.13585926928281444</v>
      </c>
      <c r="I638" s="4">
        <f t="shared" si="49"/>
        <v>0</v>
      </c>
      <c r="J638" s="10">
        <f t="shared" si="47"/>
        <v>0</v>
      </c>
    </row>
    <row r="639" spans="1:10" x14ac:dyDescent="0.2">
      <c r="A639" s="20"/>
      <c r="B639" s="6" t="s">
        <v>21</v>
      </c>
      <c r="C639" s="23"/>
      <c r="D639">
        <v>1145</v>
      </c>
      <c r="E639">
        <v>1.744</v>
      </c>
      <c r="F639">
        <v>3.4660000000000002</v>
      </c>
      <c r="G639">
        <v>4.7</v>
      </c>
      <c r="H639">
        <f t="shared" si="48"/>
        <v>0.14714368147720708</v>
      </c>
      <c r="I639">
        <f t="shared" si="49"/>
        <v>976.52048470859791</v>
      </c>
      <c r="J639" s="11" t="e">
        <f t="shared" si="47"/>
        <v>#DIV/0!</v>
      </c>
    </row>
    <row r="640" spans="1:10" ht="16" thickBot="1" x14ac:dyDescent="0.25">
      <c r="A640" s="21"/>
      <c r="B640" s="15" t="s">
        <v>22</v>
      </c>
      <c r="C640" s="24"/>
      <c r="D640" s="13"/>
      <c r="E640" s="13">
        <v>1.7430000000000001</v>
      </c>
      <c r="F640" s="13">
        <v>3.52</v>
      </c>
      <c r="G640" s="13">
        <v>4.8150000000000004</v>
      </c>
      <c r="H640" s="13">
        <f t="shared" si="48"/>
        <v>0.12727272727272726</v>
      </c>
      <c r="I640" s="13">
        <f t="shared" si="49"/>
        <v>0</v>
      </c>
      <c r="J640" s="14" t="e">
        <f t="shared" si="47"/>
        <v>#DIV/0!</v>
      </c>
    </row>
    <row r="641" spans="1:10" ht="16" thickBot="1" x14ac:dyDescent="0.25">
      <c r="A641" s="44" t="s">
        <v>1</v>
      </c>
      <c r="B641" s="33"/>
      <c r="C641" s="33"/>
      <c r="D641" s="33" t="s">
        <v>40</v>
      </c>
      <c r="E641" s="34"/>
      <c r="F641" s="9" t="s">
        <v>0</v>
      </c>
      <c r="G641" s="18">
        <v>44159</v>
      </c>
      <c r="H641" s="35" t="s">
        <v>24</v>
      </c>
      <c r="I641" s="36"/>
      <c r="J641" s="1">
        <v>100</v>
      </c>
    </row>
    <row r="642" spans="1:10" ht="16" thickBot="1" x14ac:dyDescent="0.25">
      <c r="A642" s="37" t="s">
        <v>2</v>
      </c>
      <c r="B642" s="38"/>
      <c r="C642" s="38"/>
      <c r="D642" s="38"/>
      <c r="E642" s="39"/>
      <c r="F642" s="40"/>
      <c r="G642" s="41"/>
      <c r="H642" s="42" t="s">
        <v>25</v>
      </c>
      <c r="I642" s="43"/>
      <c r="J642" s="2">
        <v>21</v>
      </c>
    </row>
    <row r="643" spans="1:10" ht="16" thickBot="1" x14ac:dyDescent="0.25">
      <c r="A643" s="45" t="s">
        <v>27</v>
      </c>
      <c r="B643" s="27"/>
      <c r="C643" s="27"/>
      <c r="D643" s="27" t="s">
        <v>33</v>
      </c>
      <c r="E643" s="28"/>
      <c r="F643" s="16" t="s">
        <v>30</v>
      </c>
      <c r="G643" s="16"/>
      <c r="H643" s="29" t="s">
        <v>26</v>
      </c>
      <c r="I643" s="30"/>
      <c r="J643" s="3">
        <v>60</v>
      </c>
    </row>
    <row r="644" spans="1:10" x14ac:dyDescent="0.2">
      <c r="A644" s="31"/>
      <c r="B644" s="32"/>
      <c r="C644" s="16" t="s">
        <v>29</v>
      </c>
      <c r="D644" s="16" t="s">
        <v>19</v>
      </c>
      <c r="E644" s="16" t="s">
        <v>15</v>
      </c>
      <c r="F644" s="16" t="s">
        <v>18</v>
      </c>
      <c r="G644" s="16" t="s">
        <v>17</v>
      </c>
      <c r="H644" s="16" t="s">
        <v>28</v>
      </c>
      <c r="I644" s="16" t="s">
        <v>16</v>
      </c>
      <c r="J644" s="17" t="s">
        <v>23</v>
      </c>
    </row>
    <row r="645" spans="1:10" x14ac:dyDescent="0.2">
      <c r="A645" s="19" t="s">
        <v>3</v>
      </c>
      <c r="B645" s="5" t="s">
        <v>20</v>
      </c>
      <c r="C645" s="22">
        <v>10</v>
      </c>
      <c r="D645" s="4"/>
      <c r="E645" s="4">
        <v>2.472</v>
      </c>
      <c r="F645" s="4">
        <v>3.3290000000000002</v>
      </c>
      <c r="G645" s="4">
        <v>5.1970000000000001</v>
      </c>
      <c r="H645" s="4">
        <f>(F645-(G645-E645))/F645</f>
        <v>0.18143586662661462</v>
      </c>
      <c r="I645" s="4">
        <f>D645-H645*D645</f>
        <v>0</v>
      </c>
      <c r="J645" s="10">
        <f t="shared" ref="J645:J680" si="50">I645/($G$3^2*C645*PI())</f>
        <v>0</v>
      </c>
    </row>
    <row r="646" spans="1:10" x14ac:dyDescent="0.2">
      <c r="A646" s="20"/>
      <c r="B646" s="6" t="s">
        <v>21</v>
      </c>
      <c r="C646" s="23"/>
      <c r="D646">
        <v>768</v>
      </c>
      <c r="E646">
        <v>2.4910000000000001</v>
      </c>
      <c r="F646">
        <v>3.863</v>
      </c>
      <c r="G646">
        <v>5.67</v>
      </c>
      <c r="H646">
        <f t="shared" ref="H646:H680" si="51">(F646-(G646-E646))/F646</f>
        <v>0.17706445767538187</v>
      </c>
      <c r="I646">
        <f t="shared" ref="I646:I680" si="52">D646-H646*D646</f>
        <v>632.01449650530674</v>
      </c>
      <c r="J646" s="11" t="e">
        <f t="shared" si="50"/>
        <v>#DIV/0!</v>
      </c>
    </row>
    <row r="647" spans="1:10" x14ac:dyDescent="0.2">
      <c r="A647" s="25"/>
      <c r="B647" s="8" t="s">
        <v>22</v>
      </c>
      <c r="C647" s="26"/>
      <c r="D647" s="7"/>
      <c r="E647" s="7">
        <v>2.4929999999999999</v>
      </c>
      <c r="F647" s="7">
        <v>3.7469999999999999</v>
      </c>
      <c r="G647" s="7">
        <v>5.57</v>
      </c>
      <c r="H647" s="7">
        <f t="shared" si="51"/>
        <v>0.17880971443821711</v>
      </c>
      <c r="I647" s="7">
        <f t="shared" si="52"/>
        <v>0</v>
      </c>
      <c r="J647" s="12" t="e">
        <f t="shared" si="50"/>
        <v>#DIV/0!</v>
      </c>
    </row>
    <row r="648" spans="1:10" x14ac:dyDescent="0.2">
      <c r="A648" s="19" t="s">
        <v>4</v>
      </c>
      <c r="B648" s="5" t="s">
        <v>20</v>
      </c>
      <c r="C648" s="23">
        <v>10</v>
      </c>
      <c r="E648">
        <v>2.4159999999999999</v>
      </c>
      <c r="F648">
        <v>3.875</v>
      </c>
      <c r="G648">
        <v>5.6079999999999997</v>
      </c>
      <c r="H648" s="4">
        <f t="shared" si="51"/>
        <v>0.1762580645161291</v>
      </c>
      <c r="I648" s="4">
        <f t="shared" si="52"/>
        <v>0</v>
      </c>
      <c r="J648" s="10">
        <f t="shared" si="50"/>
        <v>0</v>
      </c>
    </row>
    <row r="649" spans="1:10" x14ac:dyDescent="0.2">
      <c r="A649" s="20"/>
      <c r="B649" s="6" t="s">
        <v>21</v>
      </c>
      <c r="C649" s="23"/>
      <c r="D649">
        <v>773</v>
      </c>
      <c r="E649">
        <v>2.4630000000000001</v>
      </c>
      <c r="F649">
        <v>3.4820000000000002</v>
      </c>
      <c r="G649">
        <v>5.3789999999999996</v>
      </c>
      <c r="H649">
        <f t="shared" si="51"/>
        <v>0.16255025847214263</v>
      </c>
      <c r="I649">
        <f t="shared" si="52"/>
        <v>647.34865020103371</v>
      </c>
      <c r="J649" s="11" t="e">
        <f t="shared" si="50"/>
        <v>#DIV/0!</v>
      </c>
    </row>
    <row r="650" spans="1:10" x14ac:dyDescent="0.2">
      <c r="A650" s="25"/>
      <c r="B650" s="8" t="s">
        <v>22</v>
      </c>
      <c r="C650" s="26"/>
      <c r="D650" s="7"/>
      <c r="E650" s="7">
        <v>2.4580000000000002</v>
      </c>
      <c r="F650" s="7">
        <v>3.4540000000000002</v>
      </c>
      <c r="G650" s="7">
        <v>5.3049999999999997</v>
      </c>
      <c r="H650" s="7">
        <f t="shared" si="51"/>
        <v>0.1757382744643893</v>
      </c>
      <c r="I650" s="7">
        <f t="shared" si="52"/>
        <v>0</v>
      </c>
      <c r="J650" s="12" t="e">
        <f t="shared" si="50"/>
        <v>#DIV/0!</v>
      </c>
    </row>
    <row r="651" spans="1:10" x14ac:dyDescent="0.2">
      <c r="A651" s="19" t="s">
        <v>5</v>
      </c>
      <c r="B651" s="5" t="s">
        <v>20</v>
      </c>
      <c r="C651" s="22">
        <v>10</v>
      </c>
      <c r="D651" s="4"/>
      <c r="E651" s="4">
        <v>2.4169999999999998</v>
      </c>
      <c r="F651" s="4">
        <v>3.165</v>
      </c>
      <c r="G651" s="4">
        <v>5.0750000000000002</v>
      </c>
      <c r="H651" s="4">
        <f t="shared" si="51"/>
        <v>0.16018957345971555</v>
      </c>
      <c r="I651" s="4">
        <f t="shared" si="52"/>
        <v>0</v>
      </c>
      <c r="J651" s="10">
        <f t="shared" si="50"/>
        <v>0</v>
      </c>
    </row>
    <row r="652" spans="1:10" x14ac:dyDescent="0.2">
      <c r="A652" s="20"/>
      <c r="B652" s="6" t="s">
        <v>21</v>
      </c>
      <c r="C652" s="23"/>
      <c r="D652">
        <v>784</v>
      </c>
      <c r="E652">
        <v>2.452</v>
      </c>
      <c r="F652">
        <v>3.0449999999999999</v>
      </c>
      <c r="G652">
        <v>5.0259999999999998</v>
      </c>
      <c r="H652">
        <f t="shared" si="51"/>
        <v>0.15467980295566505</v>
      </c>
      <c r="I652">
        <f t="shared" si="52"/>
        <v>662.73103448275856</v>
      </c>
      <c r="J652" s="11" t="e">
        <f t="shared" si="50"/>
        <v>#DIV/0!</v>
      </c>
    </row>
    <row r="653" spans="1:10" x14ac:dyDescent="0.2">
      <c r="A653" s="25"/>
      <c r="B653" s="8" t="s">
        <v>22</v>
      </c>
      <c r="C653" s="26"/>
      <c r="D653" s="7"/>
      <c r="E653" s="7">
        <v>2.4729999999999999</v>
      </c>
      <c r="F653" s="7">
        <v>3.3759999999999999</v>
      </c>
      <c r="G653" s="7">
        <v>5.335</v>
      </c>
      <c r="H653" s="7">
        <f t="shared" si="51"/>
        <v>0.15225118483412317</v>
      </c>
      <c r="I653" s="7">
        <f t="shared" si="52"/>
        <v>0</v>
      </c>
      <c r="J653" s="12" t="e">
        <f t="shared" si="50"/>
        <v>#DIV/0!</v>
      </c>
    </row>
    <row r="654" spans="1:10" x14ac:dyDescent="0.2">
      <c r="A654" s="19" t="s">
        <v>6</v>
      </c>
      <c r="B654" s="5" t="s">
        <v>20</v>
      </c>
      <c r="C654" s="22">
        <v>10</v>
      </c>
      <c r="D654" s="4"/>
      <c r="E654" s="4">
        <v>2.4540000000000002</v>
      </c>
      <c r="F654" s="4">
        <v>3.262</v>
      </c>
      <c r="G654" s="4">
        <v>5.2080000000000002</v>
      </c>
      <c r="H654" s="4">
        <f t="shared" si="51"/>
        <v>0.15573267933782955</v>
      </c>
      <c r="I654" s="4">
        <f t="shared" si="52"/>
        <v>0</v>
      </c>
      <c r="J654" s="10">
        <f t="shared" si="50"/>
        <v>0</v>
      </c>
    </row>
    <row r="655" spans="1:10" x14ac:dyDescent="0.2">
      <c r="A655" s="20"/>
      <c r="B655" s="6" t="s">
        <v>21</v>
      </c>
      <c r="C655" s="23"/>
      <c r="D655">
        <v>970</v>
      </c>
      <c r="E655">
        <v>2.415</v>
      </c>
      <c r="F655">
        <v>3.5569999999999999</v>
      </c>
      <c r="G655">
        <v>5.4219999999999997</v>
      </c>
      <c r="H655">
        <f t="shared" si="51"/>
        <v>0.15462468372223792</v>
      </c>
      <c r="I655">
        <f t="shared" si="52"/>
        <v>820.01405678942922</v>
      </c>
      <c r="J655" s="11" t="e">
        <f t="shared" si="50"/>
        <v>#DIV/0!</v>
      </c>
    </row>
    <row r="656" spans="1:10" x14ac:dyDescent="0.2">
      <c r="A656" s="25"/>
      <c r="B656" s="8" t="s">
        <v>22</v>
      </c>
      <c r="C656" s="26"/>
      <c r="D656" s="7"/>
      <c r="E656" s="7">
        <v>4.4130000000000003</v>
      </c>
      <c r="F656" s="7">
        <v>3.0209999999999999</v>
      </c>
      <c r="G656" s="7">
        <v>5.0819999999999999</v>
      </c>
      <c r="H656" s="7">
        <f t="shared" si="51"/>
        <v>0.77855014895729902</v>
      </c>
      <c r="I656" s="7">
        <f t="shared" si="52"/>
        <v>0</v>
      </c>
      <c r="J656" s="12" t="e">
        <f t="shared" si="50"/>
        <v>#DIV/0!</v>
      </c>
    </row>
    <row r="657" spans="1:10" x14ac:dyDescent="0.2">
      <c r="A657" s="19" t="s">
        <v>7</v>
      </c>
      <c r="B657" s="5" t="s">
        <v>20</v>
      </c>
      <c r="C657" s="22">
        <v>10</v>
      </c>
      <c r="D657" s="4"/>
      <c r="E657" s="4">
        <v>2.4870000000000001</v>
      </c>
      <c r="F657" s="4">
        <v>3.0230000000000001</v>
      </c>
      <c r="G657" s="4">
        <v>5.0339999999999998</v>
      </c>
      <c r="H657" s="4">
        <f t="shared" si="51"/>
        <v>0.15745947734039048</v>
      </c>
      <c r="I657" s="4">
        <f t="shared" si="52"/>
        <v>0</v>
      </c>
      <c r="J657" s="10">
        <f t="shared" si="50"/>
        <v>0</v>
      </c>
    </row>
    <row r="658" spans="1:10" x14ac:dyDescent="0.2">
      <c r="A658" s="20"/>
      <c r="B658" s="6" t="s">
        <v>21</v>
      </c>
      <c r="C658" s="23"/>
      <c r="D658">
        <v>824</v>
      </c>
      <c r="E658">
        <v>2.4329999999999998</v>
      </c>
      <c r="F658">
        <v>3.48</v>
      </c>
      <c r="G658">
        <v>5.3760000000000003</v>
      </c>
      <c r="H658">
        <f t="shared" si="51"/>
        <v>0.15431034482758607</v>
      </c>
      <c r="I658">
        <f t="shared" si="52"/>
        <v>696.84827586206904</v>
      </c>
      <c r="J658" s="11" t="e">
        <f t="shared" si="50"/>
        <v>#DIV/0!</v>
      </c>
    </row>
    <row r="659" spans="1:10" x14ac:dyDescent="0.2">
      <c r="A659" s="25"/>
      <c r="B659" s="8" t="s">
        <v>22</v>
      </c>
      <c r="C659" s="26"/>
      <c r="D659" s="7"/>
      <c r="E659" s="7">
        <v>2.4500000000000002</v>
      </c>
      <c r="F659" s="7">
        <v>3.306</v>
      </c>
      <c r="G659" s="7">
        <v>5.2569999999999997</v>
      </c>
      <c r="H659" s="7">
        <f t="shared" si="51"/>
        <v>0.1509376890502119</v>
      </c>
      <c r="I659" s="7">
        <f t="shared" si="52"/>
        <v>0</v>
      </c>
      <c r="J659" s="12" t="e">
        <f t="shared" si="50"/>
        <v>#DIV/0!</v>
      </c>
    </row>
    <row r="660" spans="1:10" x14ac:dyDescent="0.2">
      <c r="A660" s="19" t="s">
        <v>8</v>
      </c>
      <c r="B660" s="5" t="s">
        <v>20</v>
      </c>
      <c r="C660" s="22">
        <v>10</v>
      </c>
      <c r="D660" s="4"/>
      <c r="E660" s="4">
        <v>2.4390000000000001</v>
      </c>
      <c r="F660" s="4">
        <v>3.161</v>
      </c>
      <c r="G660" s="4">
        <v>5.0510000000000002</v>
      </c>
      <c r="H660" s="4">
        <f t="shared" si="51"/>
        <v>0.17367921543815246</v>
      </c>
      <c r="I660" s="4">
        <f t="shared" si="52"/>
        <v>0</v>
      </c>
      <c r="J660" s="10">
        <f t="shared" si="50"/>
        <v>0</v>
      </c>
    </row>
    <row r="661" spans="1:10" x14ac:dyDescent="0.2">
      <c r="A661" s="20"/>
      <c r="B661" s="6" t="s">
        <v>21</v>
      </c>
      <c r="C661" s="23"/>
      <c r="D661">
        <v>756</v>
      </c>
      <c r="E661">
        <v>2.44</v>
      </c>
      <c r="F661">
        <v>3.1269999999999998</v>
      </c>
      <c r="G661">
        <v>5.0540000000000003</v>
      </c>
      <c r="H661">
        <f t="shared" si="51"/>
        <v>0.1640550047969298</v>
      </c>
      <c r="I661">
        <f t="shared" si="52"/>
        <v>631.97441637352108</v>
      </c>
      <c r="J661" s="11" t="e">
        <f t="shared" si="50"/>
        <v>#DIV/0!</v>
      </c>
    </row>
    <row r="662" spans="1:10" x14ac:dyDescent="0.2">
      <c r="A662" s="25"/>
      <c r="B662" s="8" t="s">
        <v>22</v>
      </c>
      <c r="C662" s="26"/>
      <c r="D662" s="7"/>
      <c r="E662" s="7">
        <v>2.4159999999999999</v>
      </c>
      <c r="F662" s="7">
        <v>3.07</v>
      </c>
      <c r="G662" s="7">
        <v>4.9710000000000001</v>
      </c>
      <c r="H662" s="7">
        <f t="shared" si="51"/>
        <v>0.16775244299674258</v>
      </c>
      <c r="I662" s="7">
        <f t="shared" si="52"/>
        <v>0</v>
      </c>
      <c r="J662" s="12" t="e">
        <f t="shared" si="50"/>
        <v>#DIV/0!</v>
      </c>
    </row>
    <row r="663" spans="1:10" x14ac:dyDescent="0.2">
      <c r="A663" s="19" t="s">
        <v>9</v>
      </c>
      <c r="B663" s="5" t="s">
        <v>20</v>
      </c>
      <c r="C663" s="22">
        <v>10</v>
      </c>
      <c r="D663" s="4"/>
      <c r="E663" s="4">
        <v>2.448</v>
      </c>
      <c r="F663" s="4">
        <v>3.05</v>
      </c>
      <c r="G663" s="4">
        <v>4.9640000000000004</v>
      </c>
      <c r="H663" s="4">
        <f t="shared" si="51"/>
        <v>0.17508196721311456</v>
      </c>
      <c r="I663" s="4">
        <f t="shared" si="52"/>
        <v>0</v>
      </c>
      <c r="J663" s="10">
        <f t="shared" si="50"/>
        <v>0</v>
      </c>
    </row>
    <row r="664" spans="1:10" x14ac:dyDescent="0.2">
      <c r="A664" s="20"/>
      <c r="B664" s="6" t="s">
        <v>21</v>
      </c>
      <c r="C664" s="23"/>
      <c r="D664">
        <v>875</v>
      </c>
      <c r="E664">
        <v>2.4809999999999999</v>
      </c>
      <c r="F664">
        <v>3.1619999999999999</v>
      </c>
      <c r="G664">
        <v>5.09</v>
      </c>
      <c r="H664">
        <f t="shared" si="51"/>
        <v>0.17488931056293483</v>
      </c>
      <c r="I664">
        <f t="shared" si="52"/>
        <v>721.97185325743203</v>
      </c>
      <c r="J664" s="11" t="e">
        <f t="shared" si="50"/>
        <v>#DIV/0!</v>
      </c>
    </row>
    <row r="665" spans="1:10" x14ac:dyDescent="0.2">
      <c r="A665" s="25"/>
      <c r="B665" s="8" t="s">
        <v>22</v>
      </c>
      <c r="C665" s="26"/>
      <c r="D665" s="7"/>
      <c r="E665" s="7">
        <v>2.4049999999999998</v>
      </c>
      <c r="F665" s="7">
        <v>3.911</v>
      </c>
      <c r="G665" s="7">
        <v>5.6180000000000003</v>
      </c>
      <c r="H665" s="7">
        <f t="shared" si="51"/>
        <v>0.17847097928918423</v>
      </c>
      <c r="I665" s="7">
        <f t="shared" si="52"/>
        <v>0</v>
      </c>
      <c r="J665" s="12" t="e">
        <f t="shared" si="50"/>
        <v>#DIV/0!</v>
      </c>
    </row>
    <row r="666" spans="1:10" x14ac:dyDescent="0.2">
      <c r="A666" s="19" t="s">
        <v>10</v>
      </c>
      <c r="B666" s="5" t="s">
        <v>20</v>
      </c>
      <c r="C666" s="22">
        <v>10</v>
      </c>
      <c r="D666" s="4"/>
      <c r="E666" s="4">
        <v>2.4060000000000001</v>
      </c>
      <c r="F666" s="4">
        <v>3.4420000000000002</v>
      </c>
      <c r="G666" s="4">
        <v>5.2779999999999996</v>
      </c>
      <c r="H666" s="4">
        <f t="shared" si="51"/>
        <v>0.16560139453805947</v>
      </c>
      <c r="I666" s="4">
        <f t="shared" si="52"/>
        <v>0</v>
      </c>
      <c r="J666" s="10">
        <f t="shared" si="50"/>
        <v>0</v>
      </c>
    </row>
    <row r="667" spans="1:10" x14ac:dyDescent="0.2">
      <c r="A667" s="20"/>
      <c r="B667" s="6" t="s">
        <v>21</v>
      </c>
      <c r="C667" s="23"/>
      <c r="D667">
        <v>867</v>
      </c>
      <c r="E667">
        <v>2.403</v>
      </c>
      <c r="F667">
        <v>3.32</v>
      </c>
      <c r="G667">
        <v>5.1689999999999996</v>
      </c>
      <c r="H667">
        <f t="shared" si="51"/>
        <v>0.16686746987951817</v>
      </c>
      <c r="I667">
        <f t="shared" si="52"/>
        <v>722.32590361445773</v>
      </c>
      <c r="J667" s="11" t="e">
        <f t="shared" si="50"/>
        <v>#DIV/0!</v>
      </c>
    </row>
    <row r="668" spans="1:10" x14ac:dyDescent="0.2">
      <c r="A668" s="25"/>
      <c r="B668" s="8" t="s">
        <v>22</v>
      </c>
      <c r="C668" s="26"/>
      <c r="D668" s="7"/>
      <c r="E668" s="7">
        <v>2.4260000000000002</v>
      </c>
      <c r="F668" s="7">
        <v>3.165</v>
      </c>
      <c r="G668" s="7">
        <v>5.0990000000000002</v>
      </c>
      <c r="H668" s="7">
        <f t="shared" si="51"/>
        <v>0.15545023696682464</v>
      </c>
      <c r="I668" s="7">
        <f t="shared" si="52"/>
        <v>0</v>
      </c>
      <c r="J668" s="12" t="e">
        <f t="shared" si="50"/>
        <v>#DIV/0!</v>
      </c>
    </row>
    <row r="669" spans="1:10" x14ac:dyDescent="0.2">
      <c r="A669" s="19" t="s">
        <v>11</v>
      </c>
      <c r="B669" s="5" t="s">
        <v>20</v>
      </c>
      <c r="C669" s="22">
        <v>10</v>
      </c>
      <c r="D669" s="4"/>
      <c r="E669" s="4">
        <v>2.4369999999999998</v>
      </c>
      <c r="F669" s="4">
        <v>3.0350000000000001</v>
      </c>
      <c r="G669" s="4">
        <v>4.9470000000000001</v>
      </c>
      <c r="H669" s="4">
        <f t="shared" si="51"/>
        <v>0.17298187808896207</v>
      </c>
      <c r="I669" s="4">
        <f t="shared" si="52"/>
        <v>0</v>
      </c>
      <c r="J669" s="10">
        <f t="shared" si="50"/>
        <v>0</v>
      </c>
    </row>
    <row r="670" spans="1:10" x14ac:dyDescent="0.2">
      <c r="A670" s="20"/>
      <c r="B670" s="6" t="s">
        <v>21</v>
      </c>
      <c r="C670" s="23"/>
      <c r="D670">
        <v>919</v>
      </c>
      <c r="E670">
        <v>2.4380000000000002</v>
      </c>
      <c r="F670">
        <v>3.8109999999999999</v>
      </c>
      <c r="G670">
        <v>5.59</v>
      </c>
      <c r="H670">
        <f t="shared" si="51"/>
        <v>0.1729204933088429</v>
      </c>
      <c r="I670">
        <f t="shared" si="52"/>
        <v>760.0860666491734</v>
      </c>
      <c r="J670" s="11" t="e">
        <f t="shared" si="50"/>
        <v>#DIV/0!</v>
      </c>
    </row>
    <row r="671" spans="1:10" x14ac:dyDescent="0.2">
      <c r="A671" s="25"/>
      <c r="B671" s="8" t="s">
        <v>22</v>
      </c>
      <c r="C671" s="26"/>
      <c r="D671" s="7"/>
      <c r="E671" s="7">
        <v>2.4510000000000001</v>
      </c>
      <c r="F671" s="7">
        <v>3.0830000000000002</v>
      </c>
      <c r="G671" s="7">
        <v>5</v>
      </c>
      <c r="H671" s="7">
        <f t="shared" si="51"/>
        <v>0.17320791436912106</v>
      </c>
      <c r="I671" s="7">
        <f t="shared" si="52"/>
        <v>0</v>
      </c>
      <c r="J671" s="12" t="e">
        <f t="shared" si="50"/>
        <v>#DIV/0!</v>
      </c>
    </row>
    <row r="672" spans="1:10" x14ac:dyDescent="0.2">
      <c r="A672" s="19" t="s">
        <v>12</v>
      </c>
      <c r="B672" s="5" t="s">
        <v>20</v>
      </c>
      <c r="C672" s="22">
        <v>10</v>
      </c>
      <c r="D672" s="4"/>
      <c r="E672" s="4">
        <v>2.4409999999999998</v>
      </c>
      <c r="F672" s="4">
        <v>3.3809999999999998</v>
      </c>
      <c r="G672" s="4">
        <v>5.1390000000000002</v>
      </c>
      <c r="H672" s="4">
        <f t="shared" si="51"/>
        <v>0.20201123927831985</v>
      </c>
      <c r="I672" s="4">
        <f t="shared" si="52"/>
        <v>0</v>
      </c>
      <c r="J672" s="10">
        <f t="shared" si="50"/>
        <v>0</v>
      </c>
    </row>
    <row r="673" spans="1:10" x14ac:dyDescent="0.2">
      <c r="A673" s="20"/>
      <c r="B673" s="6" t="s">
        <v>21</v>
      </c>
      <c r="C673" s="23"/>
      <c r="D673">
        <v>752</v>
      </c>
      <c r="E673">
        <v>2.4510000000000001</v>
      </c>
      <c r="F673">
        <v>3.6890000000000001</v>
      </c>
      <c r="G673">
        <v>5.367</v>
      </c>
      <c r="H673">
        <f t="shared" si="51"/>
        <v>0.20954188126863652</v>
      </c>
      <c r="I673">
        <f t="shared" si="52"/>
        <v>594.42450528598533</v>
      </c>
      <c r="J673" s="11" t="e">
        <f t="shared" si="50"/>
        <v>#DIV/0!</v>
      </c>
    </row>
    <row r="674" spans="1:10" x14ac:dyDescent="0.2">
      <c r="A674" s="25"/>
      <c r="B674" s="8" t="s">
        <v>22</v>
      </c>
      <c r="C674" s="26"/>
      <c r="D674" s="7"/>
      <c r="E674" s="7">
        <v>2.4510000000000001</v>
      </c>
      <c r="F674" s="7">
        <v>3.0870000000000002</v>
      </c>
      <c r="G674" s="7">
        <v>4.9039999999999999</v>
      </c>
      <c r="H674" s="7">
        <f t="shared" si="51"/>
        <v>0.20537738905085853</v>
      </c>
      <c r="I674" s="7">
        <f t="shared" si="52"/>
        <v>0</v>
      </c>
      <c r="J674" s="12" t="e">
        <f t="shared" si="50"/>
        <v>#DIV/0!</v>
      </c>
    </row>
    <row r="675" spans="1:10" x14ac:dyDescent="0.2">
      <c r="A675" s="19" t="s">
        <v>13</v>
      </c>
      <c r="B675" s="5" t="s">
        <v>20</v>
      </c>
      <c r="C675" s="22">
        <v>10</v>
      </c>
      <c r="D675" s="4"/>
      <c r="E675" s="4"/>
      <c r="F675" s="4"/>
      <c r="G675" s="4"/>
      <c r="H675" s="4" t="e">
        <f t="shared" si="51"/>
        <v>#DIV/0!</v>
      </c>
      <c r="I675" s="4" t="e">
        <f t="shared" si="52"/>
        <v>#DIV/0!</v>
      </c>
      <c r="J675" s="10" t="e">
        <f t="shared" si="50"/>
        <v>#DIV/0!</v>
      </c>
    </row>
    <row r="676" spans="1:10" x14ac:dyDescent="0.2">
      <c r="A676" s="20"/>
      <c r="B676" s="6" t="s">
        <v>21</v>
      </c>
      <c r="C676" s="23"/>
      <c r="H676" t="e">
        <f t="shared" si="51"/>
        <v>#DIV/0!</v>
      </c>
      <c r="I676" t="e">
        <f t="shared" si="52"/>
        <v>#DIV/0!</v>
      </c>
      <c r="J676" s="11" t="e">
        <f t="shared" si="50"/>
        <v>#DIV/0!</v>
      </c>
    </row>
    <row r="677" spans="1:10" x14ac:dyDescent="0.2">
      <c r="A677" s="25"/>
      <c r="B677" s="8" t="s">
        <v>22</v>
      </c>
      <c r="C677" s="26"/>
      <c r="D677" s="7"/>
      <c r="E677" s="7"/>
      <c r="F677" s="7"/>
      <c r="G677" s="7"/>
      <c r="H677" s="7" t="e">
        <f t="shared" si="51"/>
        <v>#DIV/0!</v>
      </c>
      <c r="I677" s="7" t="e">
        <f t="shared" si="52"/>
        <v>#DIV/0!</v>
      </c>
      <c r="J677" s="12" t="e">
        <f t="shared" si="50"/>
        <v>#DIV/0!</v>
      </c>
    </row>
    <row r="678" spans="1:10" x14ac:dyDescent="0.2">
      <c r="A678" s="19" t="s">
        <v>14</v>
      </c>
      <c r="B678" s="5" t="s">
        <v>20</v>
      </c>
      <c r="C678" s="22">
        <v>10</v>
      </c>
      <c r="D678" s="4"/>
      <c r="E678" s="4"/>
      <c r="F678" s="4"/>
      <c r="G678" s="4"/>
      <c r="H678" s="4" t="e">
        <f t="shared" si="51"/>
        <v>#DIV/0!</v>
      </c>
      <c r="I678" s="4" t="e">
        <f t="shared" si="52"/>
        <v>#DIV/0!</v>
      </c>
      <c r="J678" s="10" t="e">
        <f t="shared" si="50"/>
        <v>#DIV/0!</v>
      </c>
    </row>
    <row r="679" spans="1:10" x14ac:dyDescent="0.2">
      <c r="A679" s="20"/>
      <c r="B679" s="6" t="s">
        <v>21</v>
      </c>
      <c r="C679" s="23"/>
      <c r="H679" t="e">
        <f t="shared" si="51"/>
        <v>#DIV/0!</v>
      </c>
      <c r="I679" t="e">
        <f t="shared" si="52"/>
        <v>#DIV/0!</v>
      </c>
      <c r="J679" s="11" t="e">
        <f t="shared" si="50"/>
        <v>#DIV/0!</v>
      </c>
    </row>
    <row r="680" spans="1:10" ht="16" thickBot="1" x14ac:dyDescent="0.25">
      <c r="A680" s="21"/>
      <c r="B680" s="15" t="s">
        <v>22</v>
      </c>
      <c r="C680" s="24"/>
      <c r="D680" s="13"/>
      <c r="E680" s="13"/>
      <c r="F680" s="13"/>
      <c r="G680" s="13"/>
      <c r="H680" s="13" t="e">
        <f t="shared" si="51"/>
        <v>#DIV/0!</v>
      </c>
      <c r="I680" s="13" t="e">
        <f t="shared" si="52"/>
        <v>#DIV/0!</v>
      </c>
      <c r="J680" s="14" t="e">
        <f t="shared" si="50"/>
        <v>#DIV/0!</v>
      </c>
    </row>
    <row r="681" spans="1:10" ht="16" thickBot="1" x14ac:dyDescent="0.25">
      <c r="A681" s="44" t="s">
        <v>1</v>
      </c>
      <c r="B681" s="33"/>
      <c r="C681" s="33"/>
      <c r="D681" s="33" t="s">
        <v>41</v>
      </c>
      <c r="E681" s="34"/>
      <c r="F681" s="9" t="s">
        <v>0</v>
      </c>
      <c r="G681" s="18">
        <v>44157</v>
      </c>
      <c r="H681" s="35" t="s">
        <v>24</v>
      </c>
      <c r="I681" s="36"/>
      <c r="J681" s="1">
        <v>110</v>
      </c>
    </row>
    <row r="682" spans="1:10" ht="16" thickBot="1" x14ac:dyDescent="0.25">
      <c r="A682" s="37" t="s">
        <v>2</v>
      </c>
      <c r="B682" s="38"/>
      <c r="C682" s="38"/>
      <c r="D682" s="38"/>
      <c r="E682" s="39"/>
      <c r="F682" s="40"/>
      <c r="G682" s="41"/>
      <c r="H682" s="42" t="s">
        <v>25</v>
      </c>
      <c r="I682" s="43"/>
      <c r="J682" s="2">
        <v>35</v>
      </c>
    </row>
    <row r="683" spans="1:10" ht="16" thickBot="1" x14ac:dyDescent="0.25">
      <c r="A683" s="45" t="s">
        <v>27</v>
      </c>
      <c r="B683" s="27"/>
      <c r="C683" s="27"/>
      <c r="D683" s="27" t="s">
        <v>32</v>
      </c>
      <c r="E683" s="28"/>
      <c r="F683" s="16" t="s">
        <v>30</v>
      </c>
      <c r="G683" s="16">
        <v>3.81</v>
      </c>
      <c r="H683" s="29" t="s">
        <v>26</v>
      </c>
      <c r="I683" s="30"/>
      <c r="J683" s="3">
        <v>48</v>
      </c>
    </row>
    <row r="684" spans="1:10" x14ac:dyDescent="0.2">
      <c r="A684" s="31"/>
      <c r="B684" s="32"/>
      <c r="C684" s="16" t="s">
        <v>29</v>
      </c>
      <c r="D684" s="16" t="s">
        <v>19</v>
      </c>
      <c r="E684" s="16" t="s">
        <v>15</v>
      </c>
      <c r="F684" s="16" t="s">
        <v>18</v>
      </c>
      <c r="G684" s="16" t="s">
        <v>17</v>
      </c>
      <c r="H684" s="16" t="s">
        <v>28</v>
      </c>
      <c r="I684" s="16" t="s">
        <v>16</v>
      </c>
      <c r="J684" s="17" t="s">
        <v>23</v>
      </c>
    </row>
    <row r="685" spans="1:10" x14ac:dyDescent="0.2">
      <c r="A685" s="19" t="s">
        <v>3</v>
      </c>
      <c r="B685" s="5" t="s">
        <v>20</v>
      </c>
      <c r="C685" s="22">
        <v>10</v>
      </c>
      <c r="D685" s="4"/>
      <c r="E685" s="4">
        <v>2.4790000000000001</v>
      </c>
      <c r="F685" s="4">
        <v>3.0150000000000001</v>
      </c>
      <c r="G685" s="4">
        <v>5.0339999999999998</v>
      </c>
      <c r="H685" s="4">
        <f>(F685-(G685-E685))/F685</f>
        <v>0.15257048092869002</v>
      </c>
      <c r="I685" s="4">
        <f>D685-H685*D685</f>
        <v>0</v>
      </c>
      <c r="J685" s="10">
        <f t="shared" ref="J685:J720" si="53">I685/($G$3^2*C685*PI())</f>
        <v>0</v>
      </c>
    </row>
    <row r="686" spans="1:10" x14ac:dyDescent="0.2">
      <c r="A686" s="20"/>
      <c r="B686" s="6" t="s">
        <v>21</v>
      </c>
      <c r="C686" s="23"/>
      <c r="D686">
        <v>789</v>
      </c>
      <c r="E686">
        <v>2.4710000000000001</v>
      </c>
      <c r="F686">
        <v>3.4449999999999998</v>
      </c>
      <c r="G686">
        <v>5.3680000000000003</v>
      </c>
      <c r="H686">
        <f t="shared" ref="H686:H720" si="54">(F686-(G686-E686))/F686</f>
        <v>0.15907111756168349</v>
      </c>
      <c r="I686">
        <f t="shared" ref="I686:I720" si="55">D686-H686*D686</f>
        <v>663.49288824383177</v>
      </c>
      <c r="J686" s="11" t="e">
        <f t="shared" si="53"/>
        <v>#DIV/0!</v>
      </c>
    </row>
    <row r="687" spans="1:10" x14ac:dyDescent="0.2">
      <c r="A687" s="25"/>
      <c r="B687" s="8" t="s">
        <v>22</v>
      </c>
      <c r="C687" s="26"/>
      <c r="D687" s="7"/>
      <c r="E687" s="7">
        <v>2.4369999999999998</v>
      </c>
      <c r="F687" s="7">
        <v>3.1360000000000001</v>
      </c>
      <c r="G687" s="7">
        <v>5.1050000000000004</v>
      </c>
      <c r="H687" s="7">
        <f t="shared" si="54"/>
        <v>0.14923469387755087</v>
      </c>
      <c r="I687" s="7">
        <f t="shared" si="55"/>
        <v>0</v>
      </c>
      <c r="J687" s="12" t="e">
        <f t="shared" si="53"/>
        <v>#DIV/0!</v>
      </c>
    </row>
    <row r="688" spans="1:10" x14ac:dyDescent="0.2">
      <c r="A688" s="19" t="s">
        <v>4</v>
      </c>
      <c r="B688" s="5" t="s">
        <v>20</v>
      </c>
      <c r="C688" s="23">
        <v>10</v>
      </c>
      <c r="E688">
        <v>2.4220000000000002</v>
      </c>
      <c r="F688">
        <v>3.4409999999999998</v>
      </c>
      <c r="G688">
        <v>5.3419999999999996</v>
      </c>
      <c r="H688" s="4">
        <f t="shared" si="54"/>
        <v>0.15140947399011925</v>
      </c>
      <c r="I688" s="4">
        <f t="shared" si="55"/>
        <v>0</v>
      </c>
      <c r="J688" s="10">
        <f t="shared" si="53"/>
        <v>0</v>
      </c>
    </row>
    <row r="689" spans="1:10" x14ac:dyDescent="0.2">
      <c r="A689" s="20"/>
      <c r="B689" s="6" t="s">
        <v>21</v>
      </c>
      <c r="C689" s="23"/>
      <c r="D689">
        <v>796</v>
      </c>
      <c r="E689">
        <v>2.4870000000000001</v>
      </c>
      <c r="F689">
        <v>3.339</v>
      </c>
      <c r="G689">
        <v>5.3019999999999996</v>
      </c>
      <c r="H689">
        <f t="shared" si="54"/>
        <v>0.15693321353698728</v>
      </c>
      <c r="I689">
        <f t="shared" si="55"/>
        <v>671.08116202455813</v>
      </c>
      <c r="J689" s="11" t="e">
        <f t="shared" si="53"/>
        <v>#DIV/0!</v>
      </c>
    </row>
    <row r="690" spans="1:10" x14ac:dyDescent="0.2">
      <c r="A690" s="25"/>
      <c r="B690" s="8" t="s">
        <v>22</v>
      </c>
      <c r="C690" s="26"/>
      <c r="D690" s="7"/>
      <c r="E690" s="7">
        <v>2.4380000000000002</v>
      </c>
      <c r="F690" s="7">
        <v>3.8929999999999998</v>
      </c>
      <c r="G690" s="7">
        <v>5.7549999999999999</v>
      </c>
      <c r="H690" s="7">
        <f t="shared" si="54"/>
        <v>0.14795787310557412</v>
      </c>
      <c r="I690" s="7">
        <f t="shared" si="55"/>
        <v>0</v>
      </c>
      <c r="J690" s="12" t="e">
        <f t="shared" si="53"/>
        <v>#DIV/0!</v>
      </c>
    </row>
    <row r="691" spans="1:10" x14ac:dyDescent="0.2">
      <c r="A691" s="19" t="s">
        <v>5</v>
      </c>
      <c r="B691" s="5" t="s">
        <v>20</v>
      </c>
      <c r="C691" s="22">
        <v>10</v>
      </c>
      <c r="D691" s="4"/>
      <c r="E691" s="4">
        <v>2.4300000000000002</v>
      </c>
      <c r="F691" s="4">
        <v>3.4430000000000001</v>
      </c>
      <c r="G691" s="4">
        <v>5.327</v>
      </c>
      <c r="H691" s="4">
        <f t="shared" si="54"/>
        <v>0.15858263142608198</v>
      </c>
      <c r="I691" s="4">
        <f t="shared" si="55"/>
        <v>0</v>
      </c>
      <c r="J691" s="10">
        <f t="shared" si="53"/>
        <v>0</v>
      </c>
    </row>
    <row r="692" spans="1:10" x14ac:dyDescent="0.2">
      <c r="A692" s="20"/>
      <c r="B692" s="6" t="s">
        <v>21</v>
      </c>
      <c r="C692" s="23"/>
      <c r="D692">
        <v>779</v>
      </c>
      <c r="E692">
        <v>2.4430000000000001</v>
      </c>
      <c r="F692">
        <v>3.4780000000000002</v>
      </c>
      <c r="G692">
        <v>5.399</v>
      </c>
      <c r="H692">
        <f t="shared" si="54"/>
        <v>0.15008625646923526</v>
      </c>
      <c r="I692">
        <f t="shared" si="55"/>
        <v>662.08280621046572</v>
      </c>
      <c r="J692" s="11" t="e">
        <f t="shared" si="53"/>
        <v>#DIV/0!</v>
      </c>
    </row>
    <row r="693" spans="1:10" x14ac:dyDescent="0.2">
      <c r="A693" s="25"/>
      <c r="B693" s="8" t="s">
        <v>22</v>
      </c>
      <c r="C693" s="26"/>
      <c r="D693" s="7"/>
      <c r="E693" s="7">
        <v>2.4180000000000001</v>
      </c>
      <c r="F693" s="7">
        <v>3.395</v>
      </c>
      <c r="G693" s="7">
        <v>5.2050000000000001</v>
      </c>
      <c r="H693" s="7">
        <f t="shared" si="54"/>
        <v>0.17908689248895437</v>
      </c>
      <c r="I693" s="7">
        <f t="shared" si="55"/>
        <v>0</v>
      </c>
      <c r="J693" s="12" t="e">
        <f t="shared" si="53"/>
        <v>#DIV/0!</v>
      </c>
    </row>
    <row r="694" spans="1:10" x14ac:dyDescent="0.2">
      <c r="A694" s="19" t="s">
        <v>6</v>
      </c>
      <c r="B694" s="5" t="s">
        <v>20</v>
      </c>
      <c r="C694" s="22">
        <v>10</v>
      </c>
      <c r="D694" s="4"/>
      <c r="E694" s="4">
        <v>2.4319999999999999</v>
      </c>
      <c r="F694" s="4">
        <v>3.484</v>
      </c>
      <c r="G694" s="4">
        <v>5.37</v>
      </c>
      <c r="H694" s="4">
        <f t="shared" si="54"/>
        <v>0.15671641791044771</v>
      </c>
      <c r="I694" s="4">
        <f t="shared" si="55"/>
        <v>0</v>
      </c>
      <c r="J694" s="10">
        <f t="shared" si="53"/>
        <v>0</v>
      </c>
    </row>
    <row r="695" spans="1:10" x14ac:dyDescent="0.2">
      <c r="A695" s="20"/>
      <c r="B695" s="6" t="s">
        <v>21</v>
      </c>
      <c r="C695" s="23"/>
      <c r="D695">
        <v>815</v>
      </c>
      <c r="E695">
        <v>2.4590000000000001</v>
      </c>
      <c r="F695">
        <v>3.3530000000000002</v>
      </c>
      <c r="G695">
        <v>5.27</v>
      </c>
      <c r="H695">
        <f t="shared" si="54"/>
        <v>0.16164628690724744</v>
      </c>
      <c r="I695">
        <f t="shared" si="55"/>
        <v>683.25827617059326</v>
      </c>
      <c r="J695" s="11" t="e">
        <f t="shared" si="53"/>
        <v>#DIV/0!</v>
      </c>
    </row>
    <row r="696" spans="1:10" x14ac:dyDescent="0.2">
      <c r="A696" s="25"/>
      <c r="B696" s="8" t="s">
        <v>22</v>
      </c>
      <c r="C696" s="26"/>
      <c r="D696" s="7"/>
      <c r="E696" s="7">
        <v>2.4350000000000001</v>
      </c>
      <c r="F696" s="7">
        <v>3.1</v>
      </c>
      <c r="G696" s="7">
        <v>5.0759999999999996</v>
      </c>
      <c r="H696" s="7">
        <f t="shared" si="54"/>
        <v>0.14806451612903243</v>
      </c>
      <c r="I696" s="7">
        <f t="shared" si="55"/>
        <v>0</v>
      </c>
      <c r="J696" s="12" t="e">
        <f t="shared" si="53"/>
        <v>#DIV/0!</v>
      </c>
    </row>
    <row r="697" spans="1:10" x14ac:dyDescent="0.2">
      <c r="A697" s="19" t="s">
        <v>7</v>
      </c>
      <c r="B697" s="5" t="s">
        <v>20</v>
      </c>
      <c r="C697" s="22">
        <v>10</v>
      </c>
      <c r="D697" s="4"/>
      <c r="E697" s="4">
        <v>2.44</v>
      </c>
      <c r="F697" s="4">
        <v>3.1880000000000002</v>
      </c>
      <c r="G697" s="4">
        <v>5.1269999999999998</v>
      </c>
      <c r="H697" s="4">
        <f t="shared" si="54"/>
        <v>0.15715181932245931</v>
      </c>
      <c r="I697" s="4">
        <f t="shared" si="55"/>
        <v>0</v>
      </c>
      <c r="J697" s="10">
        <f t="shared" si="53"/>
        <v>0</v>
      </c>
    </row>
    <row r="698" spans="1:10" x14ac:dyDescent="0.2">
      <c r="A698" s="20"/>
      <c r="B698" s="6" t="s">
        <v>21</v>
      </c>
      <c r="C698" s="23"/>
      <c r="D698">
        <v>750</v>
      </c>
      <c r="E698">
        <v>2.4140000000000001</v>
      </c>
      <c r="F698">
        <v>3.3980000000000001</v>
      </c>
      <c r="G698">
        <v>5.2649999999999997</v>
      </c>
      <c r="H698">
        <f t="shared" si="54"/>
        <v>0.16097704532077708</v>
      </c>
      <c r="I698">
        <f t="shared" si="55"/>
        <v>629.26721600941721</v>
      </c>
      <c r="J698" s="11" t="e">
        <f t="shared" si="53"/>
        <v>#DIV/0!</v>
      </c>
    </row>
    <row r="699" spans="1:10" x14ac:dyDescent="0.2">
      <c r="A699" s="25"/>
      <c r="B699" s="8" t="s">
        <v>22</v>
      </c>
      <c r="C699" s="26"/>
      <c r="D699" s="7"/>
      <c r="E699" s="7">
        <v>2.4380000000000002</v>
      </c>
      <c r="F699" s="7">
        <v>3.097</v>
      </c>
      <c r="G699" s="7">
        <v>5.0359999999999996</v>
      </c>
      <c r="H699" s="7">
        <f t="shared" si="54"/>
        <v>0.16112366806587039</v>
      </c>
      <c r="I699" s="7">
        <f t="shared" si="55"/>
        <v>0</v>
      </c>
      <c r="J699" s="12" t="e">
        <f t="shared" si="53"/>
        <v>#DIV/0!</v>
      </c>
    </row>
    <row r="700" spans="1:10" x14ac:dyDescent="0.2">
      <c r="A700" s="19" t="s">
        <v>8</v>
      </c>
      <c r="B700" s="5" t="s">
        <v>20</v>
      </c>
      <c r="C700" s="22">
        <v>10</v>
      </c>
      <c r="D700" s="4"/>
      <c r="E700" s="4">
        <v>2.4359999999999999</v>
      </c>
      <c r="F700" s="4">
        <v>3.2810000000000001</v>
      </c>
      <c r="G700" s="4">
        <v>5.1790000000000003</v>
      </c>
      <c r="H700" s="4">
        <f t="shared" si="54"/>
        <v>0.16397439804937514</v>
      </c>
      <c r="I700" s="4">
        <f t="shared" si="55"/>
        <v>0</v>
      </c>
      <c r="J700" s="10">
        <f t="shared" si="53"/>
        <v>0</v>
      </c>
    </row>
    <row r="701" spans="1:10" x14ac:dyDescent="0.2">
      <c r="A701" s="20"/>
      <c r="B701" s="6" t="s">
        <v>21</v>
      </c>
      <c r="C701" s="23"/>
      <c r="D701">
        <v>819</v>
      </c>
      <c r="E701">
        <v>2.456</v>
      </c>
      <c r="F701">
        <v>3.4489999999999998</v>
      </c>
      <c r="G701">
        <v>5.3319999999999999</v>
      </c>
      <c r="H701">
        <f t="shared" si="54"/>
        <v>0.16613511162655842</v>
      </c>
      <c r="I701">
        <f t="shared" si="55"/>
        <v>682.9353435778487</v>
      </c>
      <c r="J701" s="11" t="e">
        <f t="shared" si="53"/>
        <v>#DIV/0!</v>
      </c>
    </row>
    <row r="702" spans="1:10" x14ac:dyDescent="0.2">
      <c r="A702" s="25"/>
      <c r="B702" s="8" t="s">
        <v>22</v>
      </c>
      <c r="C702" s="26"/>
      <c r="D702" s="7"/>
      <c r="E702" s="7">
        <v>2.4460000000000002</v>
      </c>
      <c r="F702" s="7">
        <v>3.5529999999999999</v>
      </c>
      <c r="G702" s="7">
        <v>5.4240000000000004</v>
      </c>
      <c r="H702" s="7">
        <f t="shared" si="54"/>
        <v>0.16183506895581193</v>
      </c>
      <c r="I702" s="7">
        <f t="shared" si="55"/>
        <v>0</v>
      </c>
      <c r="J702" s="12" t="e">
        <f t="shared" si="53"/>
        <v>#DIV/0!</v>
      </c>
    </row>
    <row r="703" spans="1:10" x14ac:dyDescent="0.2">
      <c r="A703" s="19" t="s">
        <v>9</v>
      </c>
      <c r="B703" s="5" t="s">
        <v>20</v>
      </c>
      <c r="C703" s="22">
        <v>10</v>
      </c>
      <c r="D703" s="4"/>
      <c r="E703" s="4">
        <v>2.4430000000000001</v>
      </c>
      <c r="F703" s="4">
        <v>3.484</v>
      </c>
      <c r="G703" s="4">
        <v>5.4130000000000003</v>
      </c>
      <c r="H703" s="4">
        <f t="shared" si="54"/>
        <v>0.14753157290470717</v>
      </c>
      <c r="I703" s="4">
        <f t="shared" si="55"/>
        <v>0</v>
      </c>
      <c r="J703" s="10">
        <f t="shared" si="53"/>
        <v>0</v>
      </c>
    </row>
    <row r="704" spans="1:10" x14ac:dyDescent="0.2">
      <c r="A704" s="20"/>
      <c r="B704" s="6" t="s">
        <v>21</v>
      </c>
      <c r="C704" s="23"/>
      <c r="D704">
        <v>884</v>
      </c>
      <c r="E704">
        <v>2.4340000000000002</v>
      </c>
      <c r="F704">
        <v>3.778</v>
      </c>
      <c r="G704">
        <v>5.6639999999999997</v>
      </c>
      <c r="H704">
        <f t="shared" si="54"/>
        <v>0.1450502911593437</v>
      </c>
      <c r="I704">
        <f t="shared" si="55"/>
        <v>755.77554261514013</v>
      </c>
      <c r="J704" s="11" t="e">
        <f t="shared" si="53"/>
        <v>#DIV/0!</v>
      </c>
    </row>
    <row r="705" spans="1:10" x14ac:dyDescent="0.2">
      <c r="A705" s="25"/>
      <c r="B705" s="8" t="s">
        <v>22</v>
      </c>
      <c r="C705" s="26"/>
      <c r="D705" s="7"/>
      <c r="E705" s="7">
        <v>2.456</v>
      </c>
      <c r="F705" s="7">
        <v>3.6840000000000002</v>
      </c>
      <c r="G705" s="7">
        <v>5.59</v>
      </c>
      <c r="H705" s="7">
        <f t="shared" si="54"/>
        <v>0.14929424538545066</v>
      </c>
      <c r="I705" s="7">
        <f t="shared" si="55"/>
        <v>0</v>
      </c>
      <c r="J705" s="12" t="e">
        <f t="shared" si="53"/>
        <v>#DIV/0!</v>
      </c>
    </row>
    <row r="706" spans="1:10" x14ac:dyDescent="0.2">
      <c r="A706" s="19" t="s">
        <v>10</v>
      </c>
      <c r="B706" s="5" t="s">
        <v>20</v>
      </c>
      <c r="C706" s="22">
        <v>10</v>
      </c>
      <c r="D706" s="4"/>
      <c r="E706" s="4">
        <v>2.44</v>
      </c>
      <c r="F706" s="4">
        <v>3.5779999999999998</v>
      </c>
      <c r="G706" s="4">
        <v>5.593</v>
      </c>
      <c r="H706" s="4">
        <f t="shared" si="54"/>
        <v>0.11878144214645049</v>
      </c>
      <c r="I706" s="4">
        <f t="shared" si="55"/>
        <v>0</v>
      </c>
      <c r="J706" s="10">
        <f t="shared" si="53"/>
        <v>0</v>
      </c>
    </row>
    <row r="707" spans="1:10" x14ac:dyDescent="0.2">
      <c r="A707" s="20"/>
      <c r="B707" s="6" t="s">
        <v>21</v>
      </c>
      <c r="C707" s="23"/>
      <c r="D707">
        <v>701</v>
      </c>
      <c r="E707">
        <v>2.4329999999999998</v>
      </c>
      <c r="F707">
        <v>3.7570000000000001</v>
      </c>
      <c r="G707">
        <v>5.7370000000000001</v>
      </c>
      <c r="H707">
        <f t="shared" si="54"/>
        <v>0.12057492680330047</v>
      </c>
      <c r="I707">
        <f t="shared" si="55"/>
        <v>616.47697631088636</v>
      </c>
      <c r="J707" s="11" t="e">
        <f t="shared" si="53"/>
        <v>#DIV/0!</v>
      </c>
    </row>
    <row r="708" spans="1:10" x14ac:dyDescent="0.2">
      <c r="A708" s="25"/>
      <c r="B708" s="8" t="s">
        <v>22</v>
      </c>
      <c r="C708" s="26"/>
      <c r="D708" s="7"/>
      <c r="E708" s="7">
        <v>2.4180000000000001</v>
      </c>
      <c r="F708" s="7">
        <v>3.0419999999999998</v>
      </c>
      <c r="G708" s="7">
        <v>5.077</v>
      </c>
      <c r="H708" s="7">
        <f t="shared" si="54"/>
        <v>0.12590401051939515</v>
      </c>
      <c r="I708" s="7">
        <f t="shared" si="55"/>
        <v>0</v>
      </c>
      <c r="J708" s="12" t="e">
        <f t="shared" si="53"/>
        <v>#DIV/0!</v>
      </c>
    </row>
    <row r="709" spans="1:10" x14ac:dyDescent="0.2">
      <c r="A709" s="19" t="s">
        <v>11</v>
      </c>
      <c r="B709" s="5" t="s">
        <v>20</v>
      </c>
      <c r="C709" s="22">
        <v>10</v>
      </c>
      <c r="D709" s="4"/>
      <c r="E709" s="4">
        <v>2.472</v>
      </c>
      <c r="F709" s="4">
        <v>3.6309999999999998</v>
      </c>
      <c r="G709" s="4">
        <v>5.6790000000000003</v>
      </c>
      <c r="H709" s="4">
        <f t="shared" si="54"/>
        <v>0.11677223905260245</v>
      </c>
      <c r="I709" s="4">
        <f t="shared" si="55"/>
        <v>0</v>
      </c>
      <c r="J709" s="10">
        <f t="shared" si="53"/>
        <v>0</v>
      </c>
    </row>
    <row r="710" spans="1:10" x14ac:dyDescent="0.2">
      <c r="A710" s="20"/>
      <c r="B710" s="6" t="s">
        <v>21</v>
      </c>
      <c r="C710" s="23"/>
      <c r="D710">
        <v>778</v>
      </c>
      <c r="E710">
        <v>2.4529999999999998</v>
      </c>
      <c r="F710">
        <v>3.2090000000000001</v>
      </c>
      <c r="G710">
        <v>5.2830000000000004</v>
      </c>
      <c r="H710">
        <f t="shared" si="54"/>
        <v>0.11810532876285433</v>
      </c>
      <c r="I710">
        <f t="shared" si="55"/>
        <v>686.11405422249936</v>
      </c>
      <c r="J710" s="11" t="e">
        <f t="shared" si="53"/>
        <v>#DIV/0!</v>
      </c>
    </row>
    <row r="711" spans="1:10" x14ac:dyDescent="0.2">
      <c r="A711" s="25"/>
      <c r="B711" s="8" t="s">
        <v>22</v>
      </c>
      <c r="C711" s="26"/>
      <c r="D711" s="7"/>
      <c r="E711" s="7">
        <v>2.4529999999999998</v>
      </c>
      <c r="F711" s="7">
        <v>3.1960000000000002</v>
      </c>
      <c r="G711" s="7">
        <v>5.2779999999999996</v>
      </c>
      <c r="H711" s="7">
        <f t="shared" si="54"/>
        <v>0.11608260325406772</v>
      </c>
      <c r="I711" s="7">
        <f t="shared" si="55"/>
        <v>0</v>
      </c>
      <c r="J711" s="12" t="e">
        <f t="shared" si="53"/>
        <v>#DIV/0!</v>
      </c>
    </row>
    <row r="712" spans="1:10" x14ac:dyDescent="0.2">
      <c r="A712" s="19" t="s">
        <v>12</v>
      </c>
      <c r="B712" s="5" t="s">
        <v>20</v>
      </c>
      <c r="C712" s="22">
        <v>10</v>
      </c>
      <c r="D712" s="4"/>
      <c r="E712" s="4">
        <v>2.4289999999999998</v>
      </c>
      <c r="F712" s="4">
        <v>3.6779999999999999</v>
      </c>
      <c r="G712" s="4">
        <v>5.7320000000000002</v>
      </c>
      <c r="H712" s="4">
        <f t="shared" si="54"/>
        <v>0.10195758564437182</v>
      </c>
      <c r="I712" s="4">
        <f t="shared" si="55"/>
        <v>0</v>
      </c>
      <c r="J712" s="10">
        <f t="shared" si="53"/>
        <v>0</v>
      </c>
    </row>
    <row r="713" spans="1:10" x14ac:dyDescent="0.2">
      <c r="A713" s="20"/>
      <c r="B713" s="6" t="s">
        <v>21</v>
      </c>
      <c r="C713" s="23"/>
      <c r="D713">
        <v>797</v>
      </c>
      <c r="E713">
        <v>2.4409999999999998</v>
      </c>
      <c r="F713">
        <v>3.089</v>
      </c>
      <c r="G713">
        <v>5.2080000000000002</v>
      </c>
      <c r="H713">
        <f t="shared" si="54"/>
        <v>0.10424085464551623</v>
      </c>
      <c r="I713">
        <f t="shared" si="55"/>
        <v>713.92003884752353</v>
      </c>
      <c r="J713" s="11" t="e">
        <f t="shared" si="53"/>
        <v>#DIV/0!</v>
      </c>
    </row>
    <row r="714" spans="1:10" x14ac:dyDescent="0.2">
      <c r="A714" s="25"/>
      <c r="B714" s="8" t="s">
        <v>22</v>
      </c>
      <c r="C714" s="26"/>
      <c r="D714" s="7"/>
      <c r="E714" s="7">
        <v>2.4329999999999998</v>
      </c>
      <c r="F714" s="7">
        <v>3.7130000000000001</v>
      </c>
      <c r="G714" s="7">
        <v>5.7649999999999997</v>
      </c>
      <c r="H714" s="7">
        <f t="shared" si="54"/>
        <v>0.10261244276865075</v>
      </c>
      <c r="I714" s="7">
        <f t="shared" si="55"/>
        <v>0</v>
      </c>
      <c r="J714" s="12" t="e">
        <f t="shared" si="53"/>
        <v>#DIV/0!</v>
      </c>
    </row>
    <row r="715" spans="1:10" x14ac:dyDescent="0.2">
      <c r="A715" s="19" t="s">
        <v>13</v>
      </c>
      <c r="B715" s="5" t="s">
        <v>20</v>
      </c>
      <c r="C715" s="22">
        <v>10</v>
      </c>
      <c r="D715" s="4"/>
      <c r="E715" s="4">
        <v>2.4039999999999999</v>
      </c>
      <c r="F715" s="4">
        <v>3.464</v>
      </c>
      <c r="G715" s="4">
        <v>5.4290000000000003</v>
      </c>
      <c r="H715" s="4">
        <f t="shared" si="54"/>
        <v>0.12673210161662807</v>
      </c>
      <c r="I715" s="4">
        <f t="shared" si="55"/>
        <v>0</v>
      </c>
      <c r="J715" s="10">
        <f t="shared" si="53"/>
        <v>0</v>
      </c>
    </row>
    <row r="716" spans="1:10" x14ac:dyDescent="0.2">
      <c r="A716" s="20"/>
      <c r="B716" s="6" t="s">
        <v>21</v>
      </c>
      <c r="C716" s="23"/>
      <c r="D716">
        <v>875</v>
      </c>
      <c r="E716">
        <v>2.4359999999999999</v>
      </c>
      <c r="F716">
        <v>3.1970000000000001</v>
      </c>
      <c r="G716">
        <v>5.2119999999999997</v>
      </c>
      <c r="H716">
        <f t="shared" si="54"/>
        <v>0.13168595558335947</v>
      </c>
      <c r="I716">
        <f t="shared" si="55"/>
        <v>759.77478886456049</v>
      </c>
      <c r="J716" s="11" t="e">
        <f t="shared" si="53"/>
        <v>#DIV/0!</v>
      </c>
    </row>
    <row r="717" spans="1:10" x14ac:dyDescent="0.2">
      <c r="A717" s="25"/>
      <c r="B717" s="8" t="s">
        <v>22</v>
      </c>
      <c r="C717" s="26"/>
      <c r="D717" s="7"/>
      <c r="E717" s="7">
        <v>2.4060000000000001</v>
      </c>
      <c r="F717" s="7">
        <v>3.254</v>
      </c>
      <c r="G717" s="7">
        <v>5.2439999999999998</v>
      </c>
      <c r="H717" s="7">
        <f t="shared" si="54"/>
        <v>0.12784265519360799</v>
      </c>
      <c r="I717" s="7">
        <f t="shared" si="55"/>
        <v>0</v>
      </c>
      <c r="J717" s="12" t="e">
        <f t="shared" si="53"/>
        <v>#DIV/0!</v>
      </c>
    </row>
    <row r="718" spans="1:10" x14ac:dyDescent="0.2">
      <c r="A718" s="19" t="s">
        <v>14</v>
      </c>
      <c r="B718" s="5" t="s">
        <v>20</v>
      </c>
      <c r="C718" s="22">
        <v>10</v>
      </c>
      <c r="D718" s="4"/>
      <c r="E718" s="4"/>
      <c r="F718" s="4"/>
      <c r="G718" s="4"/>
      <c r="H718" s="4" t="e">
        <f t="shared" si="54"/>
        <v>#DIV/0!</v>
      </c>
      <c r="I718" s="4" t="e">
        <f t="shared" si="55"/>
        <v>#DIV/0!</v>
      </c>
      <c r="J718" s="10" t="e">
        <f t="shared" si="53"/>
        <v>#DIV/0!</v>
      </c>
    </row>
    <row r="719" spans="1:10" x14ac:dyDescent="0.2">
      <c r="A719" s="20"/>
      <c r="B719" s="6" t="s">
        <v>21</v>
      </c>
      <c r="C719" s="23"/>
      <c r="H719" t="e">
        <f t="shared" si="54"/>
        <v>#DIV/0!</v>
      </c>
      <c r="I719" t="e">
        <f t="shared" si="55"/>
        <v>#DIV/0!</v>
      </c>
      <c r="J719" s="11" t="e">
        <f t="shared" si="53"/>
        <v>#DIV/0!</v>
      </c>
    </row>
    <row r="720" spans="1:10" ht="16" thickBot="1" x14ac:dyDescent="0.25">
      <c r="A720" s="21"/>
      <c r="B720" s="15" t="s">
        <v>22</v>
      </c>
      <c r="C720" s="24"/>
      <c r="D720" s="13"/>
      <c r="E720" s="13"/>
      <c r="F720" s="13"/>
      <c r="G720" s="13"/>
      <c r="H720" s="13" t="e">
        <f t="shared" si="54"/>
        <v>#DIV/0!</v>
      </c>
      <c r="I720" s="13" t="e">
        <f t="shared" si="55"/>
        <v>#DIV/0!</v>
      </c>
      <c r="J720" s="14" t="e">
        <f t="shared" si="53"/>
        <v>#DIV/0!</v>
      </c>
    </row>
    <row r="721" spans="1:10" ht="16" thickBot="1" x14ac:dyDescent="0.25">
      <c r="A721" s="44" t="s">
        <v>1</v>
      </c>
      <c r="B721" s="33"/>
      <c r="C721" s="33"/>
      <c r="D721" s="33" t="s">
        <v>42</v>
      </c>
      <c r="E721" s="34"/>
      <c r="F721" s="9" t="s">
        <v>0</v>
      </c>
      <c r="G721" s="18">
        <v>44189</v>
      </c>
      <c r="H721" s="35" t="s">
        <v>24</v>
      </c>
      <c r="I721" s="36"/>
      <c r="J721" s="1">
        <v>75</v>
      </c>
    </row>
    <row r="722" spans="1:10" ht="16" thickBot="1" x14ac:dyDescent="0.25">
      <c r="A722" s="37" t="s">
        <v>2</v>
      </c>
      <c r="B722" s="38"/>
      <c r="C722" s="38"/>
      <c r="D722" s="38"/>
      <c r="E722" s="39"/>
      <c r="F722" s="40"/>
      <c r="G722" s="41"/>
      <c r="H722" s="42" t="s">
        <v>25</v>
      </c>
      <c r="I722" s="43"/>
      <c r="J722" s="2">
        <v>30</v>
      </c>
    </row>
    <row r="723" spans="1:10" ht="16" thickBot="1" x14ac:dyDescent="0.25">
      <c r="A723" s="45" t="s">
        <v>27</v>
      </c>
      <c r="B723" s="27"/>
      <c r="C723" s="27"/>
      <c r="D723" s="27" t="s">
        <v>32</v>
      </c>
      <c r="E723" s="28"/>
      <c r="F723" s="16" t="s">
        <v>30</v>
      </c>
      <c r="G723" s="16">
        <v>3.81</v>
      </c>
      <c r="H723" s="29" t="s">
        <v>26</v>
      </c>
      <c r="I723" s="30"/>
      <c r="J723" s="3">
        <v>43</v>
      </c>
    </row>
    <row r="724" spans="1:10" x14ac:dyDescent="0.2">
      <c r="A724" s="31"/>
      <c r="B724" s="32"/>
      <c r="C724" s="16" t="s">
        <v>29</v>
      </c>
      <c r="D724" s="16" t="s">
        <v>19</v>
      </c>
      <c r="E724" s="16" t="s">
        <v>15</v>
      </c>
      <c r="F724" s="16" t="s">
        <v>18</v>
      </c>
      <c r="G724" s="16" t="s">
        <v>17</v>
      </c>
      <c r="H724" s="16" t="s">
        <v>28</v>
      </c>
      <c r="I724" s="16" t="s">
        <v>16</v>
      </c>
      <c r="J724" s="17" t="s">
        <v>23</v>
      </c>
    </row>
    <row r="725" spans="1:10" x14ac:dyDescent="0.2">
      <c r="A725" s="19" t="s">
        <v>3</v>
      </c>
      <c r="B725" s="5" t="s">
        <v>20</v>
      </c>
      <c r="C725" s="22">
        <v>10</v>
      </c>
      <c r="D725" s="4"/>
      <c r="E725" s="4">
        <v>1.7250000000000001</v>
      </c>
      <c r="F725" s="4">
        <v>3.677</v>
      </c>
      <c r="G725" s="4">
        <v>4.5309999999999997</v>
      </c>
      <c r="H725" s="4">
        <f>(F725-(G725-E725))/F725</f>
        <v>0.23687788958390005</v>
      </c>
      <c r="I725" s="4">
        <f>D725-H725*D725</f>
        <v>0</v>
      </c>
      <c r="J725" s="10">
        <f t="shared" ref="J725:J760" si="56">I725/($G$3^2*C725*PI())</f>
        <v>0</v>
      </c>
    </row>
    <row r="726" spans="1:10" x14ac:dyDescent="0.2">
      <c r="A726" s="20"/>
      <c r="B726" s="6" t="s">
        <v>21</v>
      </c>
      <c r="C726" s="23"/>
      <c r="D726">
        <v>695</v>
      </c>
      <c r="E726">
        <v>1.7190000000000001</v>
      </c>
      <c r="F726">
        <v>3.3679999999999999</v>
      </c>
      <c r="G726">
        <v>4.774</v>
      </c>
      <c r="H726">
        <f t="shared" ref="H726:H760" si="57">(F726-(G726-E726))/F726</f>
        <v>9.2933491686460867E-2</v>
      </c>
      <c r="I726">
        <f t="shared" ref="I726:I760" si="58">D726-H726*D726</f>
        <v>630.4112232779097</v>
      </c>
      <c r="J726" s="11" t="e">
        <f t="shared" si="56"/>
        <v>#DIV/0!</v>
      </c>
    </row>
    <row r="727" spans="1:10" x14ac:dyDescent="0.2">
      <c r="A727" s="25"/>
      <c r="B727" s="8" t="s">
        <v>22</v>
      </c>
      <c r="C727" s="26"/>
      <c r="D727" s="7"/>
      <c r="E727" s="7">
        <v>1.742</v>
      </c>
      <c r="F727" s="7">
        <v>3.593</v>
      </c>
      <c r="G727" s="7">
        <v>4.7169999999999996</v>
      </c>
      <c r="H727" s="7">
        <f t="shared" si="57"/>
        <v>0.17200111327581419</v>
      </c>
      <c r="I727" s="7">
        <f t="shared" si="58"/>
        <v>0</v>
      </c>
      <c r="J727" s="12" t="e">
        <f t="shared" si="56"/>
        <v>#DIV/0!</v>
      </c>
    </row>
    <row r="728" spans="1:10" x14ac:dyDescent="0.2">
      <c r="A728" s="19" t="s">
        <v>4</v>
      </c>
      <c r="B728" s="5" t="s">
        <v>20</v>
      </c>
      <c r="C728" s="23">
        <v>10</v>
      </c>
      <c r="E728">
        <v>1.7230000000000001</v>
      </c>
      <c r="F728">
        <v>3.8420000000000001</v>
      </c>
      <c r="G728">
        <v>4.9720000000000004</v>
      </c>
      <c r="H728" s="4">
        <f t="shared" si="57"/>
        <v>0.15434669442998425</v>
      </c>
      <c r="I728" s="4">
        <f t="shared" si="58"/>
        <v>0</v>
      </c>
      <c r="J728" s="10">
        <f t="shared" si="56"/>
        <v>0</v>
      </c>
    </row>
    <row r="729" spans="1:10" x14ac:dyDescent="0.2">
      <c r="A729" s="20"/>
      <c r="B729" s="6" t="s">
        <v>21</v>
      </c>
      <c r="C729" s="23"/>
      <c r="D729">
        <v>753</v>
      </c>
      <c r="E729">
        <v>1.7250000000000001</v>
      </c>
      <c r="F729">
        <v>3.375</v>
      </c>
      <c r="G729">
        <v>4.5620000000000003</v>
      </c>
      <c r="H729">
        <f t="shared" si="57"/>
        <v>0.15940740740740736</v>
      </c>
      <c r="I729">
        <f t="shared" si="58"/>
        <v>632.96622222222231</v>
      </c>
      <c r="J729" s="11" t="e">
        <f t="shared" si="56"/>
        <v>#DIV/0!</v>
      </c>
    </row>
    <row r="730" spans="1:10" x14ac:dyDescent="0.2">
      <c r="A730" s="25"/>
      <c r="B730" s="8" t="s">
        <v>22</v>
      </c>
      <c r="C730" s="26"/>
      <c r="D730" s="7"/>
      <c r="E730" s="7">
        <v>1.73</v>
      </c>
      <c r="F730" s="7">
        <v>3.6269999999999998</v>
      </c>
      <c r="G730" s="7">
        <v>4.7939999999999996</v>
      </c>
      <c r="H730" s="7">
        <f t="shared" si="57"/>
        <v>0.15522470361180044</v>
      </c>
      <c r="I730" s="7">
        <f t="shared" si="58"/>
        <v>0</v>
      </c>
      <c r="J730" s="12" t="e">
        <f t="shared" si="56"/>
        <v>#DIV/0!</v>
      </c>
    </row>
    <row r="731" spans="1:10" x14ac:dyDescent="0.2">
      <c r="A731" s="19" t="s">
        <v>5</v>
      </c>
      <c r="B731" s="5" t="s">
        <v>20</v>
      </c>
      <c r="C731" s="22">
        <v>10</v>
      </c>
      <c r="D731" s="4"/>
      <c r="E731" s="4">
        <v>1.724</v>
      </c>
      <c r="F731" s="4">
        <v>3.5</v>
      </c>
      <c r="G731" s="4">
        <v>4.7030000000000003</v>
      </c>
      <c r="H731" s="4">
        <f t="shared" si="57"/>
        <v>0.14885714285714283</v>
      </c>
      <c r="I731" s="4">
        <f t="shared" si="58"/>
        <v>0</v>
      </c>
      <c r="J731" s="10">
        <f t="shared" si="56"/>
        <v>0</v>
      </c>
    </row>
    <row r="732" spans="1:10" x14ac:dyDescent="0.2">
      <c r="A732" s="20"/>
      <c r="B732" s="6" t="s">
        <v>21</v>
      </c>
      <c r="C732" s="23"/>
      <c r="D732">
        <v>708</v>
      </c>
      <c r="E732">
        <v>1.712</v>
      </c>
      <c r="F732">
        <v>3.0830000000000002</v>
      </c>
      <c r="G732">
        <v>4.4379999999999997</v>
      </c>
      <c r="H732">
        <f t="shared" si="57"/>
        <v>0.11579630230295174</v>
      </c>
      <c r="I732">
        <f t="shared" si="58"/>
        <v>626.01621796951019</v>
      </c>
      <c r="J732" s="11" t="e">
        <f t="shared" si="56"/>
        <v>#DIV/0!</v>
      </c>
    </row>
    <row r="733" spans="1:10" x14ac:dyDescent="0.2">
      <c r="A733" s="25"/>
      <c r="B733" s="8" t="s">
        <v>22</v>
      </c>
      <c r="C733" s="26"/>
      <c r="D733" s="7"/>
      <c r="E733" s="7">
        <v>1.7490000000000001</v>
      </c>
      <c r="F733" s="7">
        <v>3.0030000000000001</v>
      </c>
      <c r="G733" s="7">
        <v>4.3559999999999999</v>
      </c>
      <c r="H733" s="7">
        <f t="shared" si="57"/>
        <v>0.13186813186813198</v>
      </c>
      <c r="I733" s="7">
        <f t="shared" si="58"/>
        <v>0</v>
      </c>
      <c r="J733" s="12" t="e">
        <f t="shared" si="56"/>
        <v>#DIV/0!</v>
      </c>
    </row>
    <row r="734" spans="1:10" x14ac:dyDescent="0.2">
      <c r="A734" s="19" t="s">
        <v>6</v>
      </c>
      <c r="B734" s="5" t="s">
        <v>20</v>
      </c>
      <c r="C734" s="22">
        <v>10</v>
      </c>
      <c r="D734" s="4"/>
      <c r="E734" s="4">
        <v>1.7250000000000001</v>
      </c>
      <c r="F734" s="4">
        <v>3.4460000000000002</v>
      </c>
      <c r="G734" s="4">
        <v>4.6100000000000003</v>
      </c>
      <c r="H734" s="4">
        <f t="shared" si="57"/>
        <v>0.16279744631456758</v>
      </c>
      <c r="I734" s="4">
        <f t="shared" si="58"/>
        <v>0</v>
      </c>
      <c r="J734" s="10">
        <f t="shared" si="56"/>
        <v>0</v>
      </c>
    </row>
    <row r="735" spans="1:10" x14ac:dyDescent="0.2">
      <c r="A735" s="20"/>
      <c r="B735" s="6" t="s">
        <v>21</v>
      </c>
      <c r="C735" s="23"/>
      <c r="D735">
        <v>788</v>
      </c>
      <c r="E735">
        <v>1.714</v>
      </c>
      <c r="F735">
        <v>3.4609999999999999</v>
      </c>
      <c r="G735">
        <v>4.6020000000000003</v>
      </c>
      <c r="H735">
        <f t="shared" si="57"/>
        <v>0.16555908696908395</v>
      </c>
      <c r="I735">
        <f t="shared" si="58"/>
        <v>657.53943946836182</v>
      </c>
      <c r="J735" s="11" t="e">
        <f t="shared" si="56"/>
        <v>#DIV/0!</v>
      </c>
    </row>
    <row r="736" spans="1:10" x14ac:dyDescent="0.2">
      <c r="A736" s="25"/>
      <c r="B736" s="8" t="s">
        <v>22</v>
      </c>
      <c r="C736" s="26"/>
      <c r="D736" s="7"/>
      <c r="E736" s="7">
        <v>1.708</v>
      </c>
      <c r="F736" s="7">
        <v>3.5219999999999998</v>
      </c>
      <c r="G736" s="7">
        <v>4.6740000000000004</v>
      </c>
      <c r="H736" s="7">
        <f t="shared" si="57"/>
        <v>0.15786484951731961</v>
      </c>
      <c r="I736" s="7">
        <f t="shared" si="58"/>
        <v>0</v>
      </c>
      <c r="J736" s="12" t="e">
        <f t="shared" si="56"/>
        <v>#DIV/0!</v>
      </c>
    </row>
    <row r="737" spans="1:10" x14ac:dyDescent="0.2">
      <c r="A737" s="19" t="s">
        <v>7</v>
      </c>
      <c r="B737" s="5" t="s">
        <v>20</v>
      </c>
      <c r="C737" s="22">
        <v>10</v>
      </c>
      <c r="D737" s="4"/>
      <c r="E737" s="4">
        <v>1.71</v>
      </c>
      <c r="F737" s="4">
        <v>3.4449999999999998</v>
      </c>
      <c r="G737" s="4">
        <v>4.6710000000000003</v>
      </c>
      <c r="H737" s="4">
        <f t="shared" si="57"/>
        <v>0.14049346879535546</v>
      </c>
      <c r="I737" s="4">
        <f t="shared" si="58"/>
        <v>0</v>
      </c>
      <c r="J737" s="10">
        <f t="shared" si="56"/>
        <v>0</v>
      </c>
    </row>
    <row r="738" spans="1:10" x14ac:dyDescent="0.2">
      <c r="A738" s="20"/>
      <c r="B738" s="6" t="s">
        <v>21</v>
      </c>
      <c r="C738" s="23"/>
      <c r="D738">
        <v>952</v>
      </c>
      <c r="E738">
        <v>1.736</v>
      </c>
      <c r="F738">
        <v>3.4260000000000002</v>
      </c>
      <c r="G738">
        <v>4.6870000000000003</v>
      </c>
      <c r="H738">
        <f t="shared" si="57"/>
        <v>0.13864565090484518</v>
      </c>
      <c r="I738">
        <f t="shared" si="58"/>
        <v>820.00934033858744</v>
      </c>
      <c r="J738" s="11" t="e">
        <f t="shared" si="56"/>
        <v>#DIV/0!</v>
      </c>
    </row>
    <row r="739" spans="1:10" x14ac:dyDescent="0.2">
      <c r="A739" s="25"/>
      <c r="B739" s="8" t="s">
        <v>22</v>
      </c>
      <c r="C739" s="26"/>
      <c r="D739" s="7"/>
      <c r="E739" s="7">
        <v>1.7350000000000001</v>
      </c>
      <c r="F739" s="7">
        <v>3.069</v>
      </c>
      <c r="G739" s="7">
        <v>4.3810000000000002</v>
      </c>
      <c r="H739" s="7">
        <f t="shared" si="57"/>
        <v>0.13782991202346043</v>
      </c>
      <c r="I739" s="7">
        <f t="shared" si="58"/>
        <v>0</v>
      </c>
      <c r="J739" s="12" t="e">
        <f t="shared" si="56"/>
        <v>#DIV/0!</v>
      </c>
    </row>
    <row r="740" spans="1:10" x14ac:dyDescent="0.2">
      <c r="A740" s="19" t="s">
        <v>8</v>
      </c>
      <c r="B740" s="5" t="s">
        <v>20</v>
      </c>
      <c r="C740" s="22">
        <v>10</v>
      </c>
      <c r="D740" s="4"/>
      <c r="E740" s="4">
        <v>1.724</v>
      </c>
      <c r="F740" s="4">
        <v>3.258</v>
      </c>
      <c r="G740" s="4">
        <v>4.5880000000000001</v>
      </c>
      <c r="H740" s="4">
        <f t="shared" si="57"/>
        <v>0.12093308778391655</v>
      </c>
      <c r="I740" s="4">
        <f t="shared" si="58"/>
        <v>0</v>
      </c>
      <c r="J740" s="10">
        <f t="shared" si="56"/>
        <v>0</v>
      </c>
    </row>
    <row r="741" spans="1:10" x14ac:dyDescent="0.2">
      <c r="A741" s="20"/>
      <c r="B741" s="6" t="s">
        <v>21</v>
      </c>
      <c r="C741" s="23"/>
      <c r="D741">
        <v>941</v>
      </c>
      <c r="E741">
        <v>1.72</v>
      </c>
      <c r="F741">
        <v>3.5430000000000001</v>
      </c>
      <c r="G741">
        <v>4.8250000000000002</v>
      </c>
      <c r="H741">
        <f t="shared" si="57"/>
        <v>0.12362404741744276</v>
      </c>
      <c r="I741">
        <f t="shared" si="58"/>
        <v>824.66977138018638</v>
      </c>
      <c r="J741" s="11" t="e">
        <f t="shared" si="56"/>
        <v>#DIV/0!</v>
      </c>
    </row>
    <row r="742" spans="1:10" x14ac:dyDescent="0.2">
      <c r="A742" s="25"/>
      <c r="B742" s="8" t="s">
        <v>22</v>
      </c>
      <c r="C742" s="26"/>
      <c r="D742" s="7"/>
      <c r="E742" s="7">
        <v>1.712</v>
      </c>
      <c r="F742" s="7">
        <v>3.3530000000000002</v>
      </c>
      <c r="G742" s="7">
        <v>4.6829999999999998</v>
      </c>
      <c r="H742" s="7">
        <f t="shared" si="57"/>
        <v>0.11392782582761708</v>
      </c>
      <c r="I742" s="7">
        <f t="shared" si="58"/>
        <v>0</v>
      </c>
      <c r="J742" s="12" t="e">
        <f t="shared" si="56"/>
        <v>#DIV/0!</v>
      </c>
    </row>
    <row r="743" spans="1:10" x14ac:dyDescent="0.2">
      <c r="A743" s="19" t="s">
        <v>9</v>
      </c>
      <c r="B743" s="5" t="s">
        <v>20</v>
      </c>
      <c r="C743" s="22">
        <v>10</v>
      </c>
      <c r="D743" s="4"/>
      <c r="E743" s="4">
        <v>1.732</v>
      </c>
      <c r="F743" s="4">
        <v>3.2890000000000001</v>
      </c>
      <c r="G743" s="4">
        <v>4.6100000000000003</v>
      </c>
      <c r="H743" s="4">
        <f t="shared" si="57"/>
        <v>0.12496199452721192</v>
      </c>
      <c r="I743" s="4">
        <f t="shared" si="58"/>
        <v>0</v>
      </c>
      <c r="J743" s="10">
        <f t="shared" si="56"/>
        <v>0</v>
      </c>
    </row>
    <row r="744" spans="1:10" x14ac:dyDescent="0.2">
      <c r="A744" s="20"/>
      <c r="B744" s="6" t="s">
        <v>21</v>
      </c>
      <c r="C744" s="23"/>
      <c r="D744">
        <v>906</v>
      </c>
      <c r="E744">
        <v>1.726</v>
      </c>
      <c r="F744">
        <v>3.665</v>
      </c>
      <c r="G744">
        <v>4.9480000000000004</v>
      </c>
      <c r="H744">
        <f t="shared" si="57"/>
        <v>0.1208731241473396</v>
      </c>
      <c r="I744">
        <f t="shared" si="58"/>
        <v>796.48894952251032</v>
      </c>
      <c r="J744" s="11" t="e">
        <f t="shared" si="56"/>
        <v>#DIV/0!</v>
      </c>
    </row>
    <row r="745" spans="1:10" x14ac:dyDescent="0.2">
      <c r="A745" s="25"/>
      <c r="B745" s="8" t="s">
        <v>22</v>
      </c>
      <c r="C745" s="26"/>
      <c r="D745" s="7"/>
      <c r="E745" s="7">
        <v>1.72</v>
      </c>
      <c r="F745" s="7">
        <v>3.3740000000000001</v>
      </c>
      <c r="G745" s="7">
        <v>4.7110000000000003</v>
      </c>
      <c r="H745" s="7">
        <f t="shared" si="57"/>
        <v>0.11351511558980425</v>
      </c>
      <c r="I745" s="7">
        <f t="shared" si="58"/>
        <v>0</v>
      </c>
      <c r="J745" s="12" t="e">
        <f t="shared" si="56"/>
        <v>#DIV/0!</v>
      </c>
    </row>
    <row r="746" spans="1:10" x14ac:dyDescent="0.2">
      <c r="A746" s="19" t="s">
        <v>10</v>
      </c>
      <c r="B746" s="5" t="s">
        <v>20</v>
      </c>
      <c r="C746" s="22">
        <v>5</v>
      </c>
      <c r="D746" s="4"/>
      <c r="E746" s="4">
        <v>1.7010000000000001</v>
      </c>
      <c r="F746" s="4">
        <v>3.4540000000000002</v>
      </c>
      <c r="G746" s="4">
        <v>4.6689999999999996</v>
      </c>
      <c r="H746" s="4">
        <f t="shared" si="57"/>
        <v>0.14070642733063132</v>
      </c>
      <c r="I746" s="4">
        <f t="shared" si="58"/>
        <v>0</v>
      </c>
      <c r="J746" s="10">
        <f t="shared" si="56"/>
        <v>0</v>
      </c>
    </row>
    <row r="747" spans="1:10" x14ac:dyDescent="0.2">
      <c r="A747" s="20"/>
      <c r="B747" s="6" t="s">
        <v>21</v>
      </c>
      <c r="C747" s="23"/>
      <c r="D747">
        <v>533</v>
      </c>
      <c r="E747">
        <v>1.7130000000000001</v>
      </c>
      <c r="F747">
        <v>3.2269999999999999</v>
      </c>
      <c r="G747">
        <v>4.5309999999999997</v>
      </c>
      <c r="H747">
        <f t="shared" si="57"/>
        <v>0.12674310505113118</v>
      </c>
      <c r="I747">
        <f t="shared" si="58"/>
        <v>465.44592500774706</v>
      </c>
      <c r="J747" s="11" t="e">
        <f t="shared" si="56"/>
        <v>#DIV/0!</v>
      </c>
    </row>
    <row r="748" spans="1:10" x14ac:dyDescent="0.2">
      <c r="A748" s="25"/>
      <c r="B748" s="8" t="s">
        <v>22</v>
      </c>
      <c r="C748" s="26"/>
      <c r="D748" s="7"/>
      <c r="E748" s="7">
        <v>1.744</v>
      </c>
      <c r="F748" s="7">
        <v>3.1949999999999998</v>
      </c>
      <c r="G748" s="7">
        <v>4.5019999999999998</v>
      </c>
      <c r="H748" s="7">
        <f t="shared" si="57"/>
        <v>0.13677621283255081</v>
      </c>
      <c r="I748" s="7">
        <f t="shared" si="58"/>
        <v>0</v>
      </c>
      <c r="J748" s="12" t="e">
        <f t="shared" si="56"/>
        <v>#DIV/0!</v>
      </c>
    </row>
    <row r="749" spans="1:10" x14ac:dyDescent="0.2">
      <c r="A749" s="19" t="s">
        <v>11</v>
      </c>
      <c r="B749" s="5" t="s">
        <v>20</v>
      </c>
      <c r="C749" s="22">
        <v>10</v>
      </c>
      <c r="D749" s="4"/>
      <c r="E749" s="4"/>
      <c r="F749" s="4"/>
      <c r="G749" s="4"/>
      <c r="H749" s="4" t="e">
        <f t="shared" si="57"/>
        <v>#DIV/0!</v>
      </c>
      <c r="I749" s="4" t="e">
        <f t="shared" si="58"/>
        <v>#DIV/0!</v>
      </c>
      <c r="J749" s="10" t="e">
        <f t="shared" si="56"/>
        <v>#DIV/0!</v>
      </c>
    </row>
    <row r="750" spans="1:10" x14ac:dyDescent="0.2">
      <c r="A750" s="20"/>
      <c r="B750" s="6" t="s">
        <v>21</v>
      </c>
      <c r="C750" s="23"/>
      <c r="H750" t="e">
        <f t="shared" si="57"/>
        <v>#DIV/0!</v>
      </c>
      <c r="I750" t="e">
        <f t="shared" si="58"/>
        <v>#DIV/0!</v>
      </c>
      <c r="J750" s="11" t="e">
        <f t="shared" si="56"/>
        <v>#DIV/0!</v>
      </c>
    </row>
    <row r="751" spans="1:10" x14ac:dyDescent="0.2">
      <c r="A751" s="25"/>
      <c r="B751" s="8" t="s">
        <v>22</v>
      </c>
      <c r="C751" s="26"/>
      <c r="D751" s="7"/>
      <c r="E751" s="7"/>
      <c r="F751" s="7"/>
      <c r="G751" s="7"/>
      <c r="H751" s="7" t="e">
        <f t="shared" si="57"/>
        <v>#DIV/0!</v>
      </c>
      <c r="I751" s="7" t="e">
        <f t="shared" si="58"/>
        <v>#DIV/0!</v>
      </c>
      <c r="J751" s="12" t="e">
        <f t="shared" si="56"/>
        <v>#DIV/0!</v>
      </c>
    </row>
    <row r="752" spans="1:10" x14ac:dyDescent="0.2">
      <c r="A752" s="19" t="s">
        <v>12</v>
      </c>
      <c r="B752" s="5" t="s">
        <v>20</v>
      </c>
      <c r="C752" s="22">
        <v>10</v>
      </c>
      <c r="D752" s="4"/>
      <c r="E752" s="4"/>
      <c r="F752" s="4"/>
      <c r="G752" s="4"/>
      <c r="H752" s="4" t="e">
        <f t="shared" si="57"/>
        <v>#DIV/0!</v>
      </c>
      <c r="I752" s="4" t="e">
        <f t="shared" si="58"/>
        <v>#DIV/0!</v>
      </c>
      <c r="J752" s="10" t="e">
        <f t="shared" si="56"/>
        <v>#DIV/0!</v>
      </c>
    </row>
    <row r="753" spans="1:10" x14ac:dyDescent="0.2">
      <c r="A753" s="20"/>
      <c r="B753" s="6" t="s">
        <v>21</v>
      </c>
      <c r="C753" s="23"/>
      <c r="H753" t="e">
        <f t="shared" si="57"/>
        <v>#DIV/0!</v>
      </c>
      <c r="I753" t="e">
        <f t="shared" si="58"/>
        <v>#DIV/0!</v>
      </c>
      <c r="J753" s="11" t="e">
        <f t="shared" si="56"/>
        <v>#DIV/0!</v>
      </c>
    </row>
    <row r="754" spans="1:10" x14ac:dyDescent="0.2">
      <c r="A754" s="25"/>
      <c r="B754" s="8" t="s">
        <v>22</v>
      </c>
      <c r="C754" s="26"/>
      <c r="D754" s="7"/>
      <c r="E754" s="7"/>
      <c r="F754" s="7"/>
      <c r="G754" s="7"/>
      <c r="H754" s="7" t="e">
        <f t="shared" si="57"/>
        <v>#DIV/0!</v>
      </c>
      <c r="I754" s="7" t="e">
        <f t="shared" si="58"/>
        <v>#DIV/0!</v>
      </c>
      <c r="J754" s="12" t="e">
        <f t="shared" si="56"/>
        <v>#DIV/0!</v>
      </c>
    </row>
    <row r="755" spans="1:10" x14ac:dyDescent="0.2">
      <c r="A755" s="19" t="s">
        <v>13</v>
      </c>
      <c r="B755" s="5" t="s">
        <v>20</v>
      </c>
      <c r="C755" s="22">
        <v>10</v>
      </c>
      <c r="D755" s="4"/>
      <c r="E755" s="4"/>
      <c r="F755" s="4"/>
      <c r="G755" s="4"/>
      <c r="H755" s="4" t="e">
        <f t="shared" si="57"/>
        <v>#DIV/0!</v>
      </c>
      <c r="I755" s="4" t="e">
        <f t="shared" si="58"/>
        <v>#DIV/0!</v>
      </c>
      <c r="J755" s="10" t="e">
        <f t="shared" si="56"/>
        <v>#DIV/0!</v>
      </c>
    </row>
    <row r="756" spans="1:10" x14ac:dyDescent="0.2">
      <c r="A756" s="20"/>
      <c r="B756" s="6" t="s">
        <v>21</v>
      </c>
      <c r="C756" s="23"/>
      <c r="H756" t="e">
        <f t="shared" si="57"/>
        <v>#DIV/0!</v>
      </c>
      <c r="I756" t="e">
        <f t="shared" si="58"/>
        <v>#DIV/0!</v>
      </c>
      <c r="J756" s="11" t="e">
        <f t="shared" si="56"/>
        <v>#DIV/0!</v>
      </c>
    </row>
    <row r="757" spans="1:10" x14ac:dyDescent="0.2">
      <c r="A757" s="25"/>
      <c r="B757" s="8" t="s">
        <v>22</v>
      </c>
      <c r="C757" s="26"/>
      <c r="D757" s="7"/>
      <c r="E757" s="7"/>
      <c r="F757" s="7"/>
      <c r="G757" s="7"/>
      <c r="H757" s="7" t="e">
        <f t="shared" si="57"/>
        <v>#DIV/0!</v>
      </c>
      <c r="I757" s="7" t="e">
        <f t="shared" si="58"/>
        <v>#DIV/0!</v>
      </c>
      <c r="J757" s="12" t="e">
        <f t="shared" si="56"/>
        <v>#DIV/0!</v>
      </c>
    </row>
    <row r="758" spans="1:10" x14ac:dyDescent="0.2">
      <c r="A758" s="19" t="s">
        <v>14</v>
      </c>
      <c r="B758" s="5" t="s">
        <v>20</v>
      </c>
      <c r="C758" s="22">
        <v>10</v>
      </c>
      <c r="D758" s="4"/>
      <c r="E758" s="4"/>
      <c r="F758" s="4"/>
      <c r="G758" s="4"/>
      <c r="H758" s="4" t="e">
        <f t="shared" si="57"/>
        <v>#DIV/0!</v>
      </c>
      <c r="I758" s="4" t="e">
        <f t="shared" si="58"/>
        <v>#DIV/0!</v>
      </c>
      <c r="J758" s="10" t="e">
        <f t="shared" si="56"/>
        <v>#DIV/0!</v>
      </c>
    </row>
    <row r="759" spans="1:10" x14ac:dyDescent="0.2">
      <c r="A759" s="20"/>
      <c r="B759" s="6" t="s">
        <v>21</v>
      </c>
      <c r="C759" s="23"/>
      <c r="H759" t="e">
        <f t="shared" si="57"/>
        <v>#DIV/0!</v>
      </c>
      <c r="I759" t="e">
        <f t="shared" si="58"/>
        <v>#DIV/0!</v>
      </c>
      <c r="J759" s="11" t="e">
        <f t="shared" si="56"/>
        <v>#DIV/0!</v>
      </c>
    </row>
    <row r="760" spans="1:10" ht="16" thickBot="1" x14ac:dyDescent="0.25">
      <c r="A760" s="21"/>
      <c r="B760" s="15" t="s">
        <v>22</v>
      </c>
      <c r="C760" s="24"/>
      <c r="D760" s="13"/>
      <c r="E760" s="13"/>
      <c r="F760" s="13"/>
      <c r="G760" s="13"/>
      <c r="H760" s="13" t="e">
        <f t="shared" si="57"/>
        <v>#DIV/0!</v>
      </c>
      <c r="I760" s="13" t="e">
        <f t="shared" si="58"/>
        <v>#DIV/0!</v>
      </c>
      <c r="J760" s="14" t="e">
        <f t="shared" si="56"/>
        <v>#DIV/0!</v>
      </c>
    </row>
    <row r="761" spans="1:10" ht="16" thickBot="1" x14ac:dyDescent="0.25">
      <c r="A761" s="44" t="s">
        <v>1</v>
      </c>
      <c r="B761" s="33"/>
      <c r="C761" s="33"/>
      <c r="D761" s="33" t="s">
        <v>42</v>
      </c>
      <c r="E761" s="34"/>
      <c r="F761" s="9" t="s">
        <v>0</v>
      </c>
      <c r="G761" s="18">
        <v>44159</v>
      </c>
      <c r="H761" s="35" t="s">
        <v>24</v>
      </c>
      <c r="I761" s="36"/>
      <c r="J761" s="1">
        <v>110</v>
      </c>
    </row>
    <row r="762" spans="1:10" ht="16" thickBot="1" x14ac:dyDescent="0.25">
      <c r="A762" s="37" t="s">
        <v>2</v>
      </c>
      <c r="B762" s="38"/>
      <c r="C762" s="38"/>
      <c r="D762" s="38"/>
      <c r="E762" s="39"/>
      <c r="F762" s="40"/>
      <c r="G762" s="41"/>
      <c r="H762" s="42" t="s">
        <v>25</v>
      </c>
      <c r="I762" s="43"/>
      <c r="J762" s="2">
        <v>42</v>
      </c>
    </row>
    <row r="763" spans="1:10" ht="16" thickBot="1" x14ac:dyDescent="0.25">
      <c r="A763" s="45" t="s">
        <v>27</v>
      </c>
      <c r="B763" s="27"/>
      <c r="C763" s="27"/>
      <c r="D763" s="27" t="s">
        <v>33</v>
      </c>
      <c r="E763" s="28"/>
      <c r="F763" s="16" t="s">
        <v>30</v>
      </c>
      <c r="G763" s="16">
        <v>3.81</v>
      </c>
      <c r="H763" s="29" t="s">
        <v>26</v>
      </c>
      <c r="I763" s="30"/>
      <c r="J763" s="3">
        <v>75</v>
      </c>
    </row>
    <row r="764" spans="1:10" x14ac:dyDescent="0.2">
      <c r="A764" s="31"/>
      <c r="B764" s="32"/>
      <c r="C764" s="16" t="s">
        <v>29</v>
      </c>
      <c r="D764" s="16" t="s">
        <v>19</v>
      </c>
      <c r="E764" s="16" t="s">
        <v>15</v>
      </c>
      <c r="F764" s="16" t="s">
        <v>18</v>
      </c>
      <c r="G764" s="16" t="s">
        <v>17</v>
      </c>
      <c r="H764" s="16" t="s">
        <v>28</v>
      </c>
      <c r="I764" s="16" t="s">
        <v>16</v>
      </c>
      <c r="J764" s="17" t="s">
        <v>23</v>
      </c>
    </row>
    <row r="765" spans="1:10" x14ac:dyDescent="0.2">
      <c r="A765" s="19" t="s">
        <v>3</v>
      </c>
      <c r="B765" s="5" t="s">
        <v>20</v>
      </c>
      <c r="C765" s="22">
        <v>10</v>
      </c>
      <c r="D765" s="4"/>
      <c r="E765" s="4">
        <v>1.72</v>
      </c>
      <c r="F765" s="4">
        <v>3.4620000000000002</v>
      </c>
      <c r="G765" s="4">
        <v>4.6710000000000003</v>
      </c>
      <c r="H765" s="4">
        <f>(F765-(G765-E765))/F765</f>
        <v>0.14760254188330435</v>
      </c>
      <c r="I765" s="4">
        <f>D765-H765*D765</f>
        <v>0</v>
      </c>
      <c r="J765" s="10">
        <f t="shared" ref="J765:J800" si="59">I765/($G$3^2*C765*PI())</f>
        <v>0</v>
      </c>
    </row>
    <row r="766" spans="1:10" x14ac:dyDescent="0.2">
      <c r="A766" s="20"/>
      <c r="B766" s="6" t="s">
        <v>21</v>
      </c>
      <c r="C766" s="23"/>
      <c r="D766">
        <v>789</v>
      </c>
      <c r="E766">
        <v>1.728</v>
      </c>
      <c r="F766">
        <v>3.4740000000000002</v>
      </c>
      <c r="G766">
        <v>4.6479999999999997</v>
      </c>
      <c r="H766">
        <f t="shared" ref="H766:H800" si="60">(F766-(G766-E766))/F766</f>
        <v>0.15947035118019581</v>
      </c>
      <c r="I766">
        <f t="shared" ref="I766:I800" si="61">D766-H766*D766</f>
        <v>663.17789291882548</v>
      </c>
      <c r="J766" s="11" t="e">
        <f t="shared" si="59"/>
        <v>#DIV/0!</v>
      </c>
    </row>
    <row r="767" spans="1:10" x14ac:dyDescent="0.2">
      <c r="A767" s="25"/>
      <c r="B767" s="8" t="s">
        <v>22</v>
      </c>
      <c r="C767" s="26"/>
      <c r="D767" s="7"/>
      <c r="E767" s="7">
        <v>1.734</v>
      </c>
      <c r="F767" s="7">
        <v>3.3660000000000001</v>
      </c>
      <c r="G767" s="7">
        <v>4.556</v>
      </c>
      <c r="H767" s="7">
        <f t="shared" si="60"/>
        <v>0.16161616161616163</v>
      </c>
      <c r="I767" s="7">
        <f t="shared" si="61"/>
        <v>0</v>
      </c>
      <c r="J767" s="12" t="e">
        <f t="shared" si="59"/>
        <v>#DIV/0!</v>
      </c>
    </row>
    <row r="768" spans="1:10" x14ac:dyDescent="0.2">
      <c r="A768" s="19" t="s">
        <v>4</v>
      </c>
      <c r="B768" s="5" t="s">
        <v>20</v>
      </c>
      <c r="C768" s="23">
        <v>10</v>
      </c>
      <c r="E768">
        <v>1.716</v>
      </c>
      <c r="F768">
        <v>3.1779999999999999</v>
      </c>
      <c r="G768">
        <v>4.3780000000000001</v>
      </c>
      <c r="H768" s="4">
        <f t="shared" si="60"/>
        <v>0.16236626809314034</v>
      </c>
      <c r="I768" s="4">
        <f t="shared" si="61"/>
        <v>0</v>
      </c>
      <c r="J768" s="10">
        <f t="shared" si="59"/>
        <v>0</v>
      </c>
    </row>
    <row r="769" spans="1:10" x14ac:dyDescent="0.2">
      <c r="A769" s="20"/>
      <c r="B769" s="6" t="s">
        <v>21</v>
      </c>
      <c r="C769" s="23"/>
      <c r="D769">
        <v>756</v>
      </c>
      <c r="E769">
        <v>1.704</v>
      </c>
      <c r="F769">
        <v>3.4390000000000001</v>
      </c>
      <c r="G769">
        <v>4.6120000000000001</v>
      </c>
      <c r="H769">
        <f t="shared" si="60"/>
        <v>0.15440535039255587</v>
      </c>
      <c r="I769">
        <f t="shared" si="61"/>
        <v>639.26955510322773</v>
      </c>
      <c r="J769" s="11" t="e">
        <f t="shared" si="59"/>
        <v>#DIV/0!</v>
      </c>
    </row>
    <row r="770" spans="1:10" x14ac:dyDescent="0.2">
      <c r="A770" s="25"/>
      <c r="B770" s="8" t="s">
        <v>22</v>
      </c>
      <c r="C770" s="26"/>
      <c r="D770" s="7"/>
      <c r="E770" s="7">
        <v>1.7450000000000001</v>
      </c>
      <c r="F770" s="7">
        <v>3.738</v>
      </c>
      <c r="G770" s="7">
        <v>4.9290000000000003</v>
      </c>
      <c r="H770" s="7">
        <f t="shared" si="60"/>
        <v>0.14820759764579985</v>
      </c>
      <c r="I770" s="7">
        <f t="shared" si="61"/>
        <v>0</v>
      </c>
      <c r="J770" s="12" t="e">
        <f t="shared" si="59"/>
        <v>#DIV/0!</v>
      </c>
    </row>
    <row r="771" spans="1:10" x14ac:dyDescent="0.2">
      <c r="A771" s="19" t="s">
        <v>5</v>
      </c>
      <c r="B771" s="5" t="s">
        <v>20</v>
      </c>
      <c r="C771" s="22">
        <v>10</v>
      </c>
      <c r="D771" s="4"/>
      <c r="E771" s="4">
        <v>1.734</v>
      </c>
      <c r="F771" s="4">
        <v>3.0409999999999999</v>
      </c>
      <c r="G771" s="4">
        <v>4.2869999999999999</v>
      </c>
      <c r="H771" s="4">
        <f t="shared" si="60"/>
        <v>0.16047352844459059</v>
      </c>
      <c r="I771" s="4">
        <f t="shared" si="61"/>
        <v>0</v>
      </c>
      <c r="J771" s="10">
        <f t="shared" si="59"/>
        <v>0</v>
      </c>
    </row>
    <row r="772" spans="1:10" x14ac:dyDescent="0.2">
      <c r="A772" s="20"/>
      <c r="B772" s="6" t="s">
        <v>21</v>
      </c>
      <c r="C772" s="23"/>
      <c r="D772">
        <v>803</v>
      </c>
      <c r="E772">
        <v>1.726</v>
      </c>
      <c r="F772">
        <v>3.2090000000000001</v>
      </c>
      <c r="G772">
        <v>4.4109999999999996</v>
      </c>
      <c r="H772">
        <f t="shared" si="60"/>
        <v>0.16329074478030553</v>
      </c>
      <c r="I772">
        <f t="shared" si="61"/>
        <v>671.87753194141465</v>
      </c>
      <c r="J772" s="11" t="e">
        <f t="shared" si="59"/>
        <v>#DIV/0!</v>
      </c>
    </row>
    <row r="773" spans="1:10" x14ac:dyDescent="0.2">
      <c r="A773" s="25"/>
      <c r="B773" s="8" t="s">
        <v>22</v>
      </c>
      <c r="C773" s="26"/>
      <c r="D773" s="7"/>
      <c r="E773" s="7">
        <v>1.74</v>
      </c>
      <c r="F773" s="7">
        <v>3.3450000000000002</v>
      </c>
      <c r="G773" s="7">
        <v>4.569</v>
      </c>
      <c r="H773" s="7">
        <f t="shared" si="60"/>
        <v>0.15426008968609878</v>
      </c>
      <c r="I773" s="7">
        <f t="shared" si="61"/>
        <v>0</v>
      </c>
      <c r="J773" s="12" t="e">
        <f t="shared" si="59"/>
        <v>#DIV/0!</v>
      </c>
    </row>
    <row r="774" spans="1:10" x14ac:dyDescent="0.2">
      <c r="A774" s="19" t="s">
        <v>6</v>
      </c>
      <c r="B774" s="5" t="s">
        <v>20</v>
      </c>
      <c r="C774" s="22">
        <v>10</v>
      </c>
      <c r="D774" s="4"/>
      <c r="E774" s="4">
        <v>1.7210000000000001</v>
      </c>
      <c r="F774" s="4">
        <v>3.8530000000000002</v>
      </c>
      <c r="G774" s="4">
        <v>4.9749999999999996</v>
      </c>
      <c r="H774" s="4">
        <f t="shared" si="60"/>
        <v>0.15546327536984184</v>
      </c>
      <c r="I774" s="4">
        <f t="shared" si="61"/>
        <v>0</v>
      </c>
      <c r="J774" s="10">
        <f t="shared" si="59"/>
        <v>0</v>
      </c>
    </row>
    <row r="775" spans="1:10" x14ac:dyDescent="0.2">
      <c r="A775" s="20"/>
      <c r="B775" s="6" t="s">
        <v>21</v>
      </c>
      <c r="C775" s="23"/>
      <c r="D775">
        <v>828</v>
      </c>
      <c r="E775">
        <v>1.734</v>
      </c>
      <c r="F775">
        <v>3.698</v>
      </c>
      <c r="G775">
        <v>4.8849999999999998</v>
      </c>
      <c r="H775">
        <f t="shared" si="60"/>
        <v>0.14791779340183889</v>
      </c>
      <c r="I775">
        <f t="shared" si="61"/>
        <v>705.52406706327736</v>
      </c>
      <c r="J775" s="11" t="e">
        <f t="shared" si="59"/>
        <v>#DIV/0!</v>
      </c>
    </row>
    <row r="776" spans="1:10" x14ac:dyDescent="0.2">
      <c r="A776" s="25"/>
      <c r="B776" s="8" t="s">
        <v>22</v>
      </c>
      <c r="C776" s="26"/>
      <c r="D776" s="7"/>
      <c r="E776" s="7">
        <v>1.726</v>
      </c>
      <c r="F776" s="7">
        <v>3.452</v>
      </c>
      <c r="G776" s="7">
        <v>4.6509999999999998</v>
      </c>
      <c r="H776" s="7">
        <f t="shared" si="60"/>
        <v>0.15266512166859794</v>
      </c>
      <c r="I776" s="7">
        <f t="shared" si="61"/>
        <v>0</v>
      </c>
      <c r="J776" s="12" t="e">
        <f t="shared" si="59"/>
        <v>#DIV/0!</v>
      </c>
    </row>
    <row r="777" spans="1:10" x14ac:dyDescent="0.2">
      <c r="A777" s="19" t="s">
        <v>7</v>
      </c>
      <c r="B777" s="5" t="s">
        <v>20</v>
      </c>
      <c r="C777" s="22">
        <v>10</v>
      </c>
      <c r="D777" s="4"/>
      <c r="E777" s="4">
        <v>1.7250000000000001</v>
      </c>
      <c r="F777" s="4">
        <v>3.1320000000000001</v>
      </c>
      <c r="G777" s="4">
        <v>4.3479999999999999</v>
      </c>
      <c r="H777" s="4">
        <f t="shared" si="60"/>
        <v>0.16251596424010228</v>
      </c>
      <c r="I777" s="4">
        <f t="shared" si="61"/>
        <v>0</v>
      </c>
      <c r="J777" s="10">
        <f t="shared" si="59"/>
        <v>0</v>
      </c>
    </row>
    <row r="778" spans="1:10" x14ac:dyDescent="0.2">
      <c r="A778" s="20"/>
      <c r="B778" s="6" t="s">
        <v>21</v>
      </c>
      <c r="C778" s="23"/>
      <c r="D778">
        <v>875</v>
      </c>
      <c r="E778">
        <v>1.722</v>
      </c>
      <c r="F778">
        <v>3.194</v>
      </c>
      <c r="G778">
        <v>4.4610000000000003</v>
      </c>
      <c r="H778">
        <f t="shared" si="60"/>
        <v>0.14245460237946136</v>
      </c>
      <c r="I778">
        <f t="shared" si="61"/>
        <v>750.35222291797129</v>
      </c>
      <c r="J778" s="11" t="e">
        <f t="shared" si="59"/>
        <v>#DIV/0!</v>
      </c>
    </row>
    <row r="779" spans="1:10" x14ac:dyDescent="0.2">
      <c r="A779" s="25"/>
      <c r="B779" s="8" t="s">
        <v>22</v>
      </c>
      <c r="C779" s="26"/>
      <c r="D779" s="7"/>
      <c r="E779" s="7">
        <v>1.734</v>
      </c>
      <c r="F779" s="7">
        <v>3.51</v>
      </c>
      <c r="G779" s="7">
        <v>4.7809999999999997</v>
      </c>
      <c r="H779" s="7">
        <f t="shared" si="60"/>
        <v>0.13190883190883193</v>
      </c>
      <c r="I779" s="7">
        <f t="shared" si="61"/>
        <v>0</v>
      </c>
      <c r="J779" s="12" t="e">
        <f t="shared" si="59"/>
        <v>#DIV/0!</v>
      </c>
    </row>
    <row r="780" spans="1:10" x14ac:dyDescent="0.2">
      <c r="A780" s="19" t="s">
        <v>8</v>
      </c>
      <c r="B780" s="5" t="s">
        <v>20</v>
      </c>
      <c r="C780" s="22">
        <v>10</v>
      </c>
      <c r="D780" s="4"/>
      <c r="E780" s="4">
        <v>1.722</v>
      </c>
      <c r="F780" s="4">
        <v>3.46</v>
      </c>
      <c r="G780" s="4">
        <v>4.7560000000000002</v>
      </c>
      <c r="H780" s="4">
        <f t="shared" si="60"/>
        <v>0.12312138728323692</v>
      </c>
      <c r="I780" s="4">
        <f t="shared" si="61"/>
        <v>0</v>
      </c>
      <c r="J780" s="10">
        <f t="shared" si="59"/>
        <v>0</v>
      </c>
    </row>
    <row r="781" spans="1:10" x14ac:dyDescent="0.2">
      <c r="A781" s="20"/>
      <c r="B781" s="6" t="s">
        <v>21</v>
      </c>
      <c r="C781" s="23"/>
      <c r="D781">
        <v>791</v>
      </c>
      <c r="E781">
        <v>1.738</v>
      </c>
      <c r="F781">
        <v>3.4470000000000001</v>
      </c>
      <c r="G781">
        <v>4.7560000000000002</v>
      </c>
      <c r="H781">
        <f t="shared" si="60"/>
        <v>0.12445604873803302</v>
      </c>
      <c r="I781">
        <f t="shared" si="61"/>
        <v>692.55526544821589</v>
      </c>
      <c r="J781" s="11" t="e">
        <f t="shared" si="59"/>
        <v>#DIV/0!</v>
      </c>
    </row>
    <row r="782" spans="1:10" x14ac:dyDescent="0.2">
      <c r="A782" s="25"/>
      <c r="B782" s="8" t="s">
        <v>22</v>
      </c>
      <c r="C782" s="26"/>
      <c r="D782" s="7"/>
      <c r="E782" s="7">
        <v>1.7290000000000001</v>
      </c>
      <c r="F782" s="7">
        <v>3.004</v>
      </c>
      <c r="G782" s="7">
        <v>4.3639999999999999</v>
      </c>
      <c r="H782" s="7">
        <f t="shared" si="60"/>
        <v>0.12283621837549941</v>
      </c>
      <c r="I782" s="7">
        <f t="shared" si="61"/>
        <v>0</v>
      </c>
      <c r="J782" s="12" t="e">
        <f t="shared" si="59"/>
        <v>#DIV/0!</v>
      </c>
    </row>
    <row r="783" spans="1:10" x14ac:dyDescent="0.2">
      <c r="A783" s="19" t="s">
        <v>9</v>
      </c>
      <c r="B783" s="5" t="s">
        <v>20</v>
      </c>
      <c r="C783" s="22">
        <v>10</v>
      </c>
      <c r="D783" s="4"/>
      <c r="E783" s="4">
        <v>1.7210000000000001</v>
      </c>
      <c r="F783" s="4">
        <v>3.0950000000000002</v>
      </c>
      <c r="G783" s="4">
        <v>4.4660000000000002</v>
      </c>
      <c r="H783" s="4">
        <f t="shared" si="60"/>
        <v>0.11308562197092085</v>
      </c>
      <c r="I783" s="4">
        <f t="shared" si="61"/>
        <v>0</v>
      </c>
      <c r="J783" s="10">
        <f t="shared" si="59"/>
        <v>0</v>
      </c>
    </row>
    <row r="784" spans="1:10" x14ac:dyDescent="0.2">
      <c r="A784" s="20"/>
      <c r="B784" s="6" t="s">
        <v>21</v>
      </c>
      <c r="C784" s="23"/>
      <c r="D784">
        <v>925</v>
      </c>
      <c r="E784">
        <v>1.7190000000000001</v>
      </c>
      <c r="F784">
        <v>3.653</v>
      </c>
      <c r="G784">
        <v>4.9450000000000003</v>
      </c>
      <c r="H784">
        <f t="shared" si="60"/>
        <v>0.11689022721051193</v>
      </c>
      <c r="I784">
        <f t="shared" si="61"/>
        <v>816.87653983027644</v>
      </c>
      <c r="J784" s="11" t="e">
        <f t="shared" si="59"/>
        <v>#DIV/0!</v>
      </c>
    </row>
    <row r="785" spans="1:10" x14ac:dyDescent="0.2">
      <c r="A785" s="25"/>
      <c r="B785" s="8" t="s">
        <v>22</v>
      </c>
      <c r="C785" s="26"/>
      <c r="D785" s="7"/>
      <c r="E785" s="7">
        <v>1.732</v>
      </c>
      <c r="F785" s="7">
        <v>3.492</v>
      </c>
      <c r="G785" s="7">
        <v>4.7960000000000003</v>
      </c>
      <c r="H785" s="7">
        <f t="shared" si="60"/>
        <v>0.12256586483390605</v>
      </c>
      <c r="I785" s="7">
        <f t="shared" si="61"/>
        <v>0</v>
      </c>
      <c r="J785" s="12" t="e">
        <f t="shared" si="59"/>
        <v>#DIV/0!</v>
      </c>
    </row>
    <row r="786" spans="1:10" x14ac:dyDescent="0.2">
      <c r="A786" s="19" t="s">
        <v>10</v>
      </c>
      <c r="B786" s="5" t="s">
        <v>20</v>
      </c>
      <c r="C786" s="22">
        <v>10</v>
      </c>
      <c r="D786" s="4"/>
      <c r="E786" s="4">
        <v>1.7250000000000001</v>
      </c>
      <c r="F786" s="4">
        <v>3.4910000000000001</v>
      </c>
      <c r="G786" s="4">
        <v>4.8079999999999998</v>
      </c>
      <c r="H786" s="4">
        <f t="shared" si="60"/>
        <v>0.1168719564594673</v>
      </c>
      <c r="I786" s="4">
        <f t="shared" si="61"/>
        <v>0</v>
      </c>
      <c r="J786" s="10">
        <f t="shared" si="59"/>
        <v>0</v>
      </c>
    </row>
    <row r="787" spans="1:10" x14ac:dyDescent="0.2">
      <c r="A787" s="20"/>
      <c r="B787" s="6" t="s">
        <v>21</v>
      </c>
      <c r="C787" s="23"/>
      <c r="D787">
        <v>781</v>
      </c>
      <c r="E787">
        <v>1.7430000000000001</v>
      </c>
      <c r="F787">
        <v>3.302</v>
      </c>
      <c r="G787">
        <v>4.6269999999999998</v>
      </c>
      <c r="H787">
        <f t="shared" si="60"/>
        <v>0.12658994548758346</v>
      </c>
      <c r="I787">
        <f t="shared" si="61"/>
        <v>682.13325257419729</v>
      </c>
      <c r="J787" s="11" t="e">
        <f t="shared" si="59"/>
        <v>#DIV/0!</v>
      </c>
    </row>
    <row r="788" spans="1:10" x14ac:dyDescent="0.2">
      <c r="A788" s="25"/>
      <c r="B788" s="8" t="s">
        <v>22</v>
      </c>
      <c r="C788" s="26"/>
      <c r="D788" s="7"/>
      <c r="E788" s="7">
        <v>1.722</v>
      </c>
      <c r="F788" s="7">
        <v>3.694</v>
      </c>
      <c r="G788" s="7">
        <v>4.9720000000000004</v>
      </c>
      <c r="H788" s="7">
        <f t="shared" si="60"/>
        <v>0.12019491066594465</v>
      </c>
      <c r="I788" s="7">
        <f t="shared" si="61"/>
        <v>0</v>
      </c>
      <c r="J788" s="12" t="e">
        <f t="shared" si="59"/>
        <v>#DIV/0!</v>
      </c>
    </row>
    <row r="789" spans="1:10" x14ac:dyDescent="0.2">
      <c r="A789" s="19" t="s">
        <v>11</v>
      </c>
      <c r="B789" s="5" t="s">
        <v>20</v>
      </c>
      <c r="C789" s="22">
        <v>10</v>
      </c>
      <c r="D789" s="4"/>
      <c r="E789" s="4">
        <v>1.722</v>
      </c>
      <c r="F789" s="4">
        <v>3.9350000000000001</v>
      </c>
      <c r="G789" s="4">
        <v>5.1779999999999999</v>
      </c>
      <c r="H789" s="4">
        <f t="shared" si="60"/>
        <v>0.12172808132147397</v>
      </c>
      <c r="I789" s="4">
        <f t="shared" si="61"/>
        <v>0</v>
      </c>
      <c r="J789" s="10">
        <f t="shared" si="59"/>
        <v>0</v>
      </c>
    </row>
    <row r="790" spans="1:10" x14ac:dyDescent="0.2">
      <c r="A790" s="20"/>
      <c r="B790" s="6" t="s">
        <v>21</v>
      </c>
      <c r="C790" s="23"/>
      <c r="D790">
        <v>869</v>
      </c>
      <c r="E790">
        <v>1.7110000000000001</v>
      </c>
      <c r="F790">
        <v>3.5950000000000002</v>
      </c>
      <c r="G790">
        <v>4.9450000000000003</v>
      </c>
      <c r="H790">
        <f t="shared" si="60"/>
        <v>0.10041724617524345</v>
      </c>
      <c r="I790">
        <f t="shared" si="61"/>
        <v>781.73741307371347</v>
      </c>
      <c r="J790" s="11" t="e">
        <f t="shared" si="59"/>
        <v>#DIV/0!</v>
      </c>
    </row>
    <row r="791" spans="1:10" x14ac:dyDescent="0.2">
      <c r="A791" s="25"/>
      <c r="B791" s="8" t="s">
        <v>22</v>
      </c>
      <c r="C791" s="26"/>
      <c r="D791" s="7"/>
      <c r="E791" s="7">
        <v>1.7290000000000001</v>
      </c>
      <c r="F791" s="7">
        <v>3.0510000000000002</v>
      </c>
      <c r="G791" s="7">
        <v>4.4589999999999996</v>
      </c>
      <c r="H791" s="7">
        <f t="shared" si="60"/>
        <v>0.10521140609636205</v>
      </c>
      <c r="I791" s="7">
        <f t="shared" si="61"/>
        <v>0</v>
      </c>
      <c r="J791" s="12" t="e">
        <f t="shared" si="59"/>
        <v>#DIV/0!</v>
      </c>
    </row>
    <row r="792" spans="1:10" x14ac:dyDescent="0.2">
      <c r="A792" s="19" t="s">
        <v>12</v>
      </c>
      <c r="B792" s="5" t="s">
        <v>20</v>
      </c>
      <c r="C792" s="22">
        <v>10</v>
      </c>
      <c r="D792" s="4"/>
      <c r="E792" s="4">
        <v>1.7370000000000001</v>
      </c>
      <c r="F792" s="4">
        <v>3.3210000000000002</v>
      </c>
      <c r="G792" s="4">
        <v>4.7869999999999999</v>
      </c>
      <c r="H792" s="4">
        <f t="shared" si="60"/>
        <v>8.1601927130382515E-2</v>
      </c>
      <c r="I792" s="4">
        <f t="shared" si="61"/>
        <v>0</v>
      </c>
      <c r="J792" s="10">
        <f t="shared" si="59"/>
        <v>0</v>
      </c>
    </row>
    <row r="793" spans="1:10" x14ac:dyDescent="0.2">
      <c r="A793" s="20"/>
      <c r="B793" s="6" t="s">
        <v>21</v>
      </c>
      <c r="C793" s="23"/>
      <c r="D793">
        <v>752</v>
      </c>
      <c r="E793">
        <v>1.7070000000000001</v>
      </c>
      <c r="F793">
        <v>3.8</v>
      </c>
      <c r="G793">
        <v>5.0620000000000003</v>
      </c>
      <c r="H793">
        <f t="shared" si="60"/>
        <v>0.11710526315789459</v>
      </c>
      <c r="I793">
        <f t="shared" si="61"/>
        <v>663.93684210526328</v>
      </c>
      <c r="J793" s="11" t="e">
        <f t="shared" si="59"/>
        <v>#DIV/0!</v>
      </c>
    </row>
    <row r="794" spans="1:10" x14ac:dyDescent="0.2">
      <c r="A794" s="25"/>
      <c r="B794" s="8" t="s">
        <v>22</v>
      </c>
      <c r="C794" s="26"/>
      <c r="D794" s="7"/>
      <c r="E794" s="7">
        <v>1.716</v>
      </c>
      <c r="F794" s="7">
        <v>3.653</v>
      </c>
      <c r="G794" s="7">
        <v>4.9829999999999997</v>
      </c>
      <c r="H794" s="7">
        <f t="shared" si="60"/>
        <v>0.10566657541746526</v>
      </c>
      <c r="I794" s="7">
        <f t="shared" si="61"/>
        <v>0</v>
      </c>
      <c r="J794" s="12" t="e">
        <f t="shared" si="59"/>
        <v>#DIV/0!</v>
      </c>
    </row>
    <row r="795" spans="1:10" x14ac:dyDescent="0.2">
      <c r="A795" s="19" t="s">
        <v>13</v>
      </c>
      <c r="B795" s="5" t="s">
        <v>20</v>
      </c>
      <c r="C795" s="22">
        <v>10</v>
      </c>
      <c r="D795" s="4"/>
      <c r="E795" s="4">
        <v>1.726</v>
      </c>
      <c r="F795" s="4">
        <v>3.8860000000000001</v>
      </c>
      <c r="G795" s="4">
        <v>5.0750000000000002</v>
      </c>
      <c r="H795" s="4">
        <f t="shared" si="60"/>
        <v>0.13818836850231597</v>
      </c>
      <c r="I795" s="4">
        <f t="shared" si="61"/>
        <v>0</v>
      </c>
      <c r="J795" s="10">
        <f t="shared" si="59"/>
        <v>0</v>
      </c>
    </row>
    <row r="796" spans="1:10" x14ac:dyDescent="0.2">
      <c r="A796" s="20"/>
      <c r="B796" s="6" t="s">
        <v>21</v>
      </c>
      <c r="C796" s="23"/>
      <c r="D796">
        <v>648</v>
      </c>
      <c r="E796">
        <v>1.734</v>
      </c>
      <c r="F796">
        <v>3.806</v>
      </c>
      <c r="G796">
        <v>4.9420000000000002</v>
      </c>
      <c r="H796">
        <f t="shared" si="60"/>
        <v>0.15712033631108771</v>
      </c>
      <c r="I796">
        <f t="shared" si="61"/>
        <v>546.18602207041522</v>
      </c>
      <c r="J796" s="11" t="e">
        <f t="shared" si="59"/>
        <v>#DIV/0!</v>
      </c>
    </row>
    <row r="797" spans="1:10" x14ac:dyDescent="0.2">
      <c r="A797" s="25"/>
      <c r="B797" s="8" t="s">
        <v>22</v>
      </c>
      <c r="C797" s="26"/>
      <c r="D797" s="7"/>
      <c r="E797" s="7">
        <v>1.722</v>
      </c>
      <c r="F797" s="7">
        <v>3.0449999999999999</v>
      </c>
      <c r="G797" s="7">
        <v>4.2830000000000004</v>
      </c>
      <c r="H797" s="7">
        <f t="shared" si="60"/>
        <v>0.15894909688013123</v>
      </c>
      <c r="I797" s="7">
        <f t="shared" si="61"/>
        <v>0</v>
      </c>
      <c r="J797" s="12" t="e">
        <f t="shared" si="59"/>
        <v>#DIV/0!</v>
      </c>
    </row>
    <row r="798" spans="1:10" x14ac:dyDescent="0.2">
      <c r="A798" s="19" t="s">
        <v>14</v>
      </c>
      <c r="B798" s="5" t="s">
        <v>20</v>
      </c>
      <c r="C798" s="22">
        <v>10</v>
      </c>
      <c r="D798" s="4"/>
      <c r="E798" s="4"/>
      <c r="F798" s="4"/>
      <c r="G798" s="4"/>
      <c r="H798" s="4" t="e">
        <f t="shared" si="60"/>
        <v>#DIV/0!</v>
      </c>
      <c r="I798" s="4" t="e">
        <f t="shared" si="61"/>
        <v>#DIV/0!</v>
      </c>
      <c r="J798" s="10" t="e">
        <f t="shared" si="59"/>
        <v>#DIV/0!</v>
      </c>
    </row>
    <row r="799" spans="1:10" x14ac:dyDescent="0.2">
      <c r="A799" s="20"/>
      <c r="B799" s="6" t="s">
        <v>21</v>
      </c>
      <c r="C799" s="23"/>
      <c r="H799" t="e">
        <f t="shared" si="60"/>
        <v>#DIV/0!</v>
      </c>
      <c r="I799" t="e">
        <f t="shared" si="61"/>
        <v>#DIV/0!</v>
      </c>
      <c r="J799" s="11" t="e">
        <f t="shared" si="59"/>
        <v>#DIV/0!</v>
      </c>
    </row>
    <row r="800" spans="1:10" ht="16" thickBot="1" x14ac:dyDescent="0.25">
      <c r="A800" s="21"/>
      <c r="B800" s="15" t="s">
        <v>22</v>
      </c>
      <c r="C800" s="24"/>
      <c r="D800" s="13"/>
      <c r="E800" s="13"/>
      <c r="F800" s="13"/>
      <c r="G800" s="13"/>
      <c r="H800" s="13" t="e">
        <f t="shared" si="60"/>
        <v>#DIV/0!</v>
      </c>
      <c r="I800" s="13" t="e">
        <f t="shared" si="61"/>
        <v>#DIV/0!</v>
      </c>
      <c r="J800" s="14" t="e">
        <f t="shared" si="59"/>
        <v>#DIV/0!</v>
      </c>
    </row>
    <row r="801" spans="1:10" ht="16" thickBot="1" x14ac:dyDescent="0.25">
      <c r="A801" s="44" t="s">
        <v>1</v>
      </c>
      <c r="B801" s="33"/>
      <c r="C801" s="33"/>
      <c r="D801" s="33" t="s">
        <v>43</v>
      </c>
      <c r="E801" s="34"/>
      <c r="F801" s="9" t="s">
        <v>0</v>
      </c>
      <c r="G801" s="18">
        <v>44159</v>
      </c>
      <c r="H801" s="35" t="s">
        <v>24</v>
      </c>
      <c r="I801" s="36"/>
      <c r="J801" s="1">
        <v>110</v>
      </c>
    </row>
    <row r="802" spans="1:10" ht="16" thickBot="1" x14ac:dyDescent="0.25">
      <c r="A802" s="37" t="s">
        <v>2</v>
      </c>
      <c r="B802" s="38"/>
      <c r="C802" s="38"/>
      <c r="D802" s="38"/>
      <c r="E802" s="39"/>
      <c r="F802" s="40"/>
      <c r="G802" s="41"/>
      <c r="H802" s="42" t="s">
        <v>25</v>
      </c>
      <c r="I802" s="43"/>
      <c r="J802" s="2">
        <v>50</v>
      </c>
    </row>
    <row r="803" spans="1:10" ht="16" thickBot="1" x14ac:dyDescent="0.25">
      <c r="A803" s="45" t="s">
        <v>27</v>
      </c>
      <c r="B803" s="27"/>
      <c r="C803" s="27"/>
      <c r="D803" s="27" t="s">
        <v>33</v>
      </c>
      <c r="E803" s="28"/>
      <c r="F803" s="16" t="s">
        <v>30</v>
      </c>
      <c r="G803" s="16">
        <v>3.81</v>
      </c>
      <c r="H803" s="29" t="s">
        <v>26</v>
      </c>
      <c r="I803" s="30"/>
      <c r="J803" s="3">
        <v>73</v>
      </c>
    </row>
    <row r="804" spans="1:10" x14ac:dyDescent="0.2">
      <c r="A804" s="31"/>
      <c r="B804" s="32"/>
      <c r="C804" s="16" t="s">
        <v>29</v>
      </c>
      <c r="D804" s="16" t="s">
        <v>19</v>
      </c>
      <c r="E804" s="16" t="s">
        <v>15</v>
      </c>
      <c r="F804" s="16" t="s">
        <v>18</v>
      </c>
      <c r="G804" s="16" t="s">
        <v>17</v>
      </c>
      <c r="H804" s="16" t="s">
        <v>28</v>
      </c>
      <c r="I804" s="16" t="s">
        <v>16</v>
      </c>
      <c r="J804" s="17" t="s">
        <v>23</v>
      </c>
    </row>
    <row r="805" spans="1:10" x14ac:dyDescent="0.2">
      <c r="A805" s="19" t="s">
        <v>3</v>
      </c>
      <c r="B805" s="5" t="s">
        <v>20</v>
      </c>
      <c r="C805" s="22">
        <v>10</v>
      </c>
      <c r="D805" s="4"/>
      <c r="E805" s="4">
        <v>2.4319999999999999</v>
      </c>
      <c r="F805" s="4">
        <v>3.1360000000000001</v>
      </c>
      <c r="G805" s="4">
        <v>5.0949999999999998</v>
      </c>
      <c r="H805" s="4">
        <f>(F805-(G805-E805))/F805</f>
        <v>0.15082908163265316</v>
      </c>
      <c r="I805" s="4">
        <f>D805-H805*D805</f>
        <v>0</v>
      </c>
      <c r="J805" s="10">
        <f t="shared" ref="J805:J840" si="62">I805/($G$3^2*C805*PI())</f>
        <v>0</v>
      </c>
    </row>
    <row r="806" spans="1:10" x14ac:dyDescent="0.2">
      <c r="A806" s="20"/>
      <c r="B806" s="6" t="s">
        <v>21</v>
      </c>
      <c r="C806" s="23"/>
      <c r="D806">
        <v>835</v>
      </c>
      <c r="E806">
        <v>2.456</v>
      </c>
      <c r="F806">
        <v>3.2639999999999998</v>
      </c>
      <c r="G806">
        <v>5.2439999999999998</v>
      </c>
      <c r="H806">
        <f t="shared" ref="H806:H840" si="63">(F806-(G806-E806))/F806</f>
        <v>0.14583333333333334</v>
      </c>
      <c r="I806">
        <f t="shared" ref="I806:I840" si="64">D806-H806*D806</f>
        <v>713.22916666666663</v>
      </c>
      <c r="J806" s="11" t="e">
        <f t="shared" si="62"/>
        <v>#DIV/0!</v>
      </c>
    </row>
    <row r="807" spans="1:10" x14ac:dyDescent="0.2">
      <c r="A807" s="25"/>
      <c r="B807" s="8" t="s">
        <v>22</v>
      </c>
      <c r="C807" s="26"/>
      <c r="D807" s="7"/>
      <c r="E807" s="7">
        <v>2.4340000000000002</v>
      </c>
      <c r="F807" s="7">
        <v>3.1019999999999999</v>
      </c>
      <c r="G807" s="7">
        <v>5.1040000000000001</v>
      </c>
      <c r="H807" s="7">
        <f t="shared" si="63"/>
        <v>0.13926499032882012</v>
      </c>
      <c r="I807" s="7">
        <f t="shared" si="64"/>
        <v>0</v>
      </c>
      <c r="J807" s="12" t="e">
        <f t="shared" si="62"/>
        <v>#DIV/0!</v>
      </c>
    </row>
    <row r="808" spans="1:10" x14ac:dyDescent="0.2">
      <c r="A808" s="19" t="s">
        <v>4</v>
      </c>
      <c r="B808" s="5" t="s">
        <v>20</v>
      </c>
      <c r="C808" s="23">
        <v>10</v>
      </c>
      <c r="E808">
        <v>2.41</v>
      </c>
      <c r="F808">
        <v>3.2440000000000002</v>
      </c>
      <c r="G808">
        <v>5.2350000000000003</v>
      </c>
      <c r="H808" s="4">
        <f t="shared" si="63"/>
        <v>0.12916152897657213</v>
      </c>
      <c r="I808" s="4">
        <f t="shared" si="64"/>
        <v>0</v>
      </c>
      <c r="J808" s="10">
        <f t="shared" si="62"/>
        <v>0</v>
      </c>
    </row>
    <row r="809" spans="1:10" x14ac:dyDescent="0.2">
      <c r="A809" s="20"/>
      <c r="B809" s="6" t="s">
        <v>21</v>
      </c>
      <c r="C809" s="23"/>
      <c r="D809">
        <v>796</v>
      </c>
      <c r="E809">
        <v>2.4500000000000002</v>
      </c>
      <c r="F809">
        <v>3.1909999999999998</v>
      </c>
      <c r="G809">
        <v>5.18</v>
      </c>
      <c r="H809">
        <f t="shared" si="63"/>
        <v>0.14446881855217811</v>
      </c>
      <c r="I809">
        <f t="shared" si="64"/>
        <v>681.00282043246625</v>
      </c>
      <c r="J809" s="11" t="e">
        <f t="shared" si="62"/>
        <v>#DIV/0!</v>
      </c>
    </row>
    <row r="810" spans="1:10" x14ac:dyDescent="0.2">
      <c r="A810" s="25"/>
      <c r="B810" s="8" t="s">
        <v>22</v>
      </c>
      <c r="C810" s="26"/>
      <c r="D810" s="7"/>
      <c r="E810" s="7">
        <v>2.4329999999999998</v>
      </c>
      <c r="F810" s="7">
        <v>3.4079999999999999</v>
      </c>
      <c r="G810" s="7">
        <v>5.3559999999999999</v>
      </c>
      <c r="H810" s="7">
        <f t="shared" si="63"/>
        <v>0.14231220657276991</v>
      </c>
      <c r="I810" s="7">
        <f t="shared" si="64"/>
        <v>0</v>
      </c>
      <c r="J810" s="12" t="e">
        <f t="shared" si="62"/>
        <v>#DIV/0!</v>
      </c>
    </row>
    <row r="811" spans="1:10" x14ac:dyDescent="0.2">
      <c r="A811" s="19" t="s">
        <v>5</v>
      </c>
      <c r="B811" s="5" t="s">
        <v>20</v>
      </c>
      <c r="C811" s="22">
        <v>10</v>
      </c>
      <c r="D811" s="4"/>
      <c r="E811" s="4">
        <v>2.444</v>
      </c>
      <c r="F811" s="4">
        <v>3.161</v>
      </c>
      <c r="G811" s="4">
        <v>5.2149999999999999</v>
      </c>
      <c r="H811" s="4">
        <f t="shared" si="63"/>
        <v>0.12337867763366027</v>
      </c>
      <c r="I811" s="4">
        <f t="shared" si="64"/>
        <v>0</v>
      </c>
      <c r="J811" s="10">
        <f t="shared" si="62"/>
        <v>0</v>
      </c>
    </row>
    <row r="812" spans="1:10" x14ac:dyDescent="0.2">
      <c r="A812" s="20"/>
      <c r="B812" s="6" t="s">
        <v>21</v>
      </c>
      <c r="C812" s="23"/>
      <c r="D812">
        <v>787</v>
      </c>
      <c r="E812">
        <v>2.4580000000000002</v>
      </c>
      <c r="F812">
        <v>3.286</v>
      </c>
      <c r="G812">
        <v>5.3230000000000004</v>
      </c>
      <c r="H812">
        <f t="shared" si="63"/>
        <v>0.12811929397443694</v>
      </c>
      <c r="I812">
        <f t="shared" si="64"/>
        <v>686.17011564211816</v>
      </c>
      <c r="J812" s="11" t="e">
        <f t="shared" si="62"/>
        <v>#DIV/0!</v>
      </c>
    </row>
    <row r="813" spans="1:10" x14ac:dyDescent="0.2">
      <c r="A813" s="25"/>
      <c r="B813" s="8" t="s">
        <v>22</v>
      </c>
      <c r="C813" s="26"/>
      <c r="D813" s="7"/>
      <c r="E813" s="7">
        <v>2.431</v>
      </c>
      <c r="F813" s="7">
        <v>3.4159999999999999</v>
      </c>
      <c r="G813" s="7">
        <v>5.407</v>
      </c>
      <c r="H813" s="7">
        <f t="shared" si="63"/>
        <v>0.12880562060889927</v>
      </c>
      <c r="I813" s="7">
        <f t="shared" si="64"/>
        <v>0</v>
      </c>
      <c r="J813" s="12" t="e">
        <f t="shared" si="62"/>
        <v>#DIV/0!</v>
      </c>
    </row>
    <row r="814" spans="1:10" x14ac:dyDescent="0.2">
      <c r="A814" s="19" t="s">
        <v>6</v>
      </c>
      <c r="B814" s="5" t="s">
        <v>20</v>
      </c>
      <c r="C814" s="22">
        <v>10</v>
      </c>
      <c r="D814" s="4"/>
      <c r="E814" s="4">
        <v>2.4510000000000001</v>
      </c>
      <c r="F814" s="4">
        <v>3.327</v>
      </c>
      <c r="G814" s="4">
        <v>5.3120000000000003</v>
      </c>
      <c r="H814" s="4">
        <f t="shared" si="63"/>
        <v>0.14006612563871348</v>
      </c>
      <c r="I814" s="4">
        <f t="shared" si="64"/>
        <v>0</v>
      </c>
      <c r="J814" s="10">
        <f t="shared" si="62"/>
        <v>0</v>
      </c>
    </row>
    <row r="815" spans="1:10" x14ac:dyDescent="0.2">
      <c r="A815" s="20"/>
      <c r="B815" s="6" t="s">
        <v>21</v>
      </c>
      <c r="C815" s="23"/>
      <c r="D815">
        <v>781</v>
      </c>
      <c r="E815">
        <v>2.4359999999999999</v>
      </c>
      <c r="F815">
        <v>3.61</v>
      </c>
      <c r="G815">
        <v>5.5250000000000004</v>
      </c>
      <c r="H815">
        <f t="shared" si="63"/>
        <v>0.14432132963988906</v>
      </c>
      <c r="I815">
        <f t="shared" si="64"/>
        <v>668.28504155124665</v>
      </c>
      <c r="J815" s="11" t="e">
        <f t="shared" si="62"/>
        <v>#DIV/0!</v>
      </c>
    </row>
    <row r="816" spans="1:10" x14ac:dyDescent="0.2">
      <c r="A816" s="25"/>
      <c r="B816" s="8" t="s">
        <v>22</v>
      </c>
      <c r="C816" s="26"/>
      <c r="D816" s="7"/>
      <c r="E816" s="7">
        <v>2.4340000000000002</v>
      </c>
      <c r="F816" s="7">
        <v>3.105</v>
      </c>
      <c r="G816" s="7">
        <v>5.1219999999999999</v>
      </c>
      <c r="H816" s="7">
        <f t="shared" si="63"/>
        <v>0.13429951690821265</v>
      </c>
      <c r="I816" s="7">
        <f t="shared" si="64"/>
        <v>0</v>
      </c>
      <c r="J816" s="12" t="e">
        <f t="shared" si="62"/>
        <v>#DIV/0!</v>
      </c>
    </row>
    <row r="817" spans="1:10" x14ac:dyDescent="0.2">
      <c r="A817" s="19" t="s">
        <v>7</v>
      </c>
      <c r="B817" s="5" t="s">
        <v>20</v>
      </c>
      <c r="C817" s="22">
        <v>10</v>
      </c>
      <c r="D817" s="4"/>
      <c r="E817" s="4">
        <v>2.492</v>
      </c>
      <c r="F817" s="4">
        <v>3.8090000000000002</v>
      </c>
      <c r="G817" s="4">
        <v>5.766</v>
      </c>
      <c r="H817" s="4">
        <f t="shared" si="63"/>
        <v>0.14045681281176164</v>
      </c>
      <c r="I817" s="4">
        <f t="shared" si="64"/>
        <v>0</v>
      </c>
      <c r="J817" s="10">
        <f t="shared" si="62"/>
        <v>0</v>
      </c>
    </row>
    <row r="818" spans="1:10" x14ac:dyDescent="0.2">
      <c r="A818" s="20"/>
      <c r="B818" s="6" t="s">
        <v>21</v>
      </c>
      <c r="C818" s="23"/>
      <c r="D818">
        <v>754</v>
      </c>
      <c r="E818">
        <v>2.4260000000000002</v>
      </c>
      <c r="F818">
        <v>3.5259999999999998</v>
      </c>
      <c r="G818">
        <v>5.4470000000000001</v>
      </c>
      <c r="H818">
        <f t="shared" si="63"/>
        <v>0.14322178105501984</v>
      </c>
      <c r="I818">
        <f t="shared" si="64"/>
        <v>646.01077708451498</v>
      </c>
      <c r="J818" s="11" t="e">
        <f t="shared" si="62"/>
        <v>#DIV/0!</v>
      </c>
    </row>
    <row r="819" spans="1:10" x14ac:dyDescent="0.2">
      <c r="A819" s="25"/>
      <c r="B819" s="8" t="s">
        <v>22</v>
      </c>
      <c r="C819" s="26"/>
      <c r="D819" s="7"/>
      <c r="E819" s="7">
        <v>2.4700000000000002</v>
      </c>
      <c r="F819" s="7">
        <v>3.1480000000000001</v>
      </c>
      <c r="G819" s="7">
        <v>5.2009999999999996</v>
      </c>
      <c r="H819" s="7">
        <f t="shared" si="63"/>
        <v>0.1324650571791616</v>
      </c>
      <c r="I819" s="7">
        <f t="shared" si="64"/>
        <v>0</v>
      </c>
      <c r="J819" s="12" t="e">
        <f t="shared" si="62"/>
        <v>#DIV/0!</v>
      </c>
    </row>
    <row r="820" spans="1:10" x14ac:dyDescent="0.2">
      <c r="A820" s="19" t="s">
        <v>8</v>
      </c>
      <c r="B820" s="5" t="s">
        <v>20</v>
      </c>
      <c r="C820" s="22">
        <v>10</v>
      </c>
      <c r="D820" s="4"/>
      <c r="E820" s="4">
        <v>2.3959999999999999</v>
      </c>
      <c r="F820" s="4">
        <v>3.8380000000000001</v>
      </c>
      <c r="G820" s="4">
        <v>5.6970000000000001</v>
      </c>
      <c r="H820" s="4">
        <f t="shared" si="63"/>
        <v>0.13991662324127146</v>
      </c>
      <c r="I820" s="4">
        <f t="shared" si="64"/>
        <v>0</v>
      </c>
      <c r="J820" s="10">
        <f t="shared" si="62"/>
        <v>0</v>
      </c>
    </row>
    <row r="821" spans="1:10" x14ac:dyDescent="0.2">
      <c r="A821" s="20"/>
      <c r="B821" s="6" t="s">
        <v>21</v>
      </c>
      <c r="C821" s="23"/>
      <c r="D821">
        <v>749</v>
      </c>
      <c r="E821">
        <v>2.419</v>
      </c>
      <c r="F821">
        <v>3.226</v>
      </c>
      <c r="G821">
        <v>5.1989999999999998</v>
      </c>
      <c r="H821">
        <f t="shared" si="63"/>
        <v>0.13825170489770619</v>
      </c>
      <c r="I821">
        <f t="shared" si="64"/>
        <v>645.44947303161803</v>
      </c>
      <c r="J821" s="11" t="e">
        <f t="shared" si="62"/>
        <v>#DIV/0!</v>
      </c>
    </row>
    <row r="822" spans="1:10" x14ac:dyDescent="0.2">
      <c r="A822" s="25"/>
      <c r="B822" s="8" t="s">
        <v>22</v>
      </c>
      <c r="C822" s="26"/>
      <c r="D822" s="7"/>
      <c r="E822" s="7">
        <v>2.4510000000000001</v>
      </c>
      <c r="F822" s="7">
        <v>3.3079999999999998</v>
      </c>
      <c r="G822" s="7">
        <v>5.3140000000000001</v>
      </c>
      <c r="H822" s="7">
        <f t="shared" si="63"/>
        <v>0.13452237001209186</v>
      </c>
      <c r="I822" s="7">
        <f t="shared" si="64"/>
        <v>0</v>
      </c>
      <c r="J822" s="12" t="e">
        <f t="shared" si="62"/>
        <v>#DIV/0!</v>
      </c>
    </row>
    <row r="823" spans="1:10" x14ac:dyDescent="0.2">
      <c r="A823" s="19" t="s">
        <v>9</v>
      </c>
      <c r="B823" s="5" t="s">
        <v>20</v>
      </c>
      <c r="C823" s="22">
        <v>10</v>
      </c>
      <c r="D823" s="4"/>
      <c r="E823" s="4">
        <v>2.4180000000000001</v>
      </c>
      <c r="F823" s="4">
        <v>3.4369999999999998</v>
      </c>
      <c r="G823" s="4">
        <v>5.44</v>
      </c>
      <c r="H823" s="4">
        <f t="shared" si="63"/>
        <v>0.12074483561245261</v>
      </c>
      <c r="I823" s="4">
        <f t="shared" si="64"/>
        <v>0</v>
      </c>
      <c r="J823" s="10">
        <f t="shared" si="62"/>
        <v>0</v>
      </c>
    </row>
    <row r="824" spans="1:10" x14ac:dyDescent="0.2">
      <c r="A824" s="20"/>
      <c r="B824" s="6" t="s">
        <v>21</v>
      </c>
      <c r="C824" s="23"/>
      <c r="D824">
        <v>835</v>
      </c>
      <c r="E824">
        <v>2.4630000000000001</v>
      </c>
      <c r="F824">
        <v>3.621</v>
      </c>
      <c r="G824">
        <v>5.6719999999999997</v>
      </c>
      <c r="H824">
        <f t="shared" si="63"/>
        <v>0.11378072355702855</v>
      </c>
      <c r="I824">
        <f t="shared" si="64"/>
        <v>739.99309582988121</v>
      </c>
      <c r="J824" s="11" t="e">
        <f t="shared" si="62"/>
        <v>#DIV/0!</v>
      </c>
    </row>
    <row r="825" spans="1:10" x14ac:dyDescent="0.2">
      <c r="A825" s="25"/>
      <c r="B825" s="8" t="s">
        <v>22</v>
      </c>
      <c r="C825" s="26"/>
      <c r="D825" s="7"/>
      <c r="E825" s="7">
        <v>0.48499999999999999</v>
      </c>
      <c r="F825" s="7">
        <v>3.2370000000000001</v>
      </c>
      <c r="G825" s="7">
        <v>5.3319999999999999</v>
      </c>
      <c r="H825" s="7">
        <f t="shared" si="63"/>
        <v>-0.49737411183194297</v>
      </c>
      <c r="I825" s="7">
        <f t="shared" si="64"/>
        <v>0</v>
      </c>
      <c r="J825" s="12" t="e">
        <f t="shared" si="62"/>
        <v>#DIV/0!</v>
      </c>
    </row>
    <row r="826" spans="1:10" x14ac:dyDescent="0.2">
      <c r="A826" s="19" t="s">
        <v>10</v>
      </c>
      <c r="B826" s="5" t="s">
        <v>20</v>
      </c>
      <c r="C826" s="22">
        <v>10</v>
      </c>
      <c r="D826" s="4"/>
      <c r="E826" s="4">
        <v>2.4350000000000001</v>
      </c>
      <c r="F826" s="4">
        <v>3.093</v>
      </c>
      <c r="G826" s="4">
        <v>5.1820000000000004</v>
      </c>
      <c r="H826" s="4">
        <f t="shared" si="63"/>
        <v>0.11186550274814085</v>
      </c>
      <c r="I826" s="4">
        <f t="shared" si="64"/>
        <v>0</v>
      </c>
      <c r="J826" s="10">
        <f t="shared" si="62"/>
        <v>0</v>
      </c>
    </row>
    <row r="827" spans="1:10" x14ac:dyDescent="0.2">
      <c r="A827" s="20"/>
      <c r="B827" s="6" t="s">
        <v>21</v>
      </c>
      <c r="C827" s="23"/>
      <c r="D827">
        <v>813</v>
      </c>
      <c r="E827">
        <v>2.4209999999999998</v>
      </c>
      <c r="F827">
        <v>3.2080000000000002</v>
      </c>
      <c r="G827" t="s">
        <v>44</v>
      </c>
      <c r="H827" t="e">
        <f t="shared" si="63"/>
        <v>#VALUE!</v>
      </c>
      <c r="I827" t="e">
        <f t="shared" si="64"/>
        <v>#VALUE!</v>
      </c>
      <c r="J827" s="11" t="e">
        <f t="shared" si="62"/>
        <v>#VALUE!</v>
      </c>
    </row>
    <row r="828" spans="1:10" x14ac:dyDescent="0.2">
      <c r="A828" s="25"/>
      <c r="B828" s="8" t="s">
        <v>22</v>
      </c>
      <c r="C828" s="26"/>
      <c r="D828" s="7"/>
      <c r="E828" s="7">
        <v>2.4409999999999998</v>
      </c>
      <c r="F828" s="7">
        <v>3.141</v>
      </c>
      <c r="G828" s="7">
        <v>5.1920000000000002</v>
      </c>
      <c r="H828" s="7">
        <f t="shared" si="63"/>
        <v>0.12416427889207249</v>
      </c>
      <c r="I828" s="7">
        <f t="shared" si="64"/>
        <v>0</v>
      </c>
      <c r="J828" s="12" t="e">
        <f t="shared" si="62"/>
        <v>#DIV/0!</v>
      </c>
    </row>
    <row r="829" spans="1:10" x14ac:dyDescent="0.2">
      <c r="A829" s="19" t="s">
        <v>11</v>
      </c>
      <c r="B829" s="5" t="s">
        <v>20</v>
      </c>
      <c r="C829" s="22">
        <v>10</v>
      </c>
      <c r="D829" s="4"/>
      <c r="E829" s="4">
        <v>2.427</v>
      </c>
      <c r="F829" s="4">
        <v>3.036</v>
      </c>
      <c r="G829" s="4">
        <v>5.0890000000000004</v>
      </c>
      <c r="H829" s="4">
        <f t="shared" si="63"/>
        <v>0.12318840579710134</v>
      </c>
      <c r="I829" s="4">
        <f t="shared" si="64"/>
        <v>0</v>
      </c>
      <c r="J829" s="10">
        <f t="shared" si="62"/>
        <v>0</v>
      </c>
    </row>
    <row r="830" spans="1:10" x14ac:dyDescent="0.2">
      <c r="A830" s="20"/>
      <c r="B830" s="6" t="s">
        <v>21</v>
      </c>
      <c r="C830" s="23"/>
      <c r="D830">
        <v>878</v>
      </c>
      <c r="E830">
        <v>2.4540000000000002</v>
      </c>
      <c r="F830">
        <v>3.4510000000000001</v>
      </c>
      <c r="G830">
        <v>5.4820000000000002</v>
      </c>
      <c r="H830">
        <f t="shared" si="63"/>
        <v>0.12257316719791365</v>
      </c>
      <c r="I830">
        <f t="shared" si="64"/>
        <v>770.38075920023175</v>
      </c>
      <c r="J830" s="11" t="e">
        <f t="shared" si="62"/>
        <v>#DIV/0!</v>
      </c>
    </row>
    <row r="831" spans="1:10" x14ac:dyDescent="0.2">
      <c r="A831" s="25"/>
      <c r="B831" s="8" t="s">
        <v>22</v>
      </c>
      <c r="C831" s="26"/>
      <c r="D831" s="7"/>
      <c r="E831" s="7">
        <v>2.4420000000000002</v>
      </c>
      <c r="F831" s="7">
        <v>3.121</v>
      </c>
      <c r="G831" s="7">
        <v>5.1740000000000004</v>
      </c>
      <c r="H831" s="7">
        <f t="shared" si="63"/>
        <v>0.12463953860941999</v>
      </c>
      <c r="I831" s="7">
        <f t="shared" si="64"/>
        <v>0</v>
      </c>
      <c r="J831" s="12" t="e">
        <f t="shared" si="62"/>
        <v>#DIV/0!</v>
      </c>
    </row>
    <row r="832" spans="1:10" x14ac:dyDescent="0.2">
      <c r="A832" s="19" t="s">
        <v>12</v>
      </c>
      <c r="B832" s="5" t="s">
        <v>20</v>
      </c>
      <c r="C832" s="22">
        <v>10</v>
      </c>
      <c r="D832" s="4"/>
      <c r="E832" s="4">
        <v>2.468</v>
      </c>
      <c r="F832" s="4">
        <v>3.3580000000000001</v>
      </c>
      <c r="G832" s="4">
        <v>5.4279999999999999</v>
      </c>
      <c r="H832" s="4">
        <f t="shared" si="63"/>
        <v>0.11852293031566412</v>
      </c>
      <c r="I832" s="4">
        <f t="shared" si="64"/>
        <v>0</v>
      </c>
      <c r="J832" s="10">
        <f t="shared" si="62"/>
        <v>0</v>
      </c>
    </row>
    <row r="833" spans="1:10" x14ac:dyDescent="0.2">
      <c r="A833" s="20"/>
      <c r="B833" s="6" t="s">
        <v>21</v>
      </c>
      <c r="C833" s="23"/>
      <c r="D833">
        <v>833</v>
      </c>
      <c r="E833">
        <v>2.452</v>
      </c>
      <c r="F833">
        <v>3.4780000000000002</v>
      </c>
      <c r="G833">
        <v>5.57</v>
      </c>
      <c r="H833">
        <f t="shared" si="63"/>
        <v>0.10350776308223113</v>
      </c>
      <c r="I833">
        <f t="shared" si="64"/>
        <v>746.77803335250144</v>
      </c>
      <c r="J833" s="11" t="e">
        <f t="shared" si="62"/>
        <v>#DIV/0!</v>
      </c>
    </row>
    <row r="834" spans="1:10" x14ac:dyDescent="0.2">
      <c r="A834" s="25"/>
      <c r="B834" s="8" t="s">
        <v>22</v>
      </c>
      <c r="C834" s="26"/>
      <c r="D834" s="7"/>
      <c r="E834" s="7">
        <v>2.4529999999999998</v>
      </c>
      <c r="F834" s="7">
        <v>3.609</v>
      </c>
      <c r="G834" s="7">
        <v>5.64</v>
      </c>
      <c r="H834" s="7">
        <f t="shared" si="63"/>
        <v>0.11692989747852595</v>
      </c>
      <c r="I834" s="7">
        <f t="shared" si="64"/>
        <v>0</v>
      </c>
      <c r="J834" s="12" t="e">
        <f t="shared" si="62"/>
        <v>#DIV/0!</v>
      </c>
    </row>
    <row r="835" spans="1:10" x14ac:dyDescent="0.2">
      <c r="A835" s="19" t="s">
        <v>13</v>
      </c>
      <c r="B835" s="5" t="s">
        <v>20</v>
      </c>
      <c r="C835" s="22">
        <v>10</v>
      </c>
      <c r="D835" s="4"/>
      <c r="E835" s="4">
        <v>2.4609999999999999</v>
      </c>
      <c r="F835" s="4">
        <v>3.2639999999999998</v>
      </c>
      <c r="G835" s="4">
        <v>5.391</v>
      </c>
      <c r="H835" s="4">
        <f t="shared" si="63"/>
        <v>0.10232843137254892</v>
      </c>
      <c r="I835" s="4">
        <f t="shared" si="64"/>
        <v>0</v>
      </c>
      <c r="J835" s="10">
        <f t="shared" si="62"/>
        <v>0</v>
      </c>
    </row>
    <row r="836" spans="1:10" x14ac:dyDescent="0.2">
      <c r="A836" s="20"/>
      <c r="B836" s="6" t="s">
        <v>21</v>
      </c>
      <c r="C836" s="23"/>
      <c r="D836">
        <v>556</v>
      </c>
      <c r="E836">
        <v>2.4550000000000001</v>
      </c>
      <c r="F836">
        <v>3.7149999999999999</v>
      </c>
      <c r="G836">
        <v>5.7939999999999996</v>
      </c>
      <c r="H836">
        <f t="shared" si="63"/>
        <v>0.10121130551816968</v>
      </c>
      <c r="I836">
        <f t="shared" si="64"/>
        <v>499.72651413189766</v>
      </c>
      <c r="J836" s="11" t="e">
        <f t="shared" si="62"/>
        <v>#DIV/0!</v>
      </c>
    </row>
    <row r="837" spans="1:10" x14ac:dyDescent="0.2">
      <c r="A837" s="25"/>
      <c r="B837" s="8" t="s">
        <v>22</v>
      </c>
      <c r="C837" s="26"/>
      <c r="D837" s="7"/>
      <c r="E837" s="7">
        <v>2.4430000000000001</v>
      </c>
      <c r="F837" s="7">
        <v>3.88</v>
      </c>
      <c r="G837" s="7">
        <v>5.8929999999999998</v>
      </c>
      <c r="H837" s="7">
        <f t="shared" si="63"/>
        <v>0.11082474226804129</v>
      </c>
      <c r="I837" s="7">
        <f t="shared" si="64"/>
        <v>0</v>
      </c>
      <c r="J837" s="12" t="e">
        <f t="shared" si="62"/>
        <v>#DIV/0!</v>
      </c>
    </row>
    <row r="838" spans="1:10" x14ac:dyDescent="0.2">
      <c r="A838" s="19" t="s">
        <v>14</v>
      </c>
      <c r="B838" s="5" t="s">
        <v>20</v>
      </c>
      <c r="C838" s="22">
        <v>10</v>
      </c>
      <c r="D838" s="4"/>
      <c r="E838" s="4"/>
      <c r="F838" s="4"/>
      <c r="G838" s="4"/>
      <c r="H838" s="4" t="e">
        <f t="shared" si="63"/>
        <v>#DIV/0!</v>
      </c>
      <c r="I838" s="4" t="e">
        <f t="shared" si="64"/>
        <v>#DIV/0!</v>
      </c>
      <c r="J838" s="10" t="e">
        <f t="shared" si="62"/>
        <v>#DIV/0!</v>
      </c>
    </row>
    <row r="839" spans="1:10" x14ac:dyDescent="0.2">
      <c r="A839" s="20"/>
      <c r="B839" s="6" t="s">
        <v>21</v>
      </c>
      <c r="C839" s="23"/>
      <c r="H839" t="e">
        <f t="shared" si="63"/>
        <v>#DIV/0!</v>
      </c>
      <c r="I839" t="e">
        <f t="shared" si="64"/>
        <v>#DIV/0!</v>
      </c>
      <c r="J839" s="11" t="e">
        <f t="shared" si="62"/>
        <v>#DIV/0!</v>
      </c>
    </row>
    <row r="840" spans="1:10" ht="16" thickBot="1" x14ac:dyDescent="0.25">
      <c r="A840" s="21"/>
      <c r="B840" s="15" t="s">
        <v>22</v>
      </c>
      <c r="C840" s="24"/>
      <c r="D840" s="13"/>
      <c r="E840" s="13"/>
      <c r="F840" s="13"/>
      <c r="G840" s="13"/>
      <c r="H840" s="13" t="e">
        <f t="shared" si="63"/>
        <v>#DIV/0!</v>
      </c>
      <c r="I840" s="13" t="e">
        <f t="shared" si="64"/>
        <v>#DIV/0!</v>
      </c>
      <c r="J840" s="14" t="e">
        <f t="shared" si="62"/>
        <v>#DIV/0!</v>
      </c>
    </row>
    <row r="841" spans="1:10" ht="16" thickBot="1" x14ac:dyDescent="0.25">
      <c r="A841" s="44" t="s">
        <v>1</v>
      </c>
      <c r="B841" s="33"/>
      <c r="C841" s="33"/>
      <c r="D841" s="33" t="s">
        <v>43</v>
      </c>
      <c r="E841" s="34"/>
      <c r="F841" s="9" t="s">
        <v>0</v>
      </c>
      <c r="G841" s="18">
        <v>44159</v>
      </c>
      <c r="H841" s="35" t="s">
        <v>24</v>
      </c>
      <c r="I841" s="36"/>
      <c r="J841" s="1">
        <v>110</v>
      </c>
    </row>
    <row r="842" spans="1:10" ht="16" thickBot="1" x14ac:dyDescent="0.25">
      <c r="A842" s="37" t="s">
        <v>2</v>
      </c>
      <c r="B842" s="38"/>
      <c r="C842" s="38"/>
      <c r="D842" s="38"/>
      <c r="E842" s="39"/>
      <c r="F842" s="40"/>
      <c r="G842" s="41"/>
      <c r="H842" s="42" t="s">
        <v>25</v>
      </c>
      <c r="I842" s="43"/>
      <c r="J842" s="2">
        <v>27</v>
      </c>
    </row>
    <row r="843" spans="1:10" ht="16" thickBot="1" x14ac:dyDescent="0.25">
      <c r="A843" s="45" t="s">
        <v>27</v>
      </c>
      <c r="B843" s="27"/>
      <c r="C843" s="27"/>
      <c r="D843" s="27" t="s">
        <v>32</v>
      </c>
      <c r="E843" s="28"/>
      <c r="F843" s="16" t="s">
        <v>30</v>
      </c>
      <c r="G843" s="16">
        <v>3.81</v>
      </c>
      <c r="H843" s="29" t="s">
        <v>26</v>
      </c>
      <c r="I843" s="30"/>
      <c r="J843" s="3">
        <v>69</v>
      </c>
    </row>
    <row r="844" spans="1:10" x14ac:dyDescent="0.2">
      <c r="A844" s="31"/>
      <c r="B844" s="32"/>
      <c r="C844" s="16" t="s">
        <v>29</v>
      </c>
      <c r="D844" s="16" t="s">
        <v>19</v>
      </c>
      <c r="E844" s="16" t="s">
        <v>15</v>
      </c>
      <c r="F844" s="16" t="s">
        <v>18</v>
      </c>
      <c r="G844" s="16" t="s">
        <v>17</v>
      </c>
      <c r="H844" s="16" t="s">
        <v>28</v>
      </c>
      <c r="I844" s="16" t="s">
        <v>16</v>
      </c>
      <c r="J844" s="17" t="s">
        <v>23</v>
      </c>
    </row>
    <row r="845" spans="1:10" x14ac:dyDescent="0.2">
      <c r="A845" s="19" t="s">
        <v>3</v>
      </c>
      <c r="B845" s="5" t="s">
        <v>20</v>
      </c>
      <c r="C845" s="22">
        <v>10</v>
      </c>
      <c r="D845" s="4"/>
      <c r="E845" s="4">
        <v>2.4409999999999998</v>
      </c>
      <c r="F845" s="4">
        <v>3.4820000000000002</v>
      </c>
      <c r="G845" s="4">
        <v>5.3380000000000001</v>
      </c>
      <c r="H845" s="4">
        <f>(F845-(G845-E845))/F845</f>
        <v>0.16800689259046522</v>
      </c>
      <c r="I845" s="4">
        <f>D845-H845*D845</f>
        <v>0</v>
      </c>
      <c r="J845" s="10">
        <f t="shared" ref="J845:J880" si="65">I845/($G$3^2*C845*PI())</f>
        <v>0</v>
      </c>
    </row>
    <row r="846" spans="1:10" x14ac:dyDescent="0.2">
      <c r="A846" s="20"/>
      <c r="B846" s="6" t="s">
        <v>21</v>
      </c>
      <c r="C846" s="23"/>
      <c r="D846">
        <v>756</v>
      </c>
      <c r="E846">
        <v>5.452</v>
      </c>
      <c r="F846">
        <v>3.7530000000000001</v>
      </c>
      <c r="G846">
        <v>5.5460000000000003</v>
      </c>
      <c r="H846">
        <f t="shared" ref="H846:H880" si="66">(F846-(G846-E846))/F846</f>
        <v>0.97495337063682375</v>
      </c>
      <c r="I846">
        <f t="shared" ref="I846:I880" si="67">D846-H846*D846</f>
        <v>18.935251798561239</v>
      </c>
      <c r="J846" s="11" t="e">
        <f t="shared" si="65"/>
        <v>#DIV/0!</v>
      </c>
    </row>
    <row r="847" spans="1:10" x14ac:dyDescent="0.2">
      <c r="A847" s="25"/>
      <c r="B847" s="8" t="s">
        <v>22</v>
      </c>
      <c r="C847" s="26"/>
      <c r="D847" s="7"/>
      <c r="E847" s="7">
        <v>2.448</v>
      </c>
      <c r="F847" s="7">
        <v>3.3250000000000002</v>
      </c>
      <c r="G847" s="7">
        <v>5.2</v>
      </c>
      <c r="H847" s="7">
        <f t="shared" si="66"/>
        <v>0.17233082706766914</v>
      </c>
      <c r="I847" s="7">
        <f t="shared" si="67"/>
        <v>0</v>
      </c>
      <c r="J847" s="12" t="e">
        <f t="shared" si="65"/>
        <v>#DIV/0!</v>
      </c>
    </row>
    <row r="848" spans="1:10" x14ac:dyDescent="0.2">
      <c r="A848" s="19" t="s">
        <v>4</v>
      </c>
      <c r="B848" s="5" t="s">
        <v>20</v>
      </c>
      <c r="C848" s="23">
        <v>10</v>
      </c>
      <c r="E848">
        <v>2.4329999999999998</v>
      </c>
      <c r="F848">
        <v>3.528</v>
      </c>
      <c r="G848">
        <v>5.359</v>
      </c>
      <c r="H848" s="4">
        <f t="shared" si="66"/>
        <v>0.17063492063492058</v>
      </c>
      <c r="I848" s="4">
        <f t="shared" si="67"/>
        <v>0</v>
      </c>
      <c r="J848" s="10">
        <f t="shared" si="65"/>
        <v>0</v>
      </c>
    </row>
    <row r="849" spans="1:10" x14ac:dyDescent="0.2">
      <c r="A849" s="20"/>
      <c r="B849" s="6" t="s">
        <v>21</v>
      </c>
      <c r="C849" s="23"/>
      <c r="D849">
        <v>753</v>
      </c>
      <c r="E849">
        <v>2.4350000000000001</v>
      </c>
      <c r="F849">
        <v>3.1629999999999998</v>
      </c>
      <c r="G849">
        <v>5.0789999999999997</v>
      </c>
      <c r="H849">
        <f t="shared" si="66"/>
        <v>0.16408472968700605</v>
      </c>
      <c r="I849">
        <f t="shared" si="67"/>
        <v>629.44419854568446</v>
      </c>
      <c r="J849" s="11" t="e">
        <f t="shared" si="65"/>
        <v>#DIV/0!</v>
      </c>
    </row>
    <row r="850" spans="1:10" x14ac:dyDescent="0.2">
      <c r="A850" s="25"/>
      <c r="B850" s="8" t="s">
        <v>22</v>
      </c>
      <c r="C850" s="26"/>
      <c r="D850" s="7"/>
      <c r="E850" s="7">
        <v>2.431</v>
      </c>
      <c r="F850" s="7">
        <v>3.4449999999999998</v>
      </c>
      <c r="G850" s="7">
        <v>5.2949999999999999</v>
      </c>
      <c r="H850" s="7">
        <f t="shared" si="66"/>
        <v>0.16865021770682148</v>
      </c>
      <c r="I850" s="7">
        <f t="shared" si="67"/>
        <v>0</v>
      </c>
      <c r="J850" s="12" t="e">
        <f t="shared" si="65"/>
        <v>#DIV/0!</v>
      </c>
    </row>
    <row r="851" spans="1:10" x14ac:dyDescent="0.2">
      <c r="A851" s="19" t="s">
        <v>5</v>
      </c>
      <c r="B851" s="5" t="s">
        <v>20</v>
      </c>
      <c r="C851" s="22">
        <v>10</v>
      </c>
      <c r="D851" s="4"/>
      <c r="E851" s="4">
        <v>2.4510000000000001</v>
      </c>
      <c r="F851" s="4">
        <v>3.2080000000000002</v>
      </c>
      <c r="G851" s="4">
        <v>5.19</v>
      </c>
      <c r="H851" s="4">
        <f t="shared" si="66"/>
        <v>0.14619700748129671</v>
      </c>
      <c r="I851" s="4">
        <f t="shared" si="67"/>
        <v>0</v>
      </c>
      <c r="J851" s="10">
        <f t="shared" si="65"/>
        <v>0</v>
      </c>
    </row>
    <row r="852" spans="1:10" x14ac:dyDescent="0.2">
      <c r="A852" s="20"/>
      <c r="B852" s="6" t="s">
        <v>21</v>
      </c>
      <c r="C852" s="23"/>
      <c r="D852">
        <v>766</v>
      </c>
      <c r="E852">
        <v>2.4609999999999999</v>
      </c>
      <c r="F852">
        <v>3.206</v>
      </c>
      <c r="G852">
        <v>5.16</v>
      </c>
      <c r="H852">
        <f t="shared" si="66"/>
        <v>0.15814098565190257</v>
      </c>
      <c r="I852">
        <f t="shared" si="67"/>
        <v>644.86400499064257</v>
      </c>
      <c r="J852" s="11" t="e">
        <f t="shared" si="65"/>
        <v>#DIV/0!</v>
      </c>
    </row>
    <row r="853" spans="1:10" x14ac:dyDescent="0.2">
      <c r="A853" s="25"/>
      <c r="B853" s="8" t="s">
        <v>22</v>
      </c>
      <c r="C853" s="26"/>
      <c r="D853" s="7"/>
      <c r="E853" s="7">
        <v>2.4500000000000002</v>
      </c>
      <c r="F853" s="7">
        <v>3.3159999999999998</v>
      </c>
      <c r="G853" s="7">
        <v>5.2460000000000004</v>
      </c>
      <c r="H853" s="7">
        <f t="shared" si="66"/>
        <v>0.15681544028950531</v>
      </c>
      <c r="I853" s="7">
        <f t="shared" si="67"/>
        <v>0</v>
      </c>
      <c r="J853" s="12" t="e">
        <f t="shared" si="65"/>
        <v>#DIV/0!</v>
      </c>
    </row>
    <row r="854" spans="1:10" x14ac:dyDescent="0.2">
      <c r="A854" s="19" t="s">
        <v>6</v>
      </c>
      <c r="B854" s="5" t="s">
        <v>20</v>
      </c>
      <c r="C854" s="22">
        <v>10</v>
      </c>
      <c r="D854" s="4"/>
      <c r="E854" s="4">
        <v>2.4489999999999998</v>
      </c>
      <c r="F854" s="4">
        <v>3.137</v>
      </c>
      <c r="G854" s="4">
        <v>2.1339999999999999</v>
      </c>
      <c r="H854" s="4">
        <f t="shared" si="66"/>
        <v>1.1004144086707044</v>
      </c>
      <c r="I854" s="4">
        <f t="shared" si="67"/>
        <v>0</v>
      </c>
      <c r="J854" s="10">
        <f t="shared" si="65"/>
        <v>0</v>
      </c>
    </row>
    <row r="855" spans="1:10" x14ac:dyDescent="0.2">
      <c r="A855" s="20"/>
      <c r="B855" s="6" t="s">
        <v>21</v>
      </c>
      <c r="C855" s="23"/>
      <c r="D855">
        <v>828</v>
      </c>
      <c r="E855">
        <v>2.4369999999999998</v>
      </c>
      <c r="F855">
        <v>3.3</v>
      </c>
      <c r="G855">
        <v>2.2490000000000001</v>
      </c>
      <c r="H855">
        <f t="shared" si="66"/>
        <v>1.0569696969696969</v>
      </c>
      <c r="I855">
        <f t="shared" si="67"/>
        <v>-47.170909090909049</v>
      </c>
      <c r="J855" s="11" t="e">
        <f t="shared" si="65"/>
        <v>#DIV/0!</v>
      </c>
    </row>
    <row r="856" spans="1:10" x14ac:dyDescent="0.2">
      <c r="A856" s="25"/>
      <c r="B856" s="8" t="s">
        <v>22</v>
      </c>
      <c r="C856" s="26"/>
      <c r="D856" s="7"/>
      <c r="E856" s="7">
        <v>2.4359999999999999</v>
      </c>
      <c r="F856" s="7">
        <v>3.7309999999999999</v>
      </c>
      <c r="G856" s="7">
        <v>2.621</v>
      </c>
      <c r="H856" s="7">
        <f t="shared" si="66"/>
        <v>0.95041543822031627</v>
      </c>
      <c r="I856" s="7">
        <f t="shared" si="67"/>
        <v>0</v>
      </c>
      <c r="J856" s="12" t="e">
        <f t="shared" si="65"/>
        <v>#DIV/0!</v>
      </c>
    </row>
    <row r="857" spans="1:10" x14ac:dyDescent="0.2">
      <c r="A857" s="19" t="s">
        <v>7</v>
      </c>
      <c r="B857" s="5" t="s">
        <v>20</v>
      </c>
      <c r="C857" s="22">
        <v>10</v>
      </c>
      <c r="D857" s="4"/>
      <c r="E857" s="4">
        <v>2.4340000000000002</v>
      </c>
      <c r="F857" s="4">
        <v>3.0350000000000001</v>
      </c>
      <c r="G857" s="4">
        <v>2.0190000000000001</v>
      </c>
      <c r="H857" s="4">
        <f t="shared" si="66"/>
        <v>1.1367380560131797</v>
      </c>
      <c r="I857" s="4">
        <f t="shared" si="67"/>
        <v>0</v>
      </c>
      <c r="J857" s="10">
        <f t="shared" si="65"/>
        <v>0</v>
      </c>
    </row>
    <row r="858" spans="1:10" x14ac:dyDescent="0.2">
      <c r="A858" s="20"/>
      <c r="B858" s="6" t="s">
        <v>21</v>
      </c>
      <c r="C858" s="23"/>
      <c r="D858">
        <v>838</v>
      </c>
      <c r="E858">
        <v>2.427</v>
      </c>
      <c r="F858">
        <v>3.024</v>
      </c>
      <c r="G858">
        <v>2.9780000000000002</v>
      </c>
      <c r="H858">
        <f t="shared" si="66"/>
        <v>0.81779100529100524</v>
      </c>
      <c r="I858">
        <f t="shared" si="67"/>
        <v>152.69113756613763</v>
      </c>
      <c r="J858" s="11" t="e">
        <f t="shared" si="65"/>
        <v>#DIV/0!</v>
      </c>
    </row>
    <row r="859" spans="1:10" x14ac:dyDescent="0.2">
      <c r="A859" s="25"/>
      <c r="B859" s="8" t="s">
        <v>22</v>
      </c>
      <c r="C859" s="26"/>
      <c r="D859" s="7"/>
      <c r="E859" s="7">
        <v>2.4319999999999999</v>
      </c>
      <c r="F859" s="7">
        <v>3.464</v>
      </c>
      <c r="G859" s="7">
        <v>5.3819999999999997</v>
      </c>
      <c r="H859" s="7">
        <f t="shared" si="66"/>
        <v>0.14838337182448044</v>
      </c>
      <c r="I859" s="7">
        <f t="shared" si="67"/>
        <v>0</v>
      </c>
      <c r="J859" s="12" t="e">
        <f t="shared" si="65"/>
        <v>#DIV/0!</v>
      </c>
    </row>
    <row r="860" spans="1:10" x14ac:dyDescent="0.2">
      <c r="A860" s="19" t="s">
        <v>8</v>
      </c>
      <c r="B860" s="5" t="s">
        <v>20</v>
      </c>
      <c r="C860" s="22">
        <v>10</v>
      </c>
      <c r="D860" s="4"/>
      <c r="E860" s="4">
        <v>2.4710000000000001</v>
      </c>
      <c r="F860" s="4">
        <v>3.4510000000000001</v>
      </c>
      <c r="G860" s="4">
        <v>5.3630000000000004</v>
      </c>
      <c r="H860" s="4">
        <f t="shared" si="66"/>
        <v>0.16198203419298746</v>
      </c>
      <c r="I860" s="4">
        <f t="shared" si="67"/>
        <v>0</v>
      </c>
      <c r="J860" s="10">
        <f t="shared" si="65"/>
        <v>0</v>
      </c>
    </row>
    <row r="861" spans="1:10" x14ac:dyDescent="0.2">
      <c r="A861" s="20"/>
      <c r="B861" s="6" t="s">
        <v>21</v>
      </c>
      <c r="C861" s="23"/>
      <c r="D861">
        <v>832</v>
      </c>
      <c r="E861">
        <v>2.423</v>
      </c>
      <c r="F861">
        <v>3.4180000000000001</v>
      </c>
      <c r="G861">
        <v>5.29</v>
      </c>
      <c r="H861">
        <f t="shared" si="66"/>
        <v>0.16120538326506734</v>
      </c>
      <c r="I861">
        <f t="shared" si="67"/>
        <v>697.87712112346401</v>
      </c>
      <c r="J861" s="11" t="e">
        <f t="shared" si="65"/>
        <v>#DIV/0!</v>
      </c>
    </row>
    <row r="862" spans="1:10" x14ac:dyDescent="0.2">
      <c r="A862" s="25"/>
      <c r="B862" s="8" t="s">
        <v>22</v>
      </c>
      <c r="C862" s="26"/>
      <c r="D862" s="7"/>
      <c r="E862" s="7">
        <v>2.4319999999999999</v>
      </c>
      <c r="F862" s="7">
        <v>3.94</v>
      </c>
      <c r="G862" s="7">
        <v>5.7389999999999999</v>
      </c>
      <c r="H862" s="7">
        <f t="shared" si="66"/>
        <v>0.16065989847715736</v>
      </c>
      <c r="I862" s="7">
        <f t="shared" si="67"/>
        <v>0</v>
      </c>
      <c r="J862" s="12" t="e">
        <f t="shared" si="65"/>
        <v>#DIV/0!</v>
      </c>
    </row>
    <row r="863" spans="1:10" x14ac:dyDescent="0.2">
      <c r="A863" s="19" t="s">
        <v>9</v>
      </c>
      <c r="B863" s="5" t="s">
        <v>20</v>
      </c>
      <c r="C863" s="22">
        <v>10</v>
      </c>
      <c r="D863" s="4"/>
      <c r="E863" s="4">
        <v>2.4369999999999998</v>
      </c>
      <c r="F863" s="4">
        <v>3.569</v>
      </c>
      <c r="G863" s="4">
        <v>5.4370000000000003</v>
      </c>
      <c r="H863" s="4">
        <f t="shared" si="66"/>
        <v>0.15942841131969726</v>
      </c>
      <c r="I863" s="4">
        <f t="shared" si="67"/>
        <v>0</v>
      </c>
      <c r="J863" s="10">
        <f t="shared" si="65"/>
        <v>0</v>
      </c>
    </row>
    <row r="864" spans="1:10" x14ac:dyDescent="0.2">
      <c r="A864" s="20"/>
      <c r="B864" s="6" t="s">
        <v>21</v>
      </c>
      <c r="C864" s="23"/>
      <c r="D864">
        <v>864</v>
      </c>
      <c r="E864">
        <v>2.4569999999999999</v>
      </c>
      <c r="F864">
        <v>3.2730000000000001</v>
      </c>
      <c r="G864">
        <v>5.1980000000000004</v>
      </c>
      <c r="H864">
        <f t="shared" si="66"/>
        <v>0.1625420103880231</v>
      </c>
      <c r="I864">
        <f t="shared" si="67"/>
        <v>723.56370302474807</v>
      </c>
      <c r="J864" s="11" t="e">
        <f t="shared" si="65"/>
        <v>#DIV/0!</v>
      </c>
    </row>
    <row r="865" spans="1:10" x14ac:dyDescent="0.2">
      <c r="A865" s="25"/>
      <c r="B865" s="8" t="s">
        <v>22</v>
      </c>
      <c r="C865" s="26"/>
      <c r="D865" s="7"/>
      <c r="E865" s="7">
        <v>2.4790000000000001</v>
      </c>
      <c r="F865" s="7">
        <v>3.1509999999999998</v>
      </c>
      <c r="G865" s="7">
        <v>5.1239999999999997</v>
      </c>
      <c r="H865" s="7">
        <f t="shared" si="66"/>
        <v>0.1605839416058395</v>
      </c>
      <c r="I865" s="7">
        <f t="shared" si="67"/>
        <v>0</v>
      </c>
      <c r="J865" s="12" t="e">
        <f t="shared" si="65"/>
        <v>#DIV/0!</v>
      </c>
    </row>
    <row r="866" spans="1:10" x14ac:dyDescent="0.2">
      <c r="A866" s="19" t="s">
        <v>10</v>
      </c>
      <c r="B866" s="5" t="s">
        <v>20</v>
      </c>
      <c r="C866" s="22">
        <v>10</v>
      </c>
      <c r="D866" s="4"/>
      <c r="E866" s="4">
        <v>2.4409999999999998</v>
      </c>
      <c r="F866" s="4">
        <v>3.2010000000000001</v>
      </c>
      <c r="G866" s="4">
        <v>5.1429999999999998</v>
      </c>
      <c r="H866" s="4">
        <f t="shared" si="66"/>
        <v>0.15588878475476417</v>
      </c>
      <c r="I866" s="4">
        <f t="shared" si="67"/>
        <v>0</v>
      </c>
      <c r="J866" s="10">
        <f t="shared" si="65"/>
        <v>0</v>
      </c>
    </row>
    <row r="867" spans="1:10" x14ac:dyDescent="0.2">
      <c r="A867" s="20"/>
      <c r="B867" s="6" t="s">
        <v>21</v>
      </c>
      <c r="C867" s="23"/>
      <c r="D867">
        <v>812</v>
      </c>
      <c r="E867">
        <v>2.4590000000000001</v>
      </c>
      <c r="F867">
        <v>3.6059999999999999</v>
      </c>
      <c r="G867">
        <v>5.4790000000000001</v>
      </c>
      <c r="H867">
        <f t="shared" si="66"/>
        <v>0.16250693288962836</v>
      </c>
      <c r="I867">
        <f t="shared" si="67"/>
        <v>680.04437049362173</v>
      </c>
      <c r="J867" s="11" t="e">
        <f t="shared" si="65"/>
        <v>#DIV/0!</v>
      </c>
    </row>
    <row r="868" spans="1:10" x14ac:dyDescent="0.2">
      <c r="A868" s="25"/>
      <c r="B868" s="8" t="s">
        <v>22</v>
      </c>
      <c r="C868" s="26"/>
      <c r="D868" s="7"/>
      <c r="E868" s="7">
        <v>2.444</v>
      </c>
      <c r="F868" s="7">
        <v>3.3370000000000002</v>
      </c>
      <c r="G868" s="7">
        <v>5.2430000000000003</v>
      </c>
      <c r="H868" s="7">
        <f t="shared" si="66"/>
        <v>0.16122265507941258</v>
      </c>
      <c r="I868" s="7">
        <f t="shared" si="67"/>
        <v>0</v>
      </c>
      <c r="J868" s="12" t="e">
        <f t="shared" si="65"/>
        <v>#DIV/0!</v>
      </c>
    </row>
    <row r="869" spans="1:10" x14ac:dyDescent="0.2">
      <c r="A869" s="19" t="s">
        <v>11</v>
      </c>
      <c r="B869" s="5" t="s">
        <v>20</v>
      </c>
      <c r="C869" s="22">
        <v>10</v>
      </c>
      <c r="D869" s="4"/>
      <c r="E869" s="4">
        <v>2.4119999999999999</v>
      </c>
      <c r="F869" s="4">
        <v>3.1629999999999998</v>
      </c>
      <c r="G869" s="4">
        <v>5.14</v>
      </c>
      <c r="H869" s="4">
        <f t="shared" si="66"/>
        <v>0.1375276636104964</v>
      </c>
      <c r="I869" s="4">
        <f t="shared" si="67"/>
        <v>0</v>
      </c>
      <c r="J869" s="10">
        <f t="shared" si="65"/>
        <v>0</v>
      </c>
    </row>
    <row r="870" spans="1:10" x14ac:dyDescent="0.2">
      <c r="A870" s="20"/>
      <c r="B870" s="6" t="s">
        <v>21</v>
      </c>
      <c r="C870" s="23"/>
      <c r="D870">
        <v>777</v>
      </c>
      <c r="E870">
        <v>2.472</v>
      </c>
      <c r="F870">
        <v>3.032</v>
      </c>
      <c r="G870">
        <v>5.1319999999999997</v>
      </c>
      <c r="H870">
        <f t="shared" si="66"/>
        <v>0.12269129287598955</v>
      </c>
      <c r="I870">
        <f t="shared" si="67"/>
        <v>681.66886543535611</v>
      </c>
      <c r="J870" s="11" t="e">
        <f t="shared" si="65"/>
        <v>#DIV/0!</v>
      </c>
    </row>
    <row r="871" spans="1:10" x14ac:dyDescent="0.2">
      <c r="A871" s="25"/>
      <c r="B871" s="8" t="s">
        <v>22</v>
      </c>
      <c r="C871" s="26"/>
      <c r="D871" s="7"/>
      <c r="E871" s="7">
        <v>2.4620000000000002</v>
      </c>
      <c r="F871" s="7">
        <v>3.302</v>
      </c>
      <c r="G871" s="7">
        <v>5.3460000000000001</v>
      </c>
      <c r="H871" s="7">
        <f t="shared" si="66"/>
        <v>0.12658994548758332</v>
      </c>
      <c r="I871" s="7">
        <f t="shared" si="67"/>
        <v>0</v>
      </c>
      <c r="J871" s="12" t="e">
        <f t="shared" si="65"/>
        <v>#DIV/0!</v>
      </c>
    </row>
    <row r="872" spans="1:10" x14ac:dyDescent="0.2">
      <c r="A872" s="19" t="s">
        <v>12</v>
      </c>
      <c r="B872" s="5" t="s">
        <v>20</v>
      </c>
      <c r="C872" s="22">
        <v>10</v>
      </c>
      <c r="D872" s="4"/>
      <c r="E872" s="4">
        <v>2.4620000000000002</v>
      </c>
      <c r="F872" s="4">
        <v>3.2240000000000002</v>
      </c>
      <c r="G872" s="4">
        <v>5.3449999999999998</v>
      </c>
      <c r="H872" s="4">
        <f t="shared" si="66"/>
        <v>0.10576923076923096</v>
      </c>
      <c r="I872" s="4">
        <f t="shared" si="67"/>
        <v>0</v>
      </c>
      <c r="J872" s="10">
        <f t="shared" si="65"/>
        <v>0</v>
      </c>
    </row>
    <row r="873" spans="1:10" x14ac:dyDescent="0.2">
      <c r="A873" s="20"/>
      <c r="B873" s="6" t="s">
        <v>21</v>
      </c>
      <c r="C873" s="23"/>
      <c r="D873">
        <v>661</v>
      </c>
      <c r="E873">
        <v>2.4049999999999998</v>
      </c>
      <c r="F873">
        <v>3.3860000000000001</v>
      </c>
      <c r="G873">
        <v>5.4269999999999996</v>
      </c>
      <c r="H873">
        <f t="shared" si="66"/>
        <v>0.10750147666863565</v>
      </c>
      <c r="I873">
        <f t="shared" si="67"/>
        <v>589.94152392203182</v>
      </c>
      <c r="J873" s="11" t="e">
        <f t="shared" si="65"/>
        <v>#DIV/0!</v>
      </c>
    </row>
    <row r="874" spans="1:10" x14ac:dyDescent="0.2">
      <c r="A874" s="25"/>
      <c r="B874" s="8" t="s">
        <v>22</v>
      </c>
      <c r="C874" s="26"/>
      <c r="D874" s="7"/>
      <c r="E874" s="7">
        <v>2.4750000000000001</v>
      </c>
      <c r="F874" s="7">
        <v>3.2919999999999998</v>
      </c>
      <c r="G874" s="7">
        <v>5.4139999999999997</v>
      </c>
      <c r="H874" s="7">
        <f t="shared" si="66"/>
        <v>0.10722964763061975</v>
      </c>
      <c r="I874" s="7">
        <f t="shared" si="67"/>
        <v>0</v>
      </c>
      <c r="J874" s="12" t="e">
        <f t="shared" si="65"/>
        <v>#DIV/0!</v>
      </c>
    </row>
    <row r="875" spans="1:10" x14ac:dyDescent="0.2">
      <c r="A875" s="19" t="s">
        <v>13</v>
      </c>
      <c r="B875" s="5" t="s">
        <v>20</v>
      </c>
      <c r="C875" s="22">
        <v>10</v>
      </c>
      <c r="D875" s="4"/>
      <c r="E875" s="4">
        <v>2.431</v>
      </c>
      <c r="F875" s="4">
        <v>3.6640000000000001</v>
      </c>
      <c r="G875" s="4">
        <v>5.734</v>
      </c>
      <c r="H875" s="4">
        <f t="shared" si="66"/>
        <v>9.8526200873362502E-2</v>
      </c>
      <c r="I875" s="4">
        <f t="shared" si="67"/>
        <v>0</v>
      </c>
      <c r="J875" s="10">
        <f t="shared" si="65"/>
        <v>0</v>
      </c>
    </row>
    <row r="876" spans="1:10" x14ac:dyDescent="0.2">
      <c r="A876" s="20"/>
      <c r="B876" s="6" t="s">
        <v>21</v>
      </c>
      <c r="C876" s="23"/>
      <c r="D876">
        <v>758</v>
      </c>
      <c r="E876">
        <v>2.4500000000000002</v>
      </c>
      <c r="F876">
        <v>3.5430000000000001</v>
      </c>
      <c r="G876">
        <v>5.6079999999999997</v>
      </c>
      <c r="H876">
        <f t="shared" si="66"/>
        <v>0.10866497318656525</v>
      </c>
      <c r="I876">
        <f t="shared" si="67"/>
        <v>675.6319503245835</v>
      </c>
      <c r="J876" s="11" t="e">
        <f t="shared" si="65"/>
        <v>#DIV/0!</v>
      </c>
    </row>
    <row r="877" spans="1:10" x14ac:dyDescent="0.2">
      <c r="A877" s="25"/>
      <c r="B877" s="8" t="s">
        <v>22</v>
      </c>
      <c r="C877" s="26"/>
      <c r="D877" s="7"/>
      <c r="E877" s="7">
        <v>2.4460000000000002</v>
      </c>
      <c r="F877" s="7">
        <v>3.1360000000000001</v>
      </c>
      <c r="G877" s="7">
        <v>5.2679999999999998</v>
      </c>
      <c r="H877" s="7">
        <f t="shared" si="66"/>
        <v>0.10012755102040832</v>
      </c>
      <c r="I877" s="7">
        <f t="shared" si="67"/>
        <v>0</v>
      </c>
      <c r="J877" s="12" t="e">
        <f t="shared" si="65"/>
        <v>#DIV/0!</v>
      </c>
    </row>
    <row r="878" spans="1:10" x14ac:dyDescent="0.2">
      <c r="A878" s="19" t="s">
        <v>14</v>
      </c>
      <c r="B878" s="5" t="s">
        <v>20</v>
      </c>
      <c r="C878" s="22">
        <v>10</v>
      </c>
      <c r="D878" s="4"/>
      <c r="E878" s="4"/>
      <c r="F878" s="4"/>
      <c r="G878" s="4"/>
      <c r="H878" s="4" t="e">
        <f t="shared" si="66"/>
        <v>#DIV/0!</v>
      </c>
      <c r="I878" s="4" t="e">
        <f t="shared" si="67"/>
        <v>#DIV/0!</v>
      </c>
      <c r="J878" s="10" t="e">
        <f t="shared" si="65"/>
        <v>#DIV/0!</v>
      </c>
    </row>
    <row r="879" spans="1:10" x14ac:dyDescent="0.2">
      <c r="A879" s="20"/>
      <c r="B879" s="6" t="s">
        <v>21</v>
      </c>
      <c r="C879" s="23"/>
      <c r="H879" t="e">
        <f t="shared" si="66"/>
        <v>#DIV/0!</v>
      </c>
      <c r="I879" t="e">
        <f t="shared" si="67"/>
        <v>#DIV/0!</v>
      </c>
      <c r="J879" s="11" t="e">
        <f t="shared" si="65"/>
        <v>#DIV/0!</v>
      </c>
    </row>
    <row r="880" spans="1:10" ht="16" thickBot="1" x14ac:dyDescent="0.25">
      <c r="A880" s="21"/>
      <c r="B880" s="15" t="s">
        <v>22</v>
      </c>
      <c r="C880" s="24"/>
      <c r="D880" s="13"/>
      <c r="E880" s="13"/>
      <c r="F880" s="13"/>
      <c r="G880" s="13"/>
      <c r="H880" s="13" t="e">
        <f t="shared" si="66"/>
        <v>#DIV/0!</v>
      </c>
      <c r="I880" s="13" t="e">
        <f t="shared" si="67"/>
        <v>#DIV/0!</v>
      </c>
      <c r="J880" s="14" t="e">
        <f t="shared" si="65"/>
        <v>#DIV/0!</v>
      </c>
    </row>
    <row r="881" spans="1:10" ht="16" thickBot="1" x14ac:dyDescent="0.25">
      <c r="A881" s="44" t="s">
        <v>1</v>
      </c>
      <c r="B881" s="33"/>
      <c r="C881" s="33"/>
      <c r="D881" s="33" t="s">
        <v>45</v>
      </c>
      <c r="E881" s="34"/>
      <c r="F881" s="9" t="s">
        <v>0</v>
      </c>
      <c r="G881" s="18">
        <v>44157</v>
      </c>
      <c r="H881" s="35" t="s">
        <v>24</v>
      </c>
      <c r="I881" s="36"/>
      <c r="J881" s="1">
        <v>110</v>
      </c>
    </row>
    <row r="882" spans="1:10" ht="16" thickBot="1" x14ac:dyDescent="0.25">
      <c r="A882" s="37" t="s">
        <v>2</v>
      </c>
      <c r="B882" s="38"/>
      <c r="C882" s="38"/>
      <c r="D882" s="38"/>
      <c r="E882" s="39"/>
      <c r="F882" s="40"/>
      <c r="G882" s="41"/>
      <c r="H882" s="42" t="s">
        <v>25</v>
      </c>
      <c r="I882" s="43"/>
      <c r="J882" s="2">
        <v>26</v>
      </c>
    </row>
    <row r="883" spans="1:10" ht="16" thickBot="1" x14ac:dyDescent="0.25">
      <c r="A883" s="45" t="s">
        <v>27</v>
      </c>
      <c r="B883" s="27"/>
      <c r="C883" s="27"/>
      <c r="D883" s="27" t="s">
        <v>33</v>
      </c>
      <c r="E883" s="28"/>
      <c r="F883" s="16" t="s">
        <v>30</v>
      </c>
      <c r="G883" s="16">
        <v>3.81</v>
      </c>
      <c r="H883" s="29" t="s">
        <v>26</v>
      </c>
      <c r="I883" s="30"/>
      <c r="J883" s="3">
        <v>52</v>
      </c>
    </row>
    <row r="884" spans="1:10" x14ac:dyDescent="0.2">
      <c r="A884" s="31"/>
      <c r="B884" s="32"/>
      <c r="C884" s="16" t="s">
        <v>29</v>
      </c>
      <c r="D884" s="16" t="s">
        <v>19</v>
      </c>
      <c r="E884" s="16" t="s">
        <v>15</v>
      </c>
      <c r="F884" s="16" t="s">
        <v>18</v>
      </c>
      <c r="G884" s="16" t="s">
        <v>17</v>
      </c>
      <c r="H884" s="16" t="s">
        <v>28</v>
      </c>
      <c r="I884" s="16" t="s">
        <v>16</v>
      </c>
      <c r="J884" s="17" t="s">
        <v>23</v>
      </c>
    </row>
    <row r="885" spans="1:10" x14ac:dyDescent="0.2">
      <c r="A885" s="19" t="s">
        <v>3</v>
      </c>
      <c r="B885" s="5" t="s">
        <v>20</v>
      </c>
      <c r="C885" s="22">
        <v>10</v>
      </c>
      <c r="D885" s="4"/>
      <c r="E885" s="4">
        <v>2.4660000000000002</v>
      </c>
      <c r="F885" s="4">
        <v>3.472</v>
      </c>
      <c r="G885" s="4">
        <v>5.4210000000000003</v>
      </c>
      <c r="H885" s="4">
        <f>(F885-(G885-E885))/F885</f>
        <v>0.14890552995391704</v>
      </c>
      <c r="I885" s="4">
        <f>D885-H885*D885</f>
        <v>0</v>
      </c>
      <c r="J885" s="10">
        <f t="shared" ref="J885:J920" si="68">I885/($G$3^2*C885*PI())</f>
        <v>0</v>
      </c>
    </row>
    <row r="886" spans="1:10" x14ac:dyDescent="0.2">
      <c r="A886" s="20"/>
      <c r="B886" s="6" t="s">
        <v>21</v>
      </c>
      <c r="C886" s="23"/>
      <c r="D886">
        <v>775</v>
      </c>
      <c r="E886">
        <v>2.4529999999999998</v>
      </c>
      <c r="F886">
        <v>3.194</v>
      </c>
      <c r="G886">
        <v>5.1779999999999999</v>
      </c>
      <c r="H886">
        <f t="shared" ref="H886:H920" si="69">(F886-(G886-E886))/F886</f>
        <v>0.1468378209142141</v>
      </c>
      <c r="I886">
        <f t="shared" ref="I886:I920" si="70">D886-H886*D886</f>
        <v>661.20068879148403</v>
      </c>
      <c r="J886" s="11" t="e">
        <f t="shared" si="68"/>
        <v>#DIV/0!</v>
      </c>
    </row>
    <row r="887" spans="1:10" x14ac:dyDescent="0.2">
      <c r="A887" s="25"/>
      <c r="B887" s="8" t="s">
        <v>22</v>
      </c>
      <c r="C887" s="26"/>
      <c r="D887" s="7"/>
      <c r="E887" s="7">
        <v>2.4319999999999999</v>
      </c>
      <c r="F887" s="7">
        <v>3.3540000000000001</v>
      </c>
      <c r="G887" s="7">
        <v>5.2480000000000002</v>
      </c>
      <c r="H887" s="7">
        <f t="shared" si="69"/>
        <v>0.16040548598688129</v>
      </c>
      <c r="I887" s="7">
        <f t="shared" si="70"/>
        <v>0</v>
      </c>
      <c r="J887" s="12" t="e">
        <f t="shared" si="68"/>
        <v>#DIV/0!</v>
      </c>
    </row>
    <row r="888" spans="1:10" x14ac:dyDescent="0.2">
      <c r="A888" s="19" t="s">
        <v>4</v>
      </c>
      <c r="B888" s="5" t="s">
        <v>20</v>
      </c>
      <c r="C888" s="23">
        <v>10</v>
      </c>
      <c r="E888">
        <v>2.4089999999999998</v>
      </c>
      <c r="F888">
        <v>3.3479999999999999</v>
      </c>
      <c r="G888">
        <v>5.1980000000000004</v>
      </c>
      <c r="H888" s="4">
        <f t="shared" si="69"/>
        <v>0.1669653524492232</v>
      </c>
      <c r="I888" s="4">
        <f t="shared" si="70"/>
        <v>0</v>
      </c>
      <c r="J888" s="10">
        <f t="shared" si="68"/>
        <v>0</v>
      </c>
    </row>
    <row r="889" spans="1:10" x14ac:dyDescent="0.2">
      <c r="A889" s="20"/>
      <c r="B889" s="6" t="s">
        <v>21</v>
      </c>
      <c r="C889" s="23"/>
      <c r="D889">
        <v>821</v>
      </c>
      <c r="E889">
        <v>2.4470000000000001</v>
      </c>
      <c r="F889">
        <v>3.282</v>
      </c>
      <c r="G889">
        <v>5.1520000000000001</v>
      </c>
      <c r="H889">
        <f t="shared" si="69"/>
        <v>0.1758074344911639</v>
      </c>
      <c r="I889">
        <f t="shared" si="70"/>
        <v>676.66209628275442</v>
      </c>
      <c r="J889" s="11" t="e">
        <f t="shared" si="68"/>
        <v>#DIV/0!</v>
      </c>
    </row>
    <row r="890" spans="1:10" x14ac:dyDescent="0.2">
      <c r="A890" s="25"/>
      <c r="B890" s="8" t="s">
        <v>22</v>
      </c>
      <c r="C890" s="26"/>
      <c r="D890" s="7"/>
      <c r="E890" s="7">
        <v>2.415</v>
      </c>
      <c r="F890" s="7">
        <v>3.173</v>
      </c>
      <c r="G890" s="7">
        <v>4.9729999999999999</v>
      </c>
      <c r="H890" s="7">
        <f t="shared" si="69"/>
        <v>0.19382288055468017</v>
      </c>
      <c r="I890" s="7">
        <f t="shared" si="70"/>
        <v>0</v>
      </c>
      <c r="J890" s="12" t="e">
        <f t="shared" si="68"/>
        <v>#DIV/0!</v>
      </c>
    </row>
    <row r="891" spans="1:10" x14ac:dyDescent="0.2">
      <c r="A891" s="19" t="s">
        <v>5</v>
      </c>
      <c r="B891" s="5" t="s">
        <v>20</v>
      </c>
      <c r="C891" s="22">
        <v>10</v>
      </c>
      <c r="D891" s="4"/>
      <c r="E891" s="4">
        <v>2.4340000000000002</v>
      </c>
      <c r="F891" s="4">
        <v>3.4990000000000001</v>
      </c>
      <c r="G891" s="4">
        <v>5.4459999999999997</v>
      </c>
      <c r="H891" s="4">
        <f t="shared" si="69"/>
        <v>0.13918262360674494</v>
      </c>
      <c r="I891" s="4">
        <f t="shared" si="70"/>
        <v>0</v>
      </c>
      <c r="J891" s="10">
        <f t="shared" si="68"/>
        <v>0</v>
      </c>
    </row>
    <row r="892" spans="1:10" x14ac:dyDescent="0.2">
      <c r="A892" s="20"/>
      <c r="B892" s="6" t="s">
        <v>21</v>
      </c>
      <c r="C892" s="23"/>
      <c r="D892">
        <v>782</v>
      </c>
      <c r="E892">
        <v>2.4319999999999999</v>
      </c>
      <c r="F892">
        <v>3.1314000000000002</v>
      </c>
      <c r="G892">
        <v>5.141</v>
      </c>
      <c r="H892">
        <f t="shared" si="69"/>
        <v>0.13489174171297186</v>
      </c>
      <c r="I892">
        <f t="shared" si="70"/>
        <v>676.51465798045604</v>
      </c>
      <c r="J892" s="11" t="e">
        <f t="shared" si="68"/>
        <v>#DIV/0!</v>
      </c>
    </row>
    <row r="893" spans="1:10" x14ac:dyDescent="0.2">
      <c r="A893" s="25"/>
      <c r="B893" s="8" t="s">
        <v>22</v>
      </c>
      <c r="C893" s="26"/>
      <c r="D893" s="7"/>
      <c r="E893" s="7">
        <v>2.4340000000000002</v>
      </c>
      <c r="F893" s="7">
        <v>3.24</v>
      </c>
      <c r="G893" s="7">
        <v>5.2229999999999999</v>
      </c>
      <c r="H893" s="7">
        <f t="shared" si="69"/>
        <v>0.13919753086419767</v>
      </c>
      <c r="I893" s="7">
        <f t="shared" si="70"/>
        <v>0</v>
      </c>
      <c r="J893" s="12" t="e">
        <f t="shared" si="68"/>
        <v>#DIV/0!</v>
      </c>
    </row>
    <row r="894" spans="1:10" x14ac:dyDescent="0.2">
      <c r="A894" s="19" t="s">
        <v>6</v>
      </c>
      <c r="B894" s="5" t="s">
        <v>20</v>
      </c>
      <c r="C894" s="22">
        <v>10</v>
      </c>
      <c r="D894" s="4"/>
      <c r="E894" s="4">
        <v>2.4390000000000001</v>
      </c>
      <c r="F894" s="4">
        <v>3.8119999999999998</v>
      </c>
      <c r="G894" s="4">
        <v>5.7130000000000001</v>
      </c>
      <c r="H894" s="4">
        <f t="shared" si="69"/>
        <v>0.14113326337880375</v>
      </c>
      <c r="I894" s="4">
        <f t="shared" si="70"/>
        <v>0</v>
      </c>
      <c r="J894" s="10">
        <f t="shared" si="68"/>
        <v>0</v>
      </c>
    </row>
    <row r="895" spans="1:10" x14ac:dyDescent="0.2">
      <c r="A895" s="20"/>
      <c r="B895" s="6" t="s">
        <v>21</v>
      </c>
      <c r="C895" s="23"/>
      <c r="D895">
        <v>822</v>
      </c>
      <c r="E895">
        <v>2.4540000000000002</v>
      </c>
      <c r="F895">
        <v>3.4580000000000002</v>
      </c>
      <c r="G895">
        <v>5.3319999999999999</v>
      </c>
      <c r="H895">
        <f t="shared" si="69"/>
        <v>0.16772700983227312</v>
      </c>
      <c r="I895">
        <f t="shared" si="70"/>
        <v>684.12839791787155</v>
      </c>
      <c r="J895" s="11" t="e">
        <f t="shared" si="68"/>
        <v>#DIV/0!</v>
      </c>
    </row>
    <row r="896" spans="1:10" x14ac:dyDescent="0.2">
      <c r="A896" s="25"/>
      <c r="B896" s="8" t="s">
        <v>22</v>
      </c>
      <c r="C896" s="26"/>
      <c r="D896" s="7"/>
      <c r="E896" s="7">
        <v>2.4620000000000002</v>
      </c>
      <c r="F896" s="7">
        <v>3.2650000000000001</v>
      </c>
      <c r="G896" s="7">
        <v>5.2489999999999997</v>
      </c>
      <c r="H896" s="7">
        <f t="shared" si="69"/>
        <v>0.14640122511485471</v>
      </c>
      <c r="I896" s="7">
        <f t="shared" si="70"/>
        <v>0</v>
      </c>
      <c r="J896" s="12" t="e">
        <f t="shared" si="68"/>
        <v>#DIV/0!</v>
      </c>
    </row>
    <row r="897" spans="1:10" x14ac:dyDescent="0.2">
      <c r="A897" s="19" t="s">
        <v>7</v>
      </c>
      <c r="B897" s="5" t="s">
        <v>20</v>
      </c>
      <c r="C897" s="22">
        <v>10</v>
      </c>
      <c r="D897" s="4"/>
      <c r="E897" s="4">
        <v>2.4409999999999998</v>
      </c>
      <c r="F897" s="4">
        <v>3.125</v>
      </c>
      <c r="G897" s="4">
        <v>5.0970000000000004</v>
      </c>
      <c r="H897" s="4">
        <f t="shared" si="69"/>
        <v>0.15007999999999982</v>
      </c>
      <c r="I897" s="4">
        <f t="shared" si="70"/>
        <v>0</v>
      </c>
      <c r="J897" s="10">
        <f t="shared" si="68"/>
        <v>0</v>
      </c>
    </row>
    <row r="898" spans="1:10" x14ac:dyDescent="0.2">
      <c r="A898" s="20"/>
      <c r="B898" s="6" t="s">
        <v>21</v>
      </c>
      <c r="C898" s="23"/>
      <c r="D898">
        <v>841</v>
      </c>
      <c r="E898">
        <v>2.4129999999999998</v>
      </c>
      <c r="F898">
        <v>3.4340000000000002</v>
      </c>
      <c r="G898">
        <v>5.3280000000000003</v>
      </c>
      <c r="H898">
        <f t="shared" si="69"/>
        <v>0.15113570180547456</v>
      </c>
      <c r="I898">
        <f t="shared" si="70"/>
        <v>713.89487478159595</v>
      </c>
      <c r="J898" s="11" t="e">
        <f t="shared" si="68"/>
        <v>#DIV/0!</v>
      </c>
    </row>
    <row r="899" spans="1:10" x14ac:dyDescent="0.2">
      <c r="A899" s="25"/>
      <c r="B899" s="8" t="s">
        <v>22</v>
      </c>
      <c r="C899" s="26"/>
      <c r="D899" s="7"/>
      <c r="E899" s="7">
        <v>2.4489999999999998</v>
      </c>
      <c r="F899" s="7">
        <v>3.7410000000000001</v>
      </c>
      <c r="G899" s="7">
        <v>5.6219999999999999</v>
      </c>
      <c r="H899" s="7">
        <f t="shared" si="69"/>
        <v>0.15183106121357928</v>
      </c>
      <c r="I899" s="7">
        <f t="shared" si="70"/>
        <v>0</v>
      </c>
      <c r="J899" s="12" t="e">
        <f t="shared" si="68"/>
        <v>#DIV/0!</v>
      </c>
    </row>
    <row r="900" spans="1:10" x14ac:dyDescent="0.2">
      <c r="A900" s="19" t="s">
        <v>8</v>
      </c>
      <c r="B900" s="5" t="s">
        <v>20</v>
      </c>
      <c r="C900" s="22">
        <v>10</v>
      </c>
      <c r="D900" s="4"/>
      <c r="E900" s="4">
        <v>2.444</v>
      </c>
      <c r="F900" s="4">
        <v>3.7450000000000001</v>
      </c>
      <c r="G900" s="4">
        <v>5.6379999999999999</v>
      </c>
      <c r="H900" s="4">
        <f t="shared" si="69"/>
        <v>0.14712950600801072</v>
      </c>
      <c r="I900" s="4">
        <f t="shared" si="70"/>
        <v>0</v>
      </c>
      <c r="J900" s="10">
        <f t="shared" si="68"/>
        <v>0</v>
      </c>
    </row>
    <row r="901" spans="1:10" x14ac:dyDescent="0.2">
      <c r="A901" s="20"/>
      <c r="B901" s="6" t="s">
        <v>21</v>
      </c>
      <c r="C901" s="23"/>
      <c r="D901">
        <v>826</v>
      </c>
      <c r="E901">
        <v>2.4590000000000001</v>
      </c>
      <c r="F901">
        <v>3.6829999999999998</v>
      </c>
      <c r="G901">
        <v>5.5919999999999996</v>
      </c>
      <c r="H901">
        <f t="shared" si="69"/>
        <v>0.14933478142818363</v>
      </c>
      <c r="I901">
        <f t="shared" si="70"/>
        <v>702.64947054032029</v>
      </c>
      <c r="J901" s="11" t="e">
        <f t="shared" si="68"/>
        <v>#DIV/0!</v>
      </c>
    </row>
    <row r="902" spans="1:10" x14ac:dyDescent="0.2">
      <c r="A902" s="25"/>
      <c r="B902" s="8" t="s">
        <v>22</v>
      </c>
      <c r="C902" s="26"/>
      <c r="D902" s="7"/>
      <c r="E902" s="7">
        <v>2.4489999999999998</v>
      </c>
      <c r="F902" s="7">
        <v>3.37</v>
      </c>
      <c r="G902" s="7">
        <v>5.3179999999999996</v>
      </c>
      <c r="H902" s="7">
        <f t="shared" si="69"/>
        <v>0.1486646884272998</v>
      </c>
      <c r="I902" s="7">
        <f t="shared" si="70"/>
        <v>0</v>
      </c>
      <c r="J902" s="12" t="e">
        <f t="shared" si="68"/>
        <v>#DIV/0!</v>
      </c>
    </row>
    <row r="903" spans="1:10" x14ac:dyDescent="0.2">
      <c r="A903" s="19" t="s">
        <v>9</v>
      </c>
      <c r="B903" s="5" t="s">
        <v>20</v>
      </c>
      <c r="C903" s="22">
        <v>10</v>
      </c>
      <c r="D903" s="4"/>
      <c r="E903" s="4">
        <v>2.4289999999999998</v>
      </c>
      <c r="F903" s="4">
        <v>3.194</v>
      </c>
      <c r="G903" s="4">
        <v>5.319</v>
      </c>
      <c r="H903" s="4">
        <f t="shared" si="69"/>
        <v>9.5178459611772015E-2</v>
      </c>
      <c r="I903" s="4">
        <f t="shared" si="70"/>
        <v>0</v>
      </c>
      <c r="J903" s="10">
        <f t="shared" si="68"/>
        <v>0</v>
      </c>
    </row>
    <row r="904" spans="1:10" x14ac:dyDescent="0.2">
      <c r="A904" s="20"/>
      <c r="B904" s="6" t="s">
        <v>21</v>
      </c>
      <c r="C904" s="23"/>
      <c r="D904">
        <v>734</v>
      </c>
      <c r="E904">
        <v>2.407</v>
      </c>
      <c r="F904">
        <v>3.4249999999999998</v>
      </c>
      <c r="G904">
        <v>5.4009999999999998</v>
      </c>
      <c r="H904">
        <f t="shared" si="69"/>
        <v>0.12583941605839419</v>
      </c>
      <c r="I904">
        <f t="shared" si="70"/>
        <v>641.6338686131387</v>
      </c>
      <c r="J904" s="11" t="e">
        <f t="shared" si="68"/>
        <v>#DIV/0!</v>
      </c>
    </row>
    <row r="905" spans="1:10" x14ac:dyDescent="0.2">
      <c r="A905" s="25"/>
      <c r="B905" s="8" t="s">
        <v>22</v>
      </c>
      <c r="C905" s="26"/>
      <c r="D905" s="7"/>
      <c r="E905" s="7">
        <v>2.4769999999999999</v>
      </c>
      <c r="F905" s="7">
        <v>3.3980000000000001</v>
      </c>
      <c r="G905" s="7">
        <v>5.4969999999999999</v>
      </c>
      <c r="H905" s="7">
        <f t="shared" si="69"/>
        <v>0.11124190700412009</v>
      </c>
      <c r="I905" s="7">
        <f t="shared" si="70"/>
        <v>0</v>
      </c>
      <c r="J905" s="12" t="e">
        <f t="shared" si="68"/>
        <v>#DIV/0!</v>
      </c>
    </row>
    <row r="906" spans="1:10" x14ac:dyDescent="0.2">
      <c r="A906" s="19" t="s">
        <v>10</v>
      </c>
      <c r="B906" s="5" t="s">
        <v>20</v>
      </c>
      <c r="C906" s="22">
        <v>10</v>
      </c>
      <c r="D906" s="4"/>
      <c r="E906" s="4">
        <v>2.4279999999999999</v>
      </c>
      <c r="F906" s="4">
        <v>3.4350000000000001</v>
      </c>
      <c r="G906" s="4">
        <v>5.5890000000000004</v>
      </c>
      <c r="H906" s="4">
        <f t="shared" si="69"/>
        <v>7.9767103347889251E-2</v>
      </c>
      <c r="I906" s="4">
        <f t="shared" si="70"/>
        <v>0</v>
      </c>
      <c r="J906" s="10">
        <f t="shared" si="68"/>
        <v>0</v>
      </c>
    </row>
    <row r="907" spans="1:10" x14ac:dyDescent="0.2">
      <c r="A907" s="20"/>
      <c r="B907" s="6" t="s">
        <v>21</v>
      </c>
      <c r="C907" s="23"/>
      <c r="D907">
        <v>793</v>
      </c>
      <c r="E907">
        <v>2.4409999999999998</v>
      </c>
      <c r="F907">
        <v>3.5289999999999999</v>
      </c>
      <c r="G907">
        <v>5.6779999999999999</v>
      </c>
      <c r="H907">
        <f t="shared" si="69"/>
        <v>8.2742986681779485E-2</v>
      </c>
      <c r="I907">
        <f t="shared" si="70"/>
        <v>727.3848115613489</v>
      </c>
      <c r="J907" s="11" t="e">
        <f t="shared" si="68"/>
        <v>#DIV/0!</v>
      </c>
    </row>
    <row r="908" spans="1:10" x14ac:dyDescent="0.2">
      <c r="A908" s="25"/>
      <c r="B908" s="8" t="s">
        <v>22</v>
      </c>
      <c r="C908" s="26"/>
      <c r="D908" s="7"/>
      <c r="E908" s="7">
        <v>2.4540000000000002</v>
      </c>
      <c r="F908" s="7">
        <v>3.2909999999999999</v>
      </c>
      <c r="G908" s="7">
        <v>5.4690000000000003</v>
      </c>
      <c r="H908" s="7">
        <f t="shared" si="69"/>
        <v>8.3865086599817631E-2</v>
      </c>
      <c r="I908" s="7">
        <f t="shared" si="70"/>
        <v>0</v>
      </c>
      <c r="J908" s="12" t="e">
        <f t="shared" si="68"/>
        <v>#DIV/0!</v>
      </c>
    </row>
    <row r="909" spans="1:10" x14ac:dyDescent="0.2">
      <c r="A909" s="19" t="s">
        <v>11</v>
      </c>
      <c r="B909" s="5" t="s">
        <v>20</v>
      </c>
      <c r="C909" s="22">
        <v>10</v>
      </c>
      <c r="D909" s="4"/>
      <c r="E909" s="4">
        <v>2.4249999999999998</v>
      </c>
      <c r="F909" s="4">
        <v>3.1680000000000001</v>
      </c>
      <c r="G909" s="4">
        <v>5.335</v>
      </c>
      <c r="H909" s="4">
        <f t="shared" si="69"/>
        <v>8.1439393939393936E-2</v>
      </c>
      <c r="I909" s="4">
        <f t="shared" si="70"/>
        <v>0</v>
      </c>
      <c r="J909" s="10">
        <f t="shared" si="68"/>
        <v>0</v>
      </c>
    </row>
    <row r="910" spans="1:10" x14ac:dyDescent="0.2">
      <c r="A910" s="20"/>
      <c r="B910" s="6" t="s">
        <v>21</v>
      </c>
      <c r="C910" s="23"/>
      <c r="D910">
        <v>844</v>
      </c>
      <c r="E910">
        <v>2.4329999999999998</v>
      </c>
      <c r="F910">
        <v>3.2130000000000001</v>
      </c>
      <c r="G910">
        <v>5.3890000000000002</v>
      </c>
      <c r="H910">
        <f t="shared" si="69"/>
        <v>7.9987550575785771E-2</v>
      </c>
      <c r="I910">
        <f t="shared" si="70"/>
        <v>776.49050731403679</v>
      </c>
      <c r="J910" s="11" t="e">
        <f t="shared" si="68"/>
        <v>#DIV/0!</v>
      </c>
    </row>
    <row r="911" spans="1:10" x14ac:dyDescent="0.2">
      <c r="A911" s="25"/>
      <c r="B911" s="8" t="s">
        <v>22</v>
      </c>
      <c r="C911" s="26"/>
      <c r="D911" s="7"/>
      <c r="E911" s="7">
        <v>2454</v>
      </c>
      <c r="F911" s="7">
        <v>3.7850000000000001</v>
      </c>
      <c r="G911" s="7">
        <v>5.9260000000000002</v>
      </c>
      <c r="H911" s="7">
        <f t="shared" si="69"/>
        <v>647.78309114927345</v>
      </c>
      <c r="I911" s="7">
        <f t="shared" si="70"/>
        <v>0</v>
      </c>
      <c r="J911" s="12" t="e">
        <f t="shared" si="68"/>
        <v>#DIV/0!</v>
      </c>
    </row>
    <row r="912" spans="1:10" x14ac:dyDescent="0.2">
      <c r="A912" s="19" t="s">
        <v>12</v>
      </c>
      <c r="B912" s="5" t="s">
        <v>20</v>
      </c>
      <c r="C912" s="22">
        <v>10</v>
      </c>
      <c r="D912" s="4"/>
      <c r="E912" s="4">
        <v>2.4329999999999998</v>
      </c>
      <c r="F912" s="4">
        <v>3.34</v>
      </c>
      <c r="G912" s="4">
        <v>5.423</v>
      </c>
      <c r="H912" s="4">
        <f t="shared" si="69"/>
        <v>0.10479041916167654</v>
      </c>
      <c r="I912" s="4">
        <f t="shared" si="70"/>
        <v>0</v>
      </c>
      <c r="J912" s="10">
        <f t="shared" si="68"/>
        <v>0</v>
      </c>
    </row>
    <row r="913" spans="1:10" x14ac:dyDescent="0.2">
      <c r="A913" s="20"/>
      <c r="B913" s="6" t="s">
        <v>21</v>
      </c>
      <c r="C913" s="23"/>
      <c r="D913">
        <v>959</v>
      </c>
      <c r="E913">
        <v>2.4390000000000001</v>
      </c>
      <c r="F913">
        <v>3.734</v>
      </c>
      <c r="G913">
        <v>5.7619999999999996</v>
      </c>
      <c r="H913">
        <f t="shared" si="69"/>
        <v>0.11006963042313886</v>
      </c>
      <c r="I913">
        <f t="shared" si="70"/>
        <v>853.4432244242098</v>
      </c>
      <c r="J913" s="11" t="e">
        <f t="shared" si="68"/>
        <v>#DIV/0!</v>
      </c>
    </row>
    <row r="914" spans="1:10" x14ac:dyDescent="0.2">
      <c r="A914" s="25"/>
      <c r="B914" s="8" t="s">
        <v>22</v>
      </c>
      <c r="C914" s="26"/>
      <c r="D914" s="7"/>
      <c r="E914" s="7">
        <v>2.4369999999999998</v>
      </c>
      <c r="F914" s="7">
        <v>3.0289999999999999</v>
      </c>
      <c r="G914" s="7">
        <v>5.1219999999999999</v>
      </c>
      <c r="H914" s="7">
        <f t="shared" si="69"/>
        <v>0.11356883459887747</v>
      </c>
      <c r="I914" s="7">
        <f t="shared" si="70"/>
        <v>0</v>
      </c>
      <c r="J914" s="12" t="e">
        <f t="shared" si="68"/>
        <v>#DIV/0!</v>
      </c>
    </row>
    <row r="915" spans="1:10" x14ac:dyDescent="0.2">
      <c r="A915" s="19" t="s">
        <v>13</v>
      </c>
      <c r="B915" s="5" t="s">
        <v>20</v>
      </c>
      <c r="C915" s="22">
        <v>10</v>
      </c>
      <c r="D915" s="4"/>
      <c r="E915" s="4"/>
      <c r="F915" s="4"/>
      <c r="G915" s="4"/>
      <c r="H915" s="4" t="e">
        <f t="shared" si="69"/>
        <v>#DIV/0!</v>
      </c>
      <c r="I915" s="4" t="e">
        <f t="shared" si="70"/>
        <v>#DIV/0!</v>
      </c>
      <c r="J915" s="10" t="e">
        <f t="shared" si="68"/>
        <v>#DIV/0!</v>
      </c>
    </row>
    <row r="916" spans="1:10" x14ac:dyDescent="0.2">
      <c r="A916" s="20"/>
      <c r="B916" s="6" t="s">
        <v>21</v>
      </c>
      <c r="C916" s="23"/>
      <c r="H916" t="e">
        <f t="shared" si="69"/>
        <v>#DIV/0!</v>
      </c>
      <c r="I916" t="e">
        <f t="shared" si="70"/>
        <v>#DIV/0!</v>
      </c>
      <c r="J916" s="11" t="e">
        <f t="shared" si="68"/>
        <v>#DIV/0!</v>
      </c>
    </row>
    <row r="917" spans="1:10" x14ac:dyDescent="0.2">
      <c r="A917" s="25"/>
      <c r="B917" s="8" t="s">
        <v>22</v>
      </c>
      <c r="C917" s="26"/>
      <c r="D917" s="7"/>
      <c r="E917" s="7"/>
      <c r="F917" s="7"/>
      <c r="G917" s="7"/>
      <c r="H917" s="7" t="e">
        <f t="shared" si="69"/>
        <v>#DIV/0!</v>
      </c>
      <c r="I917" s="7" t="e">
        <f t="shared" si="70"/>
        <v>#DIV/0!</v>
      </c>
      <c r="J917" s="12" t="e">
        <f t="shared" si="68"/>
        <v>#DIV/0!</v>
      </c>
    </row>
    <row r="918" spans="1:10" x14ac:dyDescent="0.2">
      <c r="A918" s="19" t="s">
        <v>14</v>
      </c>
      <c r="B918" s="5" t="s">
        <v>20</v>
      </c>
      <c r="C918" s="22">
        <v>10</v>
      </c>
      <c r="D918" s="4"/>
      <c r="E918" s="4"/>
      <c r="F918" s="4"/>
      <c r="G918" s="4"/>
      <c r="H918" s="4" t="e">
        <f t="shared" si="69"/>
        <v>#DIV/0!</v>
      </c>
      <c r="I918" s="4" t="e">
        <f t="shared" si="70"/>
        <v>#DIV/0!</v>
      </c>
      <c r="J918" s="10" t="e">
        <f t="shared" si="68"/>
        <v>#DIV/0!</v>
      </c>
    </row>
    <row r="919" spans="1:10" x14ac:dyDescent="0.2">
      <c r="A919" s="20"/>
      <c r="B919" s="6" t="s">
        <v>21</v>
      </c>
      <c r="C919" s="23"/>
      <c r="H919" t="e">
        <f t="shared" si="69"/>
        <v>#DIV/0!</v>
      </c>
      <c r="I919" t="e">
        <f t="shared" si="70"/>
        <v>#DIV/0!</v>
      </c>
      <c r="J919" s="11" t="e">
        <f t="shared" si="68"/>
        <v>#DIV/0!</v>
      </c>
    </row>
    <row r="920" spans="1:10" ht="16" thickBot="1" x14ac:dyDescent="0.25">
      <c r="A920" s="21"/>
      <c r="B920" s="15" t="s">
        <v>22</v>
      </c>
      <c r="C920" s="24"/>
      <c r="D920" s="13"/>
      <c r="E920" s="13"/>
      <c r="F920" s="13"/>
      <c r="G920" s="13"/>
      <c r="H920" s="13" t="e">
        <f t="shared" si="69"/>
        <v>#DIV/0!</v>
      </c>
      <c r="I920" s="13" t="e">
        <f t="shared" si="70"/>
        <v>#DIV/0!</v>
      </c>
      <c r="J920" s="14" t="e">
        <f t="shared" si="68"/>
        <v>#DIV/0!</v>
      </c>
    </row>
    <row r="921" spans="1:10" ht="16" thickBot="1" x14ac:dyDescent="0.25">
      <c r="A921" s="44" t="s">
        <v>1</v>
      </c>
      <c r="B921" s="33"/>
      <c r="C921" s="33"/>
      <c r="D921" s="33" t="s">
        <v>40</v>
      </c>
      <c r="E921" s="34"/>
      <c r="F921" s="9" t="s">
        <v>0</v>
      </c>
      <c r="G921" s="18">
        <v>44159</v>
      </c>
      <c r="H921" s="35" t="s">
        <v>24</v>
      </c>
      <c r="I921" s="36"/>
      <c r="J921" s="1">
        <v>110</v>
      </c>
    </row>
    <row r="922" spans="1:10" ht="16" thickBot="1" x14ac:dyDescent="0.25">
      <c r="A922" s="37" t="s">
        <v>2</v>
      </c>
      <c r="B922" s="38"/>
      <c r="C922" s="38"/>
      <c r="D922" s="38"/>
      <c r="E922" s="39"/>
      <c r="F922" s="40"/>
      <c r="G922" s="41"/>
      <c r="H922" s="42" t="s">
        <v>25</v>
      </c>
      <c r="I922" s="43"/>
      <c r="J922" s="2">
        <v>23</v>
      </c>
    </row>
    <row r="923" spans="1:10" ht="16" thickBot="1" x14ac:dyDescent="0.25">
      <c r="A923" s="45" t="s">
        <v>27</v>
      </c>
      <c r="B923" s="27"/>
      <c r="C923" s="27"/>
      <c r="D923" s="27" t="s">
        <v>32</v>
      </c>
      <c r="E923" s="28"/>
      <c r="F923" s="16" t="s">
        <v>30</v>
      </c>
      <c r="G923" s="16">
        <v>3.81</v>
      </c>
      <c r="H923" s="29" t="s">
        <v>26</v>
      </c>
      <c r="I923" s="30"/>
      <c r="J923" s="3">
        <v>50</v>
      </c>
    </row>
    <row r="924" spans="1:10" x14ac:dyDescent="0.2">
      <c r="A924" s="31"/>
      <c r="B924" s="32"/>
      <c r="C924" s="16" t="s">
        <v>29</v>
      </c>
      <c r="D924" s="16" t="s">
        <v>19</v>
      </c>
      <c r="E924" s="16" t="s">
        <v>15</v>
      </c>
      <c r="F924" s="16" t="s">
        <v>18</v>
      </c>
      <c r="G924" s="16" t="s">
        <v>17</v>
      </c>
      <c r="H924" s="16" t="s">
        <v>28</v>
      </c>
      <c r="I924" s="16" t="s">
        <v>16</v>
      </c>
      <c r="J924" s="17" t="s">
        <v>23</v>
      </c>
    </row>
    <row r="925" spans="1:10" x14ac:dyDescent="0.2">
      <c r="A925" s="19" t="s">
        <v>3</v>
      </c>
      <c r="B925" s="5" t="s">
        <v>20</v>
      </c>
      <c r="C925" s="22">
        <v>10</v>
      </c>
      <c r="D925" s="4"/>
      <c r="E925" s="4">
        <v>2.496</v>
      </c>
      <c r="F925" s="4">
        <v>3.2250000000000001</v>
      </c>
      <c r="G925" s="4">
        <v>5.0919999999999996</v>
      </c>
      <c r="H925" s="4">
        <f>(F925-(G925-E925))/F925</f>
        <v>0.19503875968992263</v>
      </c>
      <c r="I925" s="4">
        <f>D925-H925*D925</f>
        <v>0</v>
      </c>
      <c r="J925" s="10">
        <f t="shared" ref="J925:J960" si="71">I925/($G$3^2*C925*PI())</f>
        <v>0</v>
      </c>
    </row>
    <row r="926" spans="1:10" x14ac:dyDescent="0.2">
      <c r="A926" s="20"/>
      <c r="B926" s="6" t="s">
        <v>21</v>
      </c>
      <c r="C926" s="23"/>
      <c r="D926">
        <v>823</v>
      </c>
      <c r="E926">
        <v>2.4700000000000002</v>
      </c>
      <c r="F926">
        <v>3.22</v>
      </c>
      <c r="G926">
        <v>5.0739999999999998</v>
      </c>
      <c r="H926">
        <f t="shared" ref="H926:H960" si="72">(F926-(G926-E926))/F926</f>
        <v>0.1913043478260871</v>
      </c>
      <c r="I926">
        <f t="shared" ref="I926:I960" si="73">D926-H926*D926</f>
        <v>665.55652173913029</v>
      </c>
      <c r="J926" s="11" t="e">
        <f t="shared" si="71"/>
        <v>#DIV/0!</v>
      </c>
    </row>
    <row r="927" spans="1:10" x14ac:dyDescent="0.2">
      <c r="A927" s="25"/>
      <c r="B927" s="8" t="s">
        <v>22</v>
      </c>
      <c r="C927" s="26"/>
      <c r="D927" s="7"/>
      <c r="E927" s="7">
        <v>2.5</v>
      </c>
      <c r="F927" s="7">
        <v>3.641</v>
      </c>
      <c r="G927" s="7">
        <v>5.4980000000000002</v>
      </c>
      <c r="H927" s="7">
        <f t="shared" si="72"/>
        <v>0.17659983521010705</v>
      </c>
      <c r="I927" s="7">
        <f t="shared" si="73"/>
        <v>0</v>
      </c>
      <c r="J927" s="12" t="e">
        <f t="shared" si="71"/>
        <v>#DIV/0!</v>
      </c>
    </row>
    <row r="928" spans="1:10" x14ac:dyDescent="0.2">
      <c r="A928" s="19" t="s">
        <v>4</v>
      </c>
      <c r="B928" s="5" t="s">
        <v>20</v>
      </c>
      <c r="C928" s="23">
        <v>10</v>
      </c>
      <c r="E928">
        <v>2.4369999999999998</v>
      </c>
      <c r="F928">
        <v>3.5129999999999999</v>
      </c>
      <c r="G928">
        <v>5.3289999999999997</v>
      </c>
      <c r="H928" s="4">
        <f t="shared" si="72"/>
        <v>0.17677198975234842</v>
      </c>
      <c r="I928" s="4">
        <f t="shared" si="73"/>
        <v>0</v>
      </c>
      <c r="J928" s="10">
        <f t="shared" si="71"/>
        <v>0</v>
      </c>
    </row>
    <row r="929" spans="1:10" x14ac:dyDescent="0.2">
      <c r="A929" s="20"/>
      <c r="B929" s="6" t="s">
        <v>21</v>
      </c>
      <c r="C929" s="23"/>
      <c r="D929">
        <v>799</v>
      </c>
      <c r="E929">
        <v>2.4580000000000002</v>
      </c>
      <c r="F929">
        <v>3.464</v>
      </c>
      <c r="G929">
        <v>5.298</v>
      </c>
      <c r="H929">
        <f t="shared" si="72"/>
        <v>0.1801385681293303</v>
      </c>
      <c r="I929">
        <f t="shared" si="73"/>
        <v>655.06928406466511</v>
      </c>
      <c r="J929" s="11" t="e">
        <f t="shared" si="71"/>
        <v>#DIV/0!</v>
      </c>
    </row>
    <row r="930" spans="1:10" x14ac:dyDescent="0.2">
      <c r="A930" s="25"/>
      <c r="B930" s="8" t="s">
        <v>22</v>
      </c>
      <c r="C930" s="26"/>
      <c r="D930" s="7"/>
      <c r="E930" s="7">
        <v>2.456</v>
      </c>
      <c r="F930" s="7">
        <v>3.0070000000000001</v>
      </c>
      <c r="G930" s="7">
        <v>4.923</v>
      </c>
      <c r="H930" s="7">
        <f t="shared" si="72"/>
        <v>0.17958097771865647</v>
      </c>
      <c r="I930" s="7">
        <f t="shared" si="73"/>
        <v>0</v>
      </c>
      <c r="J930" s="12" t="e">
        <f t="shared" si="71"/>
        <v>#DIV/0!</v>
      </c>
    </row>
    <row r="931" spans="1:10" x14ac:dyDescent="0.2">
      <c r="A931" s="19" t="s">
        <v>5</v>
      </c>
      <c r="B931" s="5" t="s">
        <v>20</v>
      </c>
      <c r="C931" s="22">
        <v>10</v>
      </c>
      <c r="D931" s="4"/>
      <c r="E931" s="4">
        <v>2.42</v>
      </c>
      <c r="F931" s="4">
        <v>3.17</v>
      </c>
      <c r="G931" s="4">
        <v>5.0789999999999997</v>
      </c>
      <c r="H931" s="4">
        <f t="shared" si="72"/>
        <v>0.16119873817034705</v>
      </c>
      <c r="I931" s="4">
        <f t="shared" si="73"/>
        <v>0</v>
      </c>
      <c r="J931" s="10">
        <f t="shared" si="71"/>
        <v>0</v>
      </c>
    </row>
    <row r="932" spans="1:10" x14ac:dyDescent="0.2">
      <c r="A932" s="20"/>
      <c r="B932" s="6" t="s">
        <v>21</v>
      </c>
      <c r="C932" s="23"/>
      <c r="D932">
        <v>824</v>
      </c>
      <c r="E932">
        <v>2.4430000000000001</v>
      </c>
      <c r="F932">
        <v>3.2709999999999999</v>
      </c>
      <c r="G932">
        <v>5.1749999999999998</v>
      </c>
      <c r="H932">
        <f t="shared" si="72"/>
        <v>0.16478141241210645</v>
      </c>
      <c r="I932">
        <f t="shared" si="73"/>
        <v>688.22011617242424</v>
      </c>
      <c r="J932" s="11" t="e">
        <f t="shared" si="71"/>
        <v>#DIV/0!</v>
      </c>
    </row>
    <row r="933" spans="1:10" x14ac:dyDescent="0.2">
      <c r="A933" s="25"/>
      <c r="B933" s="8" t="s">
        <v>22</v>
      </c>
      <c r="C933" s="26"/>
      <c r="D933" s="7"/>
      <c r="E933" s="7">
        <v>2.4380000000000002</v>
      </c>
      <c r="F933" s="7">
        <v>3.2749999999999999</v>
      </c>
      <c r="G933" s="7">
        <v>5.1779999999999999</v>
      </c>
      <c r="H933" s="7">
        <f t="shared" si="72"/>
        <v>0.16335877862595424</v>
      </c>
      <c r="I933" s="7">
        <f t="shared" si="73"/>
        <v>0</v>
      </c>
      <c r="J933" s="12" t="e">
        <f t="shared" si="71"/>
        <v>#DIV/0!</v>
      </c>
    </row>
    <row r="934" spans="1:10" x14ac:dyDescent="0.2">
      <c r="A934" s="19" t="s">
        <v>6</v>
      </c>
      <c r="B934" s="5" t="s">
        <v>20</v>
      </c>
      <c r="C934" s="22">
        <v>10</v>
      </c>
      <c r="D934" s="4"/>
      <c r="E934" s="4">
        <v>2.4550000000000001</v>
      </c>
      <c r="F934" s="4">
        <v>3.3690000000000002</v>
      </c>
      <c r="G934" s="4">
        <v>5.3390000000000004</v>
      </c>
      <c r="H934" s="4">
        <f t="shared" si="72"/>
        <v>0.14395963193826056</v>
      </c>
      <c r="I934" s="4">
        <f t="shared" si="73"/>
        <v>0</v>
      </c>
      <c r="J934" s="10">
        <f t="shared" si="71"/>
        <v>0</v>
      </c>
    </row>
    <row r="935" spans="1:10" x14ac:dyDescent="0.2">
      <c r="A935" s="20"/>
      <c r="B935" s="6" t="s">
        <v>21</v>
      </c>
      <c r="C935" s="23"/>
      <c r="D935">
        <v>888</v>
      </c>
      <c r="E935">
        <v>2.4060000000000001</v>
      </c>
      <c r="F935">
        <v>3.3010000000000002</v>
      </c>
      <c r="G935">
        <v>5.2709999999999999</v>
      </c>
      <c r="H935">
        <f t="shared" si="72"/>
        <v>0.13208118751893377</v>
      </c>
      <c r="I935">
        <f t="shared" si="73"/>
        <v>770.7119054831868</v>
      </c>
      <c r="J935" s="11" t="e">
        <f t="shared" si="71"/>
        <v>#DIV/0!</v>
      </c>
    </row>
    <row r="936" spans="1:10" x14ac:dyDescent="0.2">
      <c r="A936" s="25"/>
      <c r="B936" s="8" t="s">
        <v>22</v>
      </c>
      <c r="C936" s="26"/>
      <c r="D936" s="7"/>
      <c r="E936" s="7">
        <v>2.4180000000000001</v>
      </c>
      <c r="F936" s="7">
        <v>3.1309999999999998</v>
      </c>
      <c r="G936" s="7">
        <v>5.1109999999999998</v>
      </c>
      <c r="H936" s="7">
        <f t="shared" si="72"/>
        <v>0.13989140849568835</v>
      </c>
      <c r="I936" s="7">
        <f t="shared" si="73"/>
        <v>0</v>
      </c>
      <c r="J936" s="12" t="e">
        <f t="shared" si="71"/>
        <v>#DIV/0!</v>
      </c>
    </row>
    <row r="937" spans="1:10" x14ac:dyDescent="0.2">
      <c r="A937" s="19" t="s">
        <v>7</v>
      </c>
      <c r="B937" s="5" t="s">
        <v>20</v>
      </c>
      <c r="C937" s="22">
        <v>10</v>
      </c>
      <c r="D937" s="4"/>
      <c r="E937" s="4">
        <v>2.4380000000000002</v>
      </c>
      <c r="F937" s="4">
        <v>3.2170000000000001</v>
      </c>
      <c r="G937" s="4">
        <v>5.202</v>
      </c>
      <c r="H937" s="4">
        <f t="shared" si="72"/>
        <v>0.14081442337581607</v>
      </c>
      <c r="I937" s="4">
        <f t="shared" si="73"/>
        <v>0</v>
      </c>
      <c r="J937" s="10">
        <f t="shared" si="71"/>
        <v>0</v>
      </c>
    </row>
    <row r="938" spans="1:10" x14ac:dyDescent="0.2">
      <c r="A938" s="20"/>
      <c r="B938" s="6" t="s">
        <v>21</v>
      </c>
      <c r="C938" s="23"/>
      <c r="D938">
        <v>961</v>
      </c>
      <c r="E938">
        <v>2.4750000000000001</v>
      </c>
      <c r="F938">
        <v>3.0419999999999998</v>
      </c>
      <c r="G938">
        <v>5.093</v>
      </c>
      <c r="H938">
        <f t="shared" si="72"/>
        <v>0.13938198553583167</v>
      </c>
      <c r="I938">
        <f t="shared" si="73"/>
        <v>827.05391190006571</v>
      </c>
      <c r="J938" s="11" t="e">
        <f t="shared" si="71"/>
        <v>#DIV/0!</v>
      </c>
    </row>
    <row r="939" spans="1:10" x14ac:dyDescent="0.2">
      <c r="A939" s="25"/>
      <c r="B939" s="8" t="s">
        <v>22</v>
      </c>
      <c r="C939" s="26"/>
      <c r="D939" s="7"/>
      <c r="E939" s="7">
        <v>2.4500000000000002</v>
      </c>
      <c r="F939" s="7">
        <v>3.238</v>
      </c>
      <c r="G939" s="7">
        <v>5.2249999999999996</v>
      </c>
      <c r="H939" s="7">
        <f t="shared" si="72"/>
        <v>0.14298949969116756</v>
      </c>
      <c r="I939" s="7">
        <f t="shared" si="73"/>
        <v>0</v>
      </c>
      <c r="J939" s="12" t="e">
        <f t="shared" si="71"/>
        <v>#DIV/0!</v>
      </c>
    </row>
    <row r="940" spans="1:10" x14ac:dyDescent="0.2">
      <c r="A940" s="19" t="s">
        <v>8</v>
      </c>
      <c r="B940" s="5" t="s">
        <v>20</v>
      </c>
      <c r="C940" s="22">
        <v>10</v>
      </c>
      <c r="D940" s="4"/>
      <c r="E940" s="4">
        <v>2.4489999999999998</v>
      </c>
      <c r="F940" s="4">
        <v>3.2730000000000001</v>
      </c>
      <c r="G940" s="4">
        <v>5.23</v>
      </c>
      <c r="H940" s="4">
        <f t="shared" si="72"/>
        <v>0.15032080659944991</v>
      </c>
      <c r="I940" s="4">
        <f t="shared" si="73"/>
        <v>0</v>
      </c>
      <c r="J940" s="10">
        <f t="shared" si="71"/>
        <v>0</v>
      </c>
    </row>
    <row r="941" spans="1:10" x14ac:dyDescent="0.2">
      <c r="A941" s="20"/>
      <c r="B941" s="6" t="s">
        <v>21</v>
      </c>
      <c r="C941" s="23"/>
      <c r="D941">
        <v>957</v>
      </c>
      <c r="E941">
        <v>2.3940000000000001</v>
      </c>
      <c r="F941">
        <v>3.528</v>
      </c>
      <c r="G941">
        <v>5.4029999999999996</v>
      </c>
      <c r="H941">
        <f t="shared" si="72"/>
        <v>0.14710884353741513</v>
      </c>
      <c r="I941">
        <f t="shared" si="73"/>
        <v>816.21683673469374</v>
      </c>
      <c r="J941" s="11" t="e">
        <f t="shared" si="71"/>
        <v>#DIV/0!</v>
      </c>
    </row>
    <row r="942" spans="1:10" x14ac:dyDescent="0.2">
      <c r="A942" s="25"/>
      <c r="B942" s="8" t="s">
        <v>22</v>
      </c>
      <c r="C942" s="26"/>
      <c r="D942" s="7"/>
      <c r="E942" s="7">
        <v>2.4180000000000001</v>
      </c>
      <c r="F942" s="7">
        <v>3.1549999999999998</v>
      </c>
      <c r="G942" s="7">
        <v>5.0960000000000001</v>
      </c>
      <c r="H942" s="7">
        <f t="shared" si="72"/>
        <v>0.15118858954041201</v>
      </c>
      <c r="I942" s="7">
        <f t="shared" si="73"/>
        <v>0</v>
      </c>
      <c r="J942" s="12" t="e">
        <f t="shared" si="71"/>
        <v>#DIV/0!</v>
      </c>
    </row>
    <row r="943" spans="1:10" x14ac:dyDescent="0.2">
      <c r="A943" s="19" t="s">
        <v>9</v>
      </c>
      <c r="B943" s="5" t="s">
        <v>20</v>
      </c>
      <c r="C943" s="22">
        <v>10</v>
      </c>
      <c r="D943" s="4"/>
      <c r="E943" s="4">
        <v>2.419</v>
      </c>
      <c r="F943" s="4">
        <v>3.52</v>
      </c>
      <c r="G943" s="4">
        <v>5.319</v>
      </c>
      <c r="H943" s="4">
        <f t="shared" si="72"/>
        <v>0.17613636363636367</v>
      </c>
      <c r="I943" s="4">
        <f t="shared" si="73"/>
        <v>0</v>
      </c>
      <c r="J943" s="10">
        <f t="shared" si="71"/>
        <v>0</v>
      </c>
    </row>
    <row r="944" spans="1:10" x14ac:dyDescent="0.2">
      <c r="A944" s="20"/>
      <c r="B944" s="6" t="s">
        <v>21</v>
      </c>
      <c r="C944" s="23"/>
      <c r="D944">
        <v>970</v>
      </c>
      <c r="E944">
        <v>2.4550000000000001</v>
      </c>
      <c r="F944">
        <v>3.1869999999999998</v>
      </c>
      <c r="G944">
        <v>5.1340000000000003</v>
      </c>
      <c r="H944">
        <f t="shared" si="72"/>
        <v>0.15939755255726376</v>
      </c>
      <c r="I944">
        <f t="shared" si="73"/>
        <v>815.38437401945419</v>
      </c>
      <c r="J944" s="11" t="e">
        <f t="shared" si="71"/>
        <v>#DIV/0!</v>
      </c>
    </row>
    <row r="945" spans="1:10" x14ac:dyDescent="0.2">
      <c r="A945" s="25"/>
      <c r="B945" s="8" t="s">
        <v>22</v>
      </c>
      <c r="C945" s="26"/>
      <c r="D945" s="7"/>
      <c r="E945" s="7">
        <v>2.403</v>
      </c>
      <c r="F945" s="7">
        <v>3.24</v>
      </c>
      <c r="G945" s="7">
        <v>5.0810000000000004</v>
      </c>
      <c r="H945" s="7">
        <f t="shared" si="72"/>
        <v>0.17345679012345672</v>
      </c>
      <c r="I945" s="7">
        <f t="shared" si="73"/>
        <v>0</v>
      </c>
      <c r="J945" s="12" t="e">
        <f t="shared" si="71"/>
        <v>#DIV/0!</v>
      </c>
    </row>
    <row r="946" spans="1:10" x14ac:dyDescent="0.2">
      <c r="A946" s="19" t="s">
        <v>10</v>
      </c>
      <c r="B946" s="5" t="s">
        <v>20</v>
      </c>
      <c r="C946" s="22">
        <v>10</v>
      </c>
      <c r="D946" s="4"/>
      <c r="E946" s="4">
        <v>2.411</v>
      </c>
      <c r="F946" s="4">
        <v>3.0590000000000002</v>
      </c>
      <c r="G946" s="4">
        <v>4.4939999999999998</v>
      </c>
      <c r="H946" s="4">
        <f t="shared" si="72"/>
        <v>0.31905851585485467</v>
      </c>
      <c r="I946" s="4">
        <f t="shared" si="73"/>
        <v>0</v>
      </c>
      <c r="J946" s="10">
        <f t="shared" si="71"/>
        <v>0</v>
      </c>
    </row>
    <row r="947" spans="1:10" x14ac:dyDescent="0.2">
      <c r="A947" s="20"/>
      <c r="B947" s="6" t="s">
        <v>21</v>
      </c>
      <c r="C947" s="23"/>
      <c r="D947">
        <v>925</v>
      </c>
      <c r="E947">
        <v>2.4220000000000002</v>
      </c>
      <c r="F947">
        <v>3.3420000000000001</v>
      </c>
      <c r="G947">
        <v>5.2149999999999999</v>
      </c>
      <c r="H947">
        <f t="shared" si="72"/>
        <v>0.16427289048473978</v>
      </c>
      <c r="I947">
        <f t="shared" si="73"/>
        <v>773.04757630161566</v>
      </c>
      <c r="J947" s="11" t="e">
        <f t="shared" si="71"/>
        <v>#DIV/0!</v>
      </c>
    </row>
    <row r="948" spans="1:10" x14ac:dyDescent="0.2">
      <c r="A948" s="25"/>
      <c r="B948" s="8" t="s">
        <v>22</v>
      </c>
      <c r="C948" s="26"/>
      <c r="D948" s="7"/>
      <c r="E948" s="7">
        <v>2.4159999999999999</v>
      </c>
      <c r="F948" s="7">
        <v>3.1339999999999999</v>
      </c>
      <c r="G948" s="7">
        <v>5.016</v>
      </c>
      <c r="H948" s="7">
        <f t="shared" si="72"/>
        <v>0.17038927887683467</v>
      </c>
      <c r="I948" s="7">
        <f t="shared" si="73"/>
        <v>0</v>
      </c>
      <c r="J948" s="12" t="e">
        <f t="shared" si="71"/>
        <v>#DIV/0!</v>
      </c>
    </row>
    <row r="949" spans="1:10" x14ac:dyDescent="0.2">
      <c r="A949" s="19" t="s">
        <v>11</v>
      </c>
      <c r="B949" s="5" t="s">
        <v>20</v>
      </c>
      <c r="C949" s="22">
        <v>10</v>
      </c>
      <c r="D949" s="4"/>
      <c r="E949" s="4">
        <v>2.4409999999999998</v>
      </c>
      <c r="F949" s="4">
        <v>3.399</v>
      </c>
      <c r="G949" s="4">
        <v>5.2060000000000004</v>
      </c>
      <c r="H949" s="4">
        <f t="shared" si="72"/>
        <v>0.18652544866137083</v>
      </c>
      <c r="I949" s="4">
        <f t="shared" si="73"/>
        <v>0</v>
      </c>
      <c r="J949" s="10">
        <f t="shared" si="71"/>
        <v>0</v>
      </c>
    </row>
    <row r="950" spans="1:10" x14ac:dyDescent="0.2">
      <c r="A950" s="20"/>
      <c r="B950" s="6" t="s">
        <v>21</v>
      </c>
      <c r="C950" s="23"/>
      <c r="D950">
        <v>781</v>
      </c>
      <c r="E950">
        <v>2.448</v>
      </c>
      <c r="F950">
        <v>3.1230000000000002</v>
      </c>
      <c r="G950">
        <v>5.0179999999999998</v>
      </c>
      <c r="H950">
        <f t="shared" si="72"/>
        <v>0.17707332692923483</v>
      </c>
      <c r="I950">
        <f t="shared" si="73"/>
        <v>642.70573166826762</v>
      </c>
      <c r="J950" s="11" t="e">
        <f t="shared" si="71"/>
        <v>#DIV/0!</v>
      </c>
    </row>
    <row r="951" spans="1:10" x14ac:dyDescent="0.2">
      <c r="A951" s="25"/>
      <c r="B951" s="8" t="s">
        <v>22</v>
      </c>
      <c r="C951" s="26"/>
      <c r="D951" s="7"/>
      <c r="E951" s="7">
        <v>2.4790000000000001</v>
      </c>
      <c r="F951" s="7">
        <v>3.1859999999999999</v>
      </c>
      <c r="G951" s="7">
        <v>5.048</v>
      </c>
      <c r="H951" s="7">
        <f t="shared" si="72"/>
        <v>0.19365976145637162</v>
      </c>
      <c r="I951" s="7">
        <f t="shared" si="73"/>
        <v>0</v>
      </c>
      <c r="J951" s="12" t="e">
        <f t="shared" si="71"/>
        <v>#DIV/0!</v>
      </c>
    </row>
    <row r="952" spans="1:10" x14ac:dyDescent="0.2">
      <c r="A952" s="19" t="s">
        <v>12</v>
      </c>
      <c r="B952" s="5" t="s">
        <v>20</v>
      </c>
      <c r="C952" s="22">
        <v>10</v>
      </c>
      <c r="D952" s="4"/>
      <c r="E952" s="4">
        <v>2.4409999999999998</v>
      </c>
      <c r="F952" s="4">
        <v>3.508</v>
      </c>
      <c r="G952" s="4">
        <v>5.2919999999999998</v>
      </c>
      <c r="H952" s="4">
        <f t="shared" si="72"/>
        <v>0.18728620296465223</v>
      </c>
      <c r="I952" s="4">
        <f t="shared" si="73"/>
        <v>0</v>
      </c>
      <c r="J952" s="10">
        <f t="shared" si="71"/>
        <v>0</v>
      </c>
    </row>
    <row r="953" spans="1:10" x14ac:dyDescent="0.2">
      <c r="A953" s="20"/>
      <c r="B953" s="6" t="s">
        <v>21</v>
      </c>
      <c r="C953" s="23"/>
      <c r="D953">
        <v>701</v>
      </c>
      <c r="E953">
        <v>2.4390000000000001</v>
      </c>
      <c r="F953">
        <v>3.7269999999999999</v>
      </c>
      <c r="G953">
        <v>5.468</v>
      </c>
      <c r="H953">
        <f t="shared" si="72"/>
        <v>0.18728199624362757</v>
      </c>
      <c r="I953">
        <f t="shared" si="73"/>
        <v>569.71532063321706</v>
      </c>
      <c r="J953" s="11" t="e">
        <f t="shared" si="71"/>
        <v>#DIV/0!</v>
      </c>
    </row>
    <row r="954" spans="1:10" x14ac:dyDescent="0.2">
      <c r="A954" s="25"/>
      <c r="B954" s="8" t="s">
        <v>22</v>
      </c>
      <c r="C954" s="26"/>
      <c r="D954" s="7"/>
      <c r="E954" s="7">
        <v>2.4470000000000001</v>
      </c>
      <c r="F954" s="7">
        <v>3.1619999999999999</v>
      </c>
      <c r="G954" s="7">
        <v>5.0190000000000001</v>
      </c>
      <c r="H954" s="7">
        <f t="shared" si="72"/>
        <v>0.18659076533839339</v>
      </c>
      <c r="I954" s="7">
        <f t="shared" si="73"/>
        <v>0</v>
      </c>
      <c r="J954" s="12" t="e">
        <f t="shared" si="71"/>
        <v>#DIV/0!</v>
      </c>
    </row>
    <row r="955" spans="1:10" x14ac:dyDescent="0.2">
      <c r="A955" s="19" t="s">
        <v>13</v>
      </c>
      <c r="B955" s="5" t="s">
        <v>20</v>
      </c>
      <c r="C955" s="22">
        <v>10</v>
      </c>
      <c r="D955" s="4"/>
      <c r="E955" s="4"/>
      <c r="F955" s="4"/>
      <c r="G955" s="4"/>
      <c r="H955" s="4" t="e">
        <f t="shared" si="72"/>
        <v>#DIV/0!</v>
      </c>
      <c r="I955" s="4" t="e">
        <f t="shared" si="73"/>
        <v>#DIV/0!</v>
      </c>
      <c r="J955" s="10" t="e">
        <f t="shared" si="71"/>
        <v>#DIV/0!</v>
      </c>
    </row>
    <row r="956" spans="1:10" x14ac:dyDescent="0.2">
      <c r="A956" s="20"/>
      <c r="B956" s="6" t="s">
        <v>21</v>
      </c>
      <c r="C956" s="23"/>
      <c r="H956" t="e">
        <f t="shared" si="72"/>
        <v>#DIV/0!</v>
      </c>
      <c r="I956" t="e">
        <f t="shared" si="73"/>
        <v>#DIV/0!</v>
      </c>
      <c r="J956" s="11" t="e">
        <f t="shared" si="71"/>
        <v>#DIV/0!</v>
      </c>
    </row>
    <row r="957" spans="1:10" x14ac:dyDescent="0.2">
      <c r="A957" s="25"/>
      <c r="B957" s="8" t="s">
        <v>22</v>
      </c>
      <c r="C957" s="26"/>
      <c r="D957" s="7"/>
      <c r="E957" s="7"/>
      <c r="F957" s="7"/>
      <c r="G957" s="7"/>
      <c r="H957" s="7" t="e">
        <f t="shared" si="72"/>
        <v>#DIV/0!</v>
      </c>
      <c r="I957" s="7" t="e">
        <f t="shared" si="73"/>
        <v>#DIV/0!</v>
      </c>
      <c r="J957" s="12" t="e">
        <f t="shared" si="71"/>
        <v>#DIV/0!</v>
      </c>
    </row>
    <row r="958" spans="1:10" x14ac:dyDescent="0.2">
      <c r="A958" s="19" t="s">
        <v>14</v>
      </c>
      <c r="B958" s="5" t="s">
        <v>20</v>
      </c>
      <c r="C958" s="22">
        <v>10</v>
      </c>
      <c r="D958" s="4"/>
      <c r="E958" s="4"/>
      <c r="F958" s="4"/>
      <c r="G958" s="4"/>
      <c r="H958" s="4" t="e">
        <f t="shared" si="72"/>
        <v>#DIV/0!</v>
      </c>
      <c r="I958" s="4" t="e">
        <f t="shared" si="73"/>
        <v>#DIV/0!</v>
      </c>
      <c r="J958" s="10" t="e">
        <f t="shared" si="71"/>
        <v>#DIV/0!</v>
      </c>
    </row>
    <row r="959" spans="1:10" x14ac:dyDescent="0.2">
      <c r="A959" s="20"/>
      <c r="B959" s="6" t="s">
        <v>21</v>
      </c>
      <c r="C959" s="23"/>
      <c r="H959" t="e">
        <f t="shared" si="72"/>
        <v>#DIV/0!</v>
      </c>
      <c r="I959" t="e">
        <f t="shared" si="73"/>
        <v>#DIV/0!</v>
      </c>
      <c r="J959" s="11" t="e">
        <f t="shared" si="71"/>
        <v>#DIV/0!</v>
      </c>
    </row>
    <row r="960" spans="1:10" ht="16" thickBot="1" x14ac:dyDescent="0.25">
      <c r="A960" s="21"/>
      <c r="B960" s="15" t="s">
        <v>22</v>
      </c>
      <c r="C960" s="24"/>
      <c r="D960" s="13"/>
      <c r="E960" s="13"/>
      <c r="F960" s="13"/>
      <c r="G960" s="13"/>
      <c r="H960" s="13" t="e">
        <f t="shared" si="72"/>
        <v>#DIV/0!</v>
      </c>
      <c r="I960" s="13" t="e">
        <f t="shared" si="73"/>
        <v>#DIV/0!</v>
      </c>
      <c r="J960" s="14" t="e">
        <f t="shared" si="71"/>
        <v>#DIV/0!</v>
      </c>
    </row>
    <row r="961" spans="1:10" ht="16" thickBot="1" x14ac:dyDescent="0.25">
      <c r="A961" s="44" t="s">
        <v>1</v>
      </c>
      <c r="B961" s="33"/>
      <c r="C961" s="33"/>
      <c r="D961" s="33" t="s">
        <v>46</v>
      </c>
      <c r="E961" s="34"/>
      <c r="F961" s="9" t="s">
        <v>0</v>
      </c>
      <c r="G961" s="18">
        <v>44157</v>
      </c>
      <c r="H961" s="35" t="s">
        <v>24</v>
      </c>
      <c r="I961" s="36"/>
      <c r="J961" s="1">
        <v>90</v>
      </c>
    </row>
    <row r="962" spans="1:10" ht="16" thickBot="1" x14ac:dyDescent="0.25">
      <c r="A962" s="37" t="s">
        <v>2</v>
      </c>
      <c r="B962" s="38"/>
      <c r="C962" s="38"/>
      <c r="D962" s="38"/>
      <c r="E962" s="39"/>
      <c r="F962" s="40"/>
      <c r="G962" s="41"/>
      <c r="H962" s="42" t="s">
        <v>25</v>
      </c>
      <c r="I962" s="43"/>
      <c r="J962" s="2">
        <v>20</v>
      </c>
    </row>
    <row r="963" spans="1:10" ht="16" thickBot="1" x14ac:dyDescent="0.25">
      <c r="A963" s="45" t="s">
        <v>27</v>
      </c>
      <c r="B963" s="27"/>
      <c r="C963" s="27"/>
      <c r="D963" s="27" t="s">
        <v>33</v>
      </c>
      <c r="E963" s="28"/>
      <c r="F963" s="16" t="s">
        <v>30</v>
      </c>
      <c r="G963" s="16">
        <v>3.81</v>
      </c>
      <c r="H963" s="29" t="s">
        <v>26</v>
      </c>
      <c r="I963" s="30"/>
      <c r="J963" s="3">
        <v>40</v>
      </c>
    </row>
    <row r="964" spans="1:10" x14ac:dyDescent="0.2">
      <c r="A964" s="31"/>
      <c r="B964" s="32"/>
      <c r="C964" s="16" t="s">
        <v>29</v>
      </c>
      <c r="D964" s="16" t="s">
        <v>19</v>
      </c>
      <c r="E964" s="16" t="s">
        <v>15</v>
      </c>
      <c r="F964" s="16" t="s">
        <v>18</v>
      </c>
      <c r="G964" s="16" t="s">
        <v>17</v>
      </c>
      <c r="H964" s="16" t="s">
        <v>28</v>
      </c>
      <c r="I964" s="16" t="s">
        <v>16</v>
      </c>
      <c r="J964" s="17" t="s">
        <v>23</v>
      </c>
    </row>
    <row r="965" spans="1:10" x14ac:dyDescent="0.2">
      <c r="A965" s="19" t="s">
        <v>3</v>
      </c>
      <c r="B965" s="5" t="s">
        <v>20</v>
      </c>
      <c r="C965" s="22">
        <v>10</v>
      </c>
      <c r="D965" s="4"/>
      <c r="E965" s="4">
        <v>2.484</v>
      </c>
      <c r="F965" s="4">
        <v>3.0529999999999999</v>
      </c>
      <c r="G965" s="4">
        <v>4.8970000000000002</v>
      </c>
      <c r="H965" s="4">
        <f>(F965-(G965-E965))/F965</f>
        <v>0.2096298722567965</v>
      </c>
      <c r="I965" s="4">
        <f>D965-H965*D965</f>
        <v>0</v>
      </c>
      <c r="J965" s="10">
        <f t="shared" ref="J965:J1000" si="74">I965/($G$3^2*C965*PI())</f>
        <v>0</v>
      </c>
    </row>
    <row r="966" spans="1:10" x14ac:dyDescent="0.2">
      <c r="A966" s="20"/>
      <c r="B966" s="6" t="s">
        <v>21</v>
      </c>
      <c r="C966" s="23"/>
      <c r="D966">
        <v>620</v>
      </c>
      <c r="E966">
        <v>2.4860000000000002</v>
      </c>
      <c r="F966">
        <v>3.4809999999999999</v>
      </c>
      <c r="G966">
        <v>5.2329999999999997</v>
      </c>
      <c r="H966">
        <f t="shared" ref="H966:H1000" si="75">(F966-(G966-E966))/F966</f>
        <v>0.21085894857799495</v>
      </c>
      <c r="I966">
        <f t="shared" ref="I966:I1000" si="76">D966-H966*D966</f>
        <v>489.26745188164313</v>
      </c>
      <c r="J966" s="11" t="e">
        <f t="shared" si="74"/>
        <v>#DIV/0!</v>
      </c>
    </row>
    <row r="967" spans="1:10" x14ac:dyDescent="0.2">
      <c r="A967" s="25"/>
      <c r="B967" s="8" t="s">
        <v>22</v>
      </c>
      <c r="C967" s="26"/>
      <c r="D967" s="7"/>
      <c r="E967" s="7">
        <v>2.448</v>
      </c>
      <c r="F967" s="7">
        <v>3.6709999999999998</v>
      </c>
      <c r="G967" s="7">
        <v>5.3339999999999996</v>
      </c>
      <c r="H967" s="7">
        <f t="shared" si="75"/>
        <v>0.21383819122854814</v>
      </c>
      <c r="I967" s="7">
        <f t="shared" si="76"/>
        <v>0</v>
      </c>
      <c r="J967" s="12" t="e">
        <f t="shared" si="74"/>
        <v>#DIV/0!</v>
      </c>
    </row>
    <row r="968" spans="1:10" x14ac:dyDescent="0.2">
      <c r="A968" s="19" t="s">
        <v>4</v>
      </c>
      <c r="B968" s="5" t="s">
        <v>20</v>
      </c>
      <c r="C968" s="23">
        <v>10</v>
      </c>
      <c r="E968">
        <v>2.444</v>
      </c>
      <c r="F968">
        <v>3.0430000000000001</v>
      </c>
      <c r="G968">
        <v>4.8600000000000003</v>
      </c>
      <c r="H968" s="4">
        <f t="shared" si="75"/>
        <v>0.20604666447584613</v>
      </c>
      <c r="I968" s="4">
        <f t="shared" si="76"/>
        <v>0</v>
      </c>
      <c r="J968" s="10">
        <f t="shared" si="74"/>
        <v>0</v>
      </c>
    </row>
    <row r="969" spans="1:10" x14ac:dyDescent="0.2">
      <c r="A969" s="20"/>
      <c r="B969" s="6" t="s">
        <v>21</v>
      </c>
      <c r="C969" s="23"/>
      <c r="D969">
        <v>741</v>
      </c>
      <c r="E969">
        <v>2.4289999999999998</v>
      </c>
      <c r="F969">
        <v>3.23</v>
      </c>
      <c r="G969">
        <v>4.9349999999999996</v>
      </c>
      <c r="H969">
        <f t="shared" si="75"/>
        <v>0.22414860681114557</v>
      </c>
      <c r="I969">
        <f t="shared" si="76"/>
        <v>574.90588235294115</v>
      </c>
      <c r="J969" s="11" t="e">
        <f t="shared" si="74"/>
        <v>#DIV/0!</v>
      </c>
    </row>
    <row r="970" spans="1:10" x14ac:dyDescent="0.2">
      <c r="A970" s="25"/>
      <c r="B970" s="8" t="s">
        <v>22</v>
      </c>
      <c r="C970" s="26"/>
      <c r="D970" s="7"/>
      <c r="E970" s="7">
        <v>2.4140000000000001</v>
      </c>
      <c r="F970" s="7">
        <v>3.2010000000000001</v>
      </c>
      <c r="G970" s="7">
        <v>4.8949999999999996</v>
      </c>
      <c r="H970" s="7">
        <f t="shared" si="75"/>
        <v>0.22492970946579213</v>
      </c>
      <c r="I970" s="7">
        <f t="shared" si="76"/>
        <v>0</v>
      </c>
      <c r="J970" s="12" t="e">
        <f t="shared" si="74"/>
        <v>#DIV/0!</v>
      </c>
    </row>
    <row r="971" spans="1:10" x14ac:dyDescent="0.2">
      <c r="A971" s="19" t="s">
        <v>5</v>
      </c>
      <c r="B971" s="5" t="s">
        <v>20</v>
      </c>
      <c r="C971" s="22">
        <v>10</v>
      </c>
      <c r="D971" s="4"/>
      <c r="E971" s="4">
        <v>2.415</v>
      </c>
      <c r="F971" s="4">
        <v>3.468</v>
      </c>
      <c r="G971" s="4">
        <v>5.1260000000000003</v>
      </c>
      <c r="H971" s="4">
        <f t="shared" si="75"/>
        <v>0.21828143021914639</v>
      </c>
      <c r="I971" s="4">
        <f t="shared" si="76"/>
        <v>0</v>
      </c>
      <c r="J971" s="10">
        <f t="shared" si="74"/>
        <v>0</v>
      </c>
    </row>
    <row r="972" spans="1:10" x14ac:dyDescent="0.2">
      <c r="A972" s="20"/>
      <c r="B972" s="6" t="s">
        <v>21</v>
      </c>
      <c r="C972" s="23"/>
      <c r="D972">
        <v>790</v>
      </c>
      <c r="E972">
        <v>2.4670000000000001</v>
      </c>
      <c r="F972">
        <v>3.1269999999999998</v>
      </c>
      <c r="G972">
        <v>4.9630000000000001</v>
      </c>
      <c r="H972">
        <f t="shared" si="75"/>
        <v>0.20179085385353368</v>
      </c>
      <c r="I972">
        <f t="shared" si="76"/>
        <v>630.58522545570838</v>
      </c>
      <c r="J972" s="11" t="e">
        <f t="shared" si="74"/>
        <v>#DIV/0!</v>
      </c>
    </row>
    <row r="973" spans="1:10" x14ac:dyDescent="0.2">
      <c r="A973" s="25"/>
      <c r="B973" s="8" t="s">
        <v>22</v>
      </c>
      <c r="C973" s="26"/>
      <c r="D973" s="7"/>
      <c r="E973" s="7">
        <v>2.4209999999999998</v>
      </c>
      <c r="F973" s="7">
        <v>3.0649999999999999</v>
      </c>
      <c r="G973" s="7">
        <v>4.84</v>
      </c>
      <c r="H973" s="7">
        <f t="shared" si="75"/>
        <v>0.21076672104404565</v>
      </c>
      <c r="I973" s="7">
        <f t="shared" si="76"/>
        <v>0</v>
      </c>
      <c r="J973" s="12" t="e">
        <f t="shared" si="74"/>
        <v>#DIV/0!</v>
      </c>
    </row>
    <row r="974" spans="1:10" x14ac:dyDescent="0.2">
      <c r="A974" s="19" t="s">
        <v>6</v>
      </c>
      <c r="B974" s="5" t="s">
        <v>20</v>
      </c>
      <c r="C974" s="22">
        <v>10</v>
      </c>
      <c r="D974" s="4"/>
      <c r="E974" s="4">
        <v>2.427</v>
      </c>
      <c r="F974" s="4">
        <v>3.2320000000000002</v>
      </c>
      <c r="G974" s="4">
        <v>5.0039999999999996</v>
      </c>
      <c r="H974" s="4">
        <f t="shared" si="75"/>
        <v>0.20266089108910912</v>
      </c>
      <c r="I974" s="4">
        <f t="shared" si="76"/>
        <v>0</v>
      </c>
      <c r="J974" s="10">
        <f t="shared" si="74"/>
        <v>0</v>
      </c>
    </row>
    <row r="975" spans="1:10" x14ac:dyDescent="0.2">
      <c r="A975" s="20"/>
      <c r="B975" s="6" t="s">
        <v>21</v>
      </c>
      <c r="C975" s="23"/>
      <c r="D975">
        <v>758</v>
      </c>
      <c r="E975">
        <v>2.4529999999999998</v>
      </c>
      <c r="F975">
        <v>3.2309999999999999</v>
      </c>
      <c r="G975">
        <v>4.9939999999999998</v>
      </c>
      <c r="H975">
        <f t="shared" si="75"/>
        <v>0.21355617455896006</v>
      </c>
      <c r="I975">
        <f t="shared" si="76"/>
        <v>596.12441968430824</v>
      </c>
      <c r="J975" s="11" t="e">
        <f t="shared" si="74"/>
        <v>#DIV/0!</v>
      </c>
    </row>
    <row r="976" spans="1:10" x14ac:dyDescent="0.2">
      <c r="A976" s="25"/>
      <c r="B976" s="8" t="s">
        <v>22</v>
      </c>
      <c r="C976" s="26"/>
      <c r="D976" s="7"/>
      <c r="E976" s="7">
        <v>2.4340000000000002</v>
      </c>
      <c r="F976" s="7">
        <v>3.4129999999999998</v>
      </c>
      <c r="G976" s="7">
        <v>5.1159999999999997</v>
      </c>
      <c r="H976" s="7">
        <f t="shared" si="75"/>
        <v>0.21418107237034878</v>
      </c>
      <c r="I976" s="7">
        <f t="shared" si="76"/>
        <v>0</v>
      </c>
      <c r="J976" s="12" t="e">
        <f t="shared" si="74"/>
        <v>#DIV/0!</v>
      </c>
    </row>
    <row r="977" spans="1:10" x14ac:dyDescent="0.2">
      <c r="A977" s="19" t="s">
        <v>7</v>
      </c>
      <c r="B977" s="5" t="s">
        <v>20</v>
      </c>
      <c r="C977" s="22">
        <v>10</v>
      </c>
      <c r="D977" s="4"/>
      <c r="E977" s="4">
        <v>2.4449999999999998</v>
      </c>
      <c r="F977" s="4">
        <v>3.0960000000000001</v>
      </c>
      <c r="G977" s="4">
        <v>4.9279999999999999</v>
      </c>
      <c r="H977" s="4">
        <f t="shared" si="75"/>
        <v>0.19799741602067183</v>
      </c>
      <c r="I977" s="4">
        <f t="shared" si="76"/>
        <v>0</v>
      </c>
      <c r="J977" s="10">
        <f t="shared" si="74"/>
        <v>0</v>
      </c>
    </row>
    <row r="978" spans="1:10" x14ac:dyDescent="0.2">
      <c r="A978" s="20"/>
      <c r="B978" s="6" t="s">
        <v>21</v>
      </c>
      <c r="C978" s="23"/>
      <c r="D978">
        <v>803</v>
      </c>
      <c r="E978">
        <v>2.4129999999999998</v>
      </c>
      <c r="F978">
        <v>3.4039999999999999</v>
      </c>
      <c r="G978">
        <v>5.1020000000000003</v>
      </c>
      <c r="H978">
        <f t="shared" si="75"/>
        <v>0.21004700352526423</v>
      </c>
      <c r="I978">
        <f t="shared" si="76"/>
        <v>634.33225616921277</v>
      </c>
      <c r="J978" s="11" t="e">
        <f t="shared" si="74"/>
        <v>#DIV/0!</v>
      </c>
    </row>
    <row r="979" spans="1:10" x14ac:dyDescent="0.2">
      <c r="A979" s="25"/>
      <c r="B979" s="8" t="s">
        <v>22</v>
      </c>
      <c r="C979" s="26"/>
      <c r="D979" s="7"/>
      <c r="E979" s="7">
        <v>2.4359999999999999</v>
      </c>
      <c r="F979" s="7">
        <v>3.089</v>
      </c>
      <c r="G979" s="7">
        <v>4.8680000000000003</v>
      </c>
      <c r="H979" s="7">
        <f t="shared" si="75"/>
        <v>0.2126901910003236</v>
      </c>
      <c r="I979" s="7">
        <f t="shared" si="76"/>
        <v>0</v>
      </c>
      <c r="J979" s="12" t="e">
        <f t="shared" si="74"/>
        <v>#DIV/0!</v>
      </c>
    </row>
    <row r="980" spans="1:10" x14ac:dyDescent="0.2">
      <c r="A980" s="19" t="s">
        <v>8</v>
      </c>
      <c r="B980" s="5" t="s">
        <v>20</v>
      </c>
      <c r="C980" s="22">
        <v>10</v>
      </c>
      <c r="D980" s="4"/>
      <c r="E980" s="4">
        <v>2.4239999999999999</v>
      </c>
      <c r="F980" s="4">
        <v>3.0579999999999998</v>
      </c>
      <c r="G980" s="4">
        <v>4.9770000000000003</v>
      </c>
      <c r="H980" s="4">
        <f t="shared" si="75"/>
        <v>0.16514061478090239</v>
      </c>
      <c r="I980" s="4">
        <f t="shared" si="76"/>
        <v>0</v>
      </c>
      <c r="J980" s="10">
        <f t="shared" si="74"/>
        <v>0</v>
      </c>
    </row>
    <row r="981" spans="1:10" x14ac:dyDescent="0.2">
      <c r="A981" s="20"/>
      <c r="B981" s="6" t="s">
        <v>21</v>
      </c>
      <c r="C981" s="23"/>
      <c r="D981">
        <v>802</v>
      </c>
      <c r="E981">
        <v>2.4430000000000001</v>
      </c>
      <c r="F981">
        <v>3.0920000000000001</v>
      </c>
      <c r="G981">
        <v>4.9969999999999999</v>
      </c>
      <c r="H981">
        <f t="shared" si="75"/>
        <v>0.17399741267787847</v>
      </c>
      <c r="I981">
        <f t="shared" si="76"/>
        <v>662.45407503234151</v>
      </c>
      <c r="J981" s="11" t="e">
        <f t="shared" si="74"/>
        <v>#DIV/0!</v>
      </c>
    </row>
    <row r="982" spans="1:10" x14ac:dyDescent="0.2">
      <c r="A982" s="25"/>
      <c r="B982" s="8" t="s">
        <v>22</v>
      </c>
      <c r="C982" s="26"/>
      <c r="D982" s="7"/>
      <c r="E982" s="7">
        <v>2.4049999999999998</v>
      </c>
      <c r="F982" s="7">
        <v>3.2589999999999999</v>
      </c>
      <c r="G982" s="7">
        <v>5.093</v>
      </c>
      <c r="H982" s="7">
        <f t="shared" si="75"/>
        <v>0.17520711874808215</v>
      </c>
      <c r="I982" s="7">
        <f t="shared" si="76"/>
        <v>0</v>
      </c>
      <c r="J982" s="12" t="e">
        <f t="shared" si="74"/>
        <v>#DIV/0!</v>
      </c>
    </row>
    <row r="983" spans="1:10" x14ac:dyDescent="0.2">
      <c r="A983" s="19" t="s">
        <v>9</v>
      </c>
      <c r="B983" s="5" t="s">
        <v>20</v>
      </c>
      <c r="C983" s="22">
        <v>10</v>
      </c>
      <c r="D983" s="4"/>
      <c r="E983" s="4">
        <v>2.4340000000000002</v>
      </c>
      <c r="F983" s="4">
        <v>3.194</v>
      </c>
      <c r="G983" s="4">
        <v>5</v>
      </c>
      <c r="H983" s="4">
        <f t="shared" si="75"/>
        <v>0.19661865998747655</v>
      </c>
      <c r="I983" s="4">
        <f t="shared" si="76"/>
        <v>0</v>
      </c>
      <c r="J983" s="10">
        <f t="shared" si="74"/>
        <v>0</v>
      </c>
    </row>
    <row r="984" spans="1:10" x14ac:dyDescent="0.2">
      <c r="A984" s="20"/>
      <c r="B984" s="6" t="s">
        <v>21</v>
      </c>
      <c r="C984" s="23"/>
      <c r="D984">
        <v>768</v>
      </c>
      <c r="E984">
        <v>2.4319999999999999</v>
      </c>
      <c r="F984">
        <v>3.0990000000000002</v>
      </c>
      <c r="G984">
        <v>4.92</v>
      </c>
      <c r="H984">
        <f t="shared" si="75"/>
        <v>0.19716037431429498</v>
      </c>
      <c r="I984">
        <f t="shared" si="76"/>
        <v>616.58083252662141</v>
      </c>
      <c r="J984" s="11" t="e">
        <f t="shared" si="74"/>
        <v>#DIV/0!</v>
      </c>
    </row>
    <row r="985" spans="1:10" x14ac:dyDescent="0.2">
      <c r="A985" s="25"/>
      <c r="B985" s="8" t="s">
        <v>22</v>
      </c>
      <c r="C985" s="26"/>
      <c r="D985" s="7"/>
      <c r="E985" s="7">
        <v>2.4420000000000002</v>
      </c>
      <c r="F985" s="7">
        <v>3.0350000000000001</v>
      </c>
      <c r="G985" s="7">
        <v>4.8689999999999998</v>
      </c>
      <c r="H985" s="7">
        <f t="shared" si="75"/>
        <v>0.20032948929159819</v>
      </c>
      <c r="I985" s="7">
        <f t="shared" si="76"/>
        <v>0</v>
      </c>
      <c r="J985" s="12" t="e">
        <f t="shared" si="74"/>
        <v>#DIV/0!</v>
      </c>
    </row>
    <row r="986" spans="1:10" x14ac:dyDescent="0.2">
      <c r="A986" s="19" t="s">
        <v>10</v>
      </c>
      <c r="B986" s="5" t="s">
        <v>20</v>
      </c>
      <c r="C986" s="22">
        <v>10</v>
      </c>
      <c r="D986" s="4"/>
      <c r="E986" s="4">
        <v>2.431</v>
      </c>
      <c r="F986" s="4">
        <v>3.016</v>
      </c>
      <c r="G986" s="4">
        <v>4.9660000000000002</v>
      </c>
      <c r="H986" s="4">
        <f t="shared" si="75"/>
        <v>0.15948275862068961</v>
      </c>
      <c r="I986" s="4">
        <f t="shared" si="76"/>
        <v>0</v>
      </c>
      <c r="J986" s="10">
        <f t="shared" si="74"/>
        <v>0</v>
      </c>
    </row>
    <row r="987" spans="1:10" x14ac:dyDescent="0.2">
      <c r="A987" s="20"/>
      <c r="B987" s="6" t="s">
        <v>21</v>
      </c>
      <c r="C987" s="23"/>
      <c r="D987">
        <v>906</v>
      </c>
      <c r="E987">
        <v>2.4609999999999999</v>
      </c>
      <c r="F987">
        <v>3.2040000000000002</v>
      </c>
      <c r="G987">
        <v>5.0229999999999997</v>
      </c>
      <c r="H987">
        <f t="shared" si="75"/>
        <v>0.20037453183520609</v>
      </c>
      <c r="I987">
        <f t="shared" si="76"/>
        <v>724.46067415730329</v>
      </c>
      <c r="J987" s="11" t="e">
        <f t="shared" si="74"/>
        <v>#DIV/0!</v>
      </c>
    </row>
    <row r="988" spans="1:10" x14ac:dyDescent="0.2">
      <c r="A988" s="25"/>
      <c r="B988" s="8" t="s">
        <v>22</v>
      </c>
      <c r="C988" s="26"/>
      <c r="D988" s="7"/>
      <c r="E988" s="7">
        <v>2.4500000000000002</v>
      </c>
      <c r="F988" s="7">
        <v>3.0830000000000002</v>
      </c>
      <c r="G988" s="7">
        <v>4.9589999999999996</v>
      </c>
      <c r="H988" s="7">
        <f t="shared" si="75"/>
        <v>0.18618228997729508</v>
      </c>
      <c r="I988" s="7">
        <f t="shared" si="76"/>
        <v>0</v>
      </c>
      <c r="J988" s="12" t="e">
        <f t="shared" si="74"/>
        <v>#DIV/0!</v>
      </c>
    </row>
    <row r="989" spans="1:10" x14ac:dyDescent="0.2">
      <c r="A989" s="19" t="s">
        <v>11</v>
      </c>
      <c r="B989" s="5" t="s">
        <v>20</v>
      </c>
      <c r="C989" s="22">
        <v>10</v>
      </c>
      <c r="D989" s="4"/>
      <c r="E989" s="4">
        <v>2.4350000000000001</v>
      </c>
      <c r="F989" s="4">
        <v>3.0289999999999999</v>
      </c>
      <c r="G989" s="4">
        <v>4.8659999999999997</v>
      </c>
      <c r="H989" s="4">
        <f t="shared" si="75"/>
        <v>0.19742489270386276</v>
      </c>
      <c r="I989" s="4">
        <f t="shared" si="76"/>
        <v>0</v>
      </c>
      <c r="J989" s="10">
        <f t="shared" si="74"/>
        <v>0</v>
      </c>
    </row>
    <row r="990" spans="1:10" x14ac:dyDescent="0.2">
      <c r="A990" s="20"/>
      <c r="B990" s="6" t="s">
        <v>21</v>
      </c>
      <c r="C990" s="23"/>
      <c r="D990">
        <v>841</v>
      </c>
      <c r="E990">
        <v>2.4420000000000002</v>
      </c>
      <c r="F990">
        <v>3.0859999999999999</v>
      </c>
      <c r="G990">
        <v>4.9029999999999996</v>
      </c>
      <c r="H990">
        <f t="shared" si="75"/>
        <v>0.20252754374594961</v>
      </c>
      <c r="I990">
        <f t="shared" si="76"/>
        <v>670.67433570965636</v>
      </c>
      <c r="J990" s="11" t="e">
        <f t="shared" si="74"/>
        <v>#DIV/0!</v>
      </c>
    </row>
    <row r="991" spans="1:10" x14ac:dyDescent="0.2">
      <c r="A991" s="25"/>
      <c r="B991" s="8" t="s">
        <v>22</v>
      </c>
      <c r="C991" s="26"/>
      <c r="D991" s="7"/>
      <c r="E991" s="7">
        <v>2.4119999999999999</v>
      </c>
      <c r="F991" s="7">
        <v>3.13</v>
      </c>
      <c r="G991" s="7">
        <v>4.97</v>
      </c>
      <c r="H991" s="7">
        <f t="shared" si="75"/>
        <v>0.18274760383386585</v>
      </c>
      <c r="I991" s="7">
        <f t="shared" si="76"/>
        <v>0</v>
      </c>
      <c r="J991" s="12" t="e">
        <f t="shared" si="74"/>
        <v>#DIV/0!</v>
      </c>
    </row>
    <row r="992" spans="1:10" x14ac:dyDescent="0.2">
      <c r="A992" s="19" t="s">
        <v>12</v>
      </c>
      <c r="B992" s="5" t="s">
        <v>20</v>
      </c>
      <c r="C992" s="22">
        <v>10</v>
      </c>
      <c r="D992" s="4"/>
      <c r="E992" s="4"/>
      <c r="F992" s="4"/>
      <c r="G992" s="4"/>
      <c r="H992" s="4" t="e">
        <f t="shared" si="75"/>
        <v>#DIV/0!</v>
      </c>
      <c r="I992" s="4" t="e">
        <f t="shared" si="76"/>
        <v>#DIV/0!</v>
      </c>
      <c r="J992" s="10" t="e">
        <f t="shared" si="74"/>
        <v>#DIV/0!</v>
      </c>
    </row>
    <row r="993" spans="1:10" x14ac:dyDescent="0.2">
      <c r="A993" s="20"/>
      <c r="B993" s="6" t="s">
        <v>21</v>
      </c>
      <c r="C993" s="23"/>
      <c r="H993" t="e">
        <f t="shared" si="75"/>
        <v>#DIV/0!</v>
      </c>
      <c r="I993" t="e">
        <f t="shared" si="76"/>
        <v>#DIV/0!</v>
      </c>
      <c r="J993" s="11" t="e">
        <f t="shared" si="74"/>
        <v>#DIV/0!</v>
      </c>
    </row>
    <row r="994" spans="1:10" x14ac:dyDescent="0.2">
      <c r="A994" s="25"/>
      <c r="B994" s="8" t="s">
        <v>22</v>
      </c>
      <c r="C994" s="26"/>
      <c r="D994" s="7"/>
      <c r="E994" s="7"/>
      <c r="F994" s="7"/>
      <c r="G994" s="7"/>
      <c r="H994" s="7" t="e">
        <f t="shared" si="75"/>
        <v>#DIV/0!</v>
      </c>
      <c r="I994" s="7" t="e">
        <f t="shared" si="76"/>
        <v>#DIV/0!</v>
      </c>
      <c r="J994" s="12" t="e">
        <f t="shared" si="74"/>
        <v>#DIV/0!</v>
      </c>
    </row>
    <row r="995" spans="1:10" x14ac:dyDescent="0.2">
      <c r="A995" s="19" t="s">
        <v>13</v>
      </c>
      <c r="B995" s="5" t="s">
        <v>20</v>
      </c>
      <c r="C995" s="22">
        <v>10</v>
      </c>
      <c r="D995" s="4"/>
      <c r="E995" s="4"/>
      <c r="F995" s="4"/>
      <c r="G995" s="4"/>
      <c r="H995" s="4" t="e">
        <f t="shared" si="75"/>
        <v>#DIV/0!</v>
      </c>
      <c r="I995" s="4" t="e">
        <f t="shared" si="76"/>
        <v>#DIV/0!</v>
      </c>
      <c r="J995" s="10" t="e">
        <f t="shared" si="74"/>
        <v>#DIV/0!</v>
      </c>
    </row>
    <row r="996" spans="1:10" x14ac:dyDescent="0.2">
      <c r="A996" s="20"/>
      <c r="B996" s="6" t="s">
        <v>21</v>
      </c>
      <c r="C996" s="23"/>
      <c r="H996" t="e">
        <f t="shared" si="75"/>
        <v>#DIV/0!</v>
      </c>
      <c r="I996" t="e">
        <f t="shared" si="76"/>
        <v>#DIV/0!</v>
      </c>
      <c r="J996" s="11" t="e">
        <f t="shared" si="74"/>
        <v>#DIV/0!</v>
      </c>
    </row>
    <row r="997" spans="1:10" x14ac:dyDescent="0.2">
      <c r="A997" s="25"/>
      <c r="B997" s="8" t="s">
        <v>22</v>
      </c>
      <c r="C997" s="26"/>
      <c r="D997" s="7"/>
      <c r="E997" s="7"/>
      <c r="F997" s="7"/>
      <c r="G997" s="7"/>
      <c r="H997" s="7" t="e">
        <f t="shared" si="75"/>
        <v>#DIV/0!</v>
      </c>
      <c r="I997" s="7" t="e">
        <f t="shared" si="76"/>
        <v>#DIV/0!</v>
      </c>
      <c r="J997" s="12" t="e">
        <f t="shared" si="74"/>
        <v>#DIV/0!</v>
      </c>
    </row>
    <row r="998" spans="1:10" x14ac:dyDescent="0.2">
      <c r="A998" s="19" t="s">
        <v>14</v>
      </c>
      <c r="B998" s="5" t="s">
        <v>20</v>
      </c>
      <c r="C998" s="22">
        <v>10</v>
      </c>
      <c r="D998" s="4"/>
      <c r="E998" s="4"/>
      <c r="F998" s="4"/>
      <c r="G998" s="4"/>
      <c r="H998" s="4" t="e">
        <f t="shared" si="75"/>
        <v>#DIV/0!</v>
      </c>
      <c r="I998" s="4" t="e">
        <f t="shared" si="76"/>
        <v>#DIV/0!</v>
      </c>
      <c r="J998" s="10" t="e">
        <f t="shared" si="74"/>
        <v>#DIV/0!</v>
      </c>
    </row>
    <row r="999" spans="1:10" x14ac:dyDescent="0.2">
      <c r="A999" s="20"/>
      <c r="B999" s="6" t="s">
        <v>21</v>
      </c>
      <c r="C999" s="23"/>
      <c r="H999" t="e">
        <f t="shared" si="75"/>
        <v>#DIV/0!</v>
      </c>
      <c r="I999" t="e">
        <f t="shared" si="76"/>
        <v>#DIV/0!</v>
      </c>
      <c r="J999" s="11" t="e">
        <f t="shared" si="74"/>
        <v>#DIV/0!</v>
      </c>
    </row>
    <row r="1000" spans="1:10" ht="16" thickBot="1" x14ac:dyDescent="0.25">
      <c r="A1000" s="21"/>
      <c r="B1000" s="15" t="s">
        <v>22</v>
      </c>
      <c r="C1000" s="24"/>
      <c r="D1000" s="13"/>
      <c r="E1000" s="13"/>
      <c r="F1000" s="13"/>
      <c r="G1000" s="13"/>
      <c r="H1000" s="13" t="e">
        <f t="shared" si="75"/>
        <v>#DIV/0!</v>
      </c>
      <c r="I1000" s="13" t="e">
        <f t="shared" si="76"/>
        <v>#DIV/0!</v>
      </c>
      <c r="J1000" s="14" t="e">
        <f t="shared" si="74"/>
        <v>#DIV/0!</v>
      </c>
    </row>
    <row r="1001" spans="1:10" ht="16" thickBot="1" x14ac:dyDescent="0.25">
      <c r="A1001" s="44" t="s">
        <v>1</v>
      </c>
      <c r="B1001" s="33"/>
      <c r="C1001" s="33"/>
      <c r="D1001" s="33" t="s">
        <v>47</v>
      </c>
      <c r="E1001" s="34"/>
      <c r="F1001" s="9" t="s">
        <v>0</v>
      </c>
      <c r="G1001" s="18">
        <v>44156</v>
      </c>
      <c r="H1001" s="35" t="s">
        <v>24</v>
      </c>
      <c r="I1001" s="36"/>
      <c r="J1001" s="1">
        <v>120</v>
      </c>
    </row>
    <row r="1002" spans="1:10" ht="16" thickBot="1" x14ac:dyDescent="0.25">
      <c r="A1002" s="37" t="s">
        <v>2</v>
      </c>
      <c r="B1002" s="38"/>
      <c r="C1002" s="38"/>
      <c r="D1002" s="38"/>
      <c r="E1002" s="39"/>
      <c r="F1002" s="40"/>
      <c r="G1002" s="41"/>
      <c r="H1002" s="42" t="s">
        <v>25</v>
      </c>
      <c r="I1002" s="43"/>
      <c r="J1002" s="2">
        <v>30</v>
      </c>
    </row>
    <row r="1003" spans="1:10" ht="16" thickBot="1" x14ac:dyDescent="0.25">
      <c r="A1003" s="45" t="s">
        <v>27</v>
      </c>
      <c r="B1003" s="27"/>
      <c r="C1003" s="27"/>
      <c r="D1003" s="27" t="s">
        <v>36</v>
      </c>
      <c r="E1003" s="28"/>
      <c r="F1003" s="16" t="s">
        <v>30</v>
      </c>
      <c r="G1003" s="16">
        <v>3.81</v>
      </c>
      <c r="H1003" s="29" t="s">
        <v>26</v>
      </c>
      <c r="I1003" s="30"/>
      <c r="J1003" s="3">
        <v>70</v>
      </c>
    </row>
    <row r="1004" spans="1:10" x14ac:dyDescent="0.2">
      <c r="A1004" s="31"/>
      <c r="B1004" s="32"/>
      <c r="C1004" s="16" t="s">
        <v>29</v>
      </c>
      <c r="D1004" s="16" t="s">
        <v>19</v>
      </c>
      <c r="E1004" s="16" t="s">
        <v>15</v>
      </c>
      <c r="F1004" s="16" t="s">
        <v>18</v>
      </c>
      <c r="G1004" s="16" t="s">
        <v>17</v>
      </c>
      <c r="H1004" s="16" t="s">
        <v>28</v>
      </c>
      <c r="I1004" s="16" t="s">
        <v>16</v>
      </c>
      <c r="J1004" s="17" t="s">
        <v>23</v>
      </c>
    </row>
    <row r="1005" spans="1:10" x14ac:dyDescent="0.2">
      <c r="A1005" s="19" t="s">
        <v>3</v>
      </c>
      <c r="B1005" s="5" t="s">
        <v>20</v>
      </c>
      <c r="C1005" s="22">
        <v>10</v>
      </c>
      <c r="D1005" s="4"/>
      <c r="E1005" s="4">
        <v>1.7370000000000001</v>
      </c>
      <c r="F1005" s="4">
        <v>3.0950000000000002</v>
      </c>
      <c r="G1005" s="4">
        <v>4.3099999999999996</v>
      </c>
      <c r="H1005" s="4">
        <f>(F1005-(G1005-E1005))/F1005</f>
        <v>0.16865912762520216</v>
      </c>
      <c r="I1005" s="4">
        <f>D1005-H1005*D1005</f>
        <v>0</v>
      </c>
      <c r="J1005" s="10">
        <f t="shared" ref="J1005:J1040" si="77">I1005/($G$3^2*C1005*PI())</f>
        <v>0</v>
      </c>
    </row>
    <row r="1006" spans="1:10" x14ac:dyDescent="0.2">
      <c r="A1006" s="20"/>
      <c r="B1006" s="6" t="s">
        <v>21</v>
      </c>
      <c r="C1006" s="23"/>
      <c r="D1006">
        <v>681</v>
      </c>
      <c r="E1006">
        <v>1.7330000000000001</v>
      </c>
      <c r="F1006">
        <v>3.32</v>
      </c>
      <c r="G1006">
        <v>4.5060000000000002</v>
      </c>
      <c r="H1006">
        <f t="shared" ref="H1006:H1040" si="78">(F1006-(G1006-E1006))/F1006</f>
        <v>0.16475903614457824</v>
      </c>
      <c r="I1006">
        <f t="shared" ref="I1006:I1040" si="79">D1006-H1006*D1006</f>
        <v>568.79909638554227</v>
      </c>
      <c r="J1006" s="11" t="e">
        <f t="shared" si="77"/>
        <v>#DIV/0!</v>
      </c>
    </row>
    <row r="1007" spans="1:10" x14ac:dyDescent="0.2">
      <c r="A1007" s="25"/>
      <c r="B1007" s="8" t="s">
        <v>22</v>
      </c>
      <c r="C1007" s="26"/>
      <c r="D1007" s="7"/>
      <c r="E1007" s="7">
        <v>1.726</v>
      </c>
      <c r="F1007" s="7">
        <v>3.0619999999999998</v>
      </c>
      <c r="G1007" s="7">
        <v>4.2770000000000001</v>
      </c>
      <c r="H1007" s="7">
        <f t="shared" si="78"/>
        <v>0.16688438928804694</v>
      </c>
      <c r="I1007" s="7">
        <f t="shared" si="79"/>
        <v>0</v>
      </c>
      <c r="J1007" s="12" t="e">
        <f t="shared" si="77"/>
        <v>#DIV/0!</v>
      </c>
    </row>
    <row r="1008" spans="1:10" x14ac:dyDescent="0.2">
      <c r="A1008" s="19" t="s">
        <v>4</v>
      </c>
      <c r="B1008" s="5" t="s">
        <v>20</v>
      </c>
      <c r="C1008" s="23">
        <v>10</v>
      </c>
      <c r="E1008">
        <v>1.73</v>
      </c>
      <c r="F1008">
        <v>3.0640000000000001</v>
      </c>
      <c r="G1008">
        <v>4.2779999999999996</v>
      </c>
      <c r="H1008" s="4">
        <f t="shared" si="78"/>
        <v>0.16840731070496098</v>
      </c>
      <c r="I1008" s="4">
        <f t="shared" si="79"/>
        <v>0</v>
      </c>
      <c r="J1008" s="10">
        <f t="shared" si="77"/>
        <v>0</v>
      </c>
    </row>
    <row r="1009" spans="1:10" x14ac:dyDescent="0.2">
      <c r="A1009" s="20"/>
      <c r="B1009" s="6" t="s">
        <v>21</v>
      </c>
      <c r="C1009" s="23"/>
      <c r="D1009">
        <v>679</v>
      </c>
      <c r="E1009">
        <v>1.7110000000000001</v>
      </c>
      <c r="F1009">
        <v>3.4460000000000002</v>
      </c>
      <c r="G1009">
        <v>4.5789999999999997</v>
      </c>
      <c r="H1009">
        <f t="shared" si="78"/>
        <v>0.16773070226349412</v>
      </c>
      <c r="I1009">
        <f t="shared" si="79"/>
        <v>565.11085316308754</v>
      </c>
      <c r="J1009" s="11" t="e">
        <f t="shared" si="77"/>
        <v>#DIV/0!</v>
      </c>
    </row>
    <row r="1010" spans="1:10" x14ac:dyDescent="0.2">
      <c r="A1010" s="25"/>
      <c r="B1010" s="8" t="s">
        <v>22</v>
      </c>
      <c r="C1010" s="26"/>
      <c r="D1010" s="7"/>
      <c r="E1010" s="7">
        <v>1.734</v>
      </c>
      <c r="F1010" s="7">
        <v>3.1509999999999998</v>
      </c>
      <c r="G1010" s="7">
        <v>4.359</v>
      </c>
      <c r="H1010" s="7">
        <f t="shared" si="78"/>
        <v>0.16693113297365911</v>
      </c>
      <c r="I1010" s="7">
        <f t="shared" si="79"/>
        <v>0</v>
      </c>
      <c r="J1010" s="12" t="e">
        <f t="shared" si="77"/>
        <v>#DIV/0!</v>
      </c>
    </row>
    <row r="1011" spans="1:10" x14ac:dyDescent="0.2">
      <c r="A1011" s="19" t="s">
        <v>5</v>
      </c>
      <c r="B1011" s="5" t="s">
        <v>20</v>
      </c>
      <c r="C1011" s="22">
        <v>10</v>
      </c>
      <c r="D1011" s="4"/>
      <c r="E1011" s="4">
        <v>1.7090000000000001</v>
      </c>
      <c r="F1011" s="4">
        <v>3.1720000000000002</v>
      </c>
      <c r="G1011" s="4">
        <v>4.3860000000000001</v>
      </c>
      <c r="H1011" s="4">
        <f t="shared" si="78"/>
        <v>0.15605296343001263</v>
      </c>
      <c r="I1011" s="4">
        <f t="shared" si="79"/>
        <v>0</v>
      </c>
      <c r="J1011" s="10">
        <f t="shared" si="77"/>
        <v>0</v>
      </c>
    </row>
    <row r="1012" spans="1:10" x14ac:dyDescent="0.2">
      <c r="A1012" s="20"/>
      <c r="B1012" s="6" t="s">
        <v>21</v>
      </c>
      <c r="C1012" s="23"/>
      <c r="D1012">
        <v>721</v>
      </c>
      <c r="E1012">
        <v>1.7410000000000001</v>
      </c>
      <c r="F1012">
        <v>3.133</v>
      </c>
      <c r="G1012">
        <v>4.3849999999999998</v>
      </c>
      <c r="H1012">
        <f t="shared" si="78"/>
        <v>0.15608043408873296</v>
      </c>
      <c r="I1012">
        <f t="shared" si="79"/>
        <v>608.46600702202352</v>
      </c>
      <c r="J1012" s="11" t="e">
        <f t="shared" si="77"/>
        <v>#DIV/0!</v>
      </c>
    </row>
    <row r="1013" spans="1:10" x14ac:dyDescent="0.2">
      <c r="A1013" s="25"/>
      <c r="B1013" s="8" t="s">
        <v>22</v>
      </c>
      <c r="C1013" s="26"/>
      <c r="D1013" s="7"/>
      <c r="E1013" s="7">
        <v>1.7250000000000001</v>
      </c>
      <c r="F1013" s="7">
        <v>3.27</v>
      </c>
      <c r="G1013" s="7">
        <v>4.4729999999999999</v>
      </c>
      <c r="H1013" s="7">
        <f t="shared" si="78"/>
        <v>0.15963302752293584</v>
      </c>
      <c r="I1013" s="7">
        <f t="shared" si="79"/>
        <v>0</v>
      </c>
      <c r="J1013" s="12" t="e">
        <f t="shared" si="77"/>
        <v>#DIV/0!</v>
      </c>
    </row>
    <row r="1014" spans="1:10" x14ac:dyDescent="0.2">
      <c r="A1014" s="19" t="s">
        <v>6</v>
      </c>
      <c r="B1014" s="5" t="s">
        <v>20</v>
      </c>
      <c r="C1014" s="22">
        <v>10</v>
      </c>
      <c r="D1014" s="4"/>
      <c r="E1014" s="4">
        <v>1.726</v>
      </c>
      <c r="F1014" s="4">
        <v>3.08</v>
      </c>
      <c r="G1014" s="4">
        <v>4.3440000000000003</v>
      </c>
      <c r="H1014" s="4">
        <f t="shared" si="78"/>
        <v>0.14999999999999991</v>
      </c>
      <c r="I1014" s="4">
        <f t="shared" si="79"/>
        <v>0</v>
      </c>
      <c r="J1014" s="10">
        <f t="shared" si="77"/>
        <v>0</v>
      </c>
    </row>
    <row r="1015" spans="1:10" x14ac:dyDescent="0.2">
      <c r="A1015" s="20"/>
      <c r="B1015" s="6" t="s">
        <v>21</v>
      </c>
      <c r="C1015" s="23"/>
      <c r="D1015">
        <v>696</v>
      </c>
      <c r="E1015">
        <v>1.718</v>
      </c>
      <c r="F1015">
        <v>3.0590000000000002</v>
      </c>
      <c r="G1015">
        <v>4.3159999999999998</v>
      </c>
      <c r="H1015">
        <f t="shared" si="78"/>
        <v>0.15070284406668855</v>
      </c>
      <c r="I1015">
        <f t="shared" si="79"/>
        <v>591.11082052958477</v>
      </c>
      <c r="J1015" s="11" t="e">
        <f t="shared" si="77"/>
        <v>#DIV/0!</v>
      </c>
    </row>
    <row r="1016" spans="1:10" x14ac:dyDescent="0.2">
      <c r="A1016" s="25"/>
      <c r="B1016" s="8" t="s">
        <v>22</v>
      </c>
      <c r="C1016" s="26"/>
      <c r="D1016" s="7"/>
      <c r="E1016" s="7">
        <v>1.71</v>
      </c>
      <c r="F1016" s="7">
        <v>3.0070000000000001</v>
      </c>
      <c r="G1016" s="7">
        <v>4.274</v>
      </c>
      <c r="H1016" s="7">
        <f t="shared" si="78"/>
        <v>0.14732291320252744</v>
      </c>
      <c r="I1016" s="7">
        <f t="shared" si="79"/>
        <v>0</v>
      </c>
      <c r="J1016" s="12" t="e">
        <f t="shared" si="77"/>
        <v>#DIV/0!</v>
      </c>
    </row>
    <row r="1017" spans="1:10" x14ac:dyDescent="0.2">
      <c r="A1017" s="19" t="s">
        <v>7</v>
      </c>
      <c r="B1017" s="5" t="s">
        <v>20</v>
      </c>
      <c r="C1017" s="22">
        <v>10</v>
      </c>
      <c r="D1017" s="4"/>
      <c r="E1017" s="4">
        <v>1.7210000000000001</v>
      </c>
      <c r="F1017" s="4">
        <v>3.0259999999999998</v>
      </c>
      <c r="G1017" s="4">
        <v>4.2949999999999999</v>
      </c>
      <c r="H1017" s="4">
        <f t="shared" si="78"/>
        <v>0.14937210839391937</v>
      </c>
      <c r="I1017" s="4">
        <f t="shared" si="79"/>
        <v>0</v>
      </c>
      <c r="J1017" s="10">
        <f t="shared" si="77"/>
        <v>0</v>
      </c>
    </row>
    <row r="1018" spans="1:10" x14ac:dyDescent="0.2">
      <c r="A1018" s="20"/>
      <c r="B1018" s="6" t="s">
        <v>21</v>
      </c>
      <c r="C1018" s="23"/>
      <c r="D1018">
        <v>647</v>
      </c>
      <c r="E1018">
        <v>1.732</v>
      </c>
      <c r="F1018">
        <v>3.411</v>
      </c>
      <c r="G1018">
        <v>4.6260000000000003</v>
      </c>
      <c r="H1018">
        <f t="shared" si="78"/>
        <v>0.15156845499853414</v>
      </c>
      <c r="I1018">
        <f t="shared" si="79"/>
        <v>548.93520961594845</v>
      </c>
      <c r="J1018" s="11" t="e">
        <f t="shared" si="77"/>
        <v>#DIV/0!</v>
      </c>
    </row>
    <row r="1019" spans="1:10" x14ac:dyDescent="0.2">
      <c r="A1019" s="25"/>
      <c r="B1019" s="8" t="s">
        <v>22</v>
      </c>
      <c r="C1019" s="26"/>
      <c r="D1019" s="7"/>
      <c r="E1019" s="7">
        <v>1.718</v>
      </c>
      <c r="F1019" s="7">
        <v>3.0979999999999999</v>
      </c>
      <c r="G1019" s="7">
        <v>4.3559999999999999</v>
      </c>
      <c r="H1019" s="7">
        <f t="shared" si="78"/>
        <v>0.14848289218850871</v>
      </c>
      <c r="I1019" s="7">
        <f t="shared" si="79"/>
        <v>0</v>
      </c>
      <c r="J1019" s="12" t="e">
        <f t="shared" si="77"/>
        <v>#DIV/0!</v>
      </c>
    </row>
    <row r="1020" spans="1:10" x14ac:dyDescent="0.2">
      <c r="A1020" s="19" t="s">
        <v>8</v>
      </c>
      <c r="B1020" s="5" t="s">
        <v>20</v>
      </c>
      <c r="C1020" s="22">
        <v>10</v>
      </c>
      <c r="D1020" s="4"/>
      <c r="E1020" s="4">
        <v>1.724</v>
      </c>
      <c r="F1020" s="4">
        <v>3.0259999999999998</v>
      </c>
      <c r="G1020" s="4">
        <v>4.2629999999999999</v>
      </c>
      <c r="H1020" s="4">
        <f t="shared" si="78"/>
        <v>0.16093853271645742</v>
      </c>
      <c r="I1020" s="4">
        <f t="shared" si="79"/>
        <v>0</v>
      </c>
      <c r="J1020" s="10">
        <f t="shared" si="77"/>
        <v>0</v>
      </c>
    </row>
    <row r="1021" spans="1:10" x14ac:dyDescent="0.2">
      <c r="A1021" s="20"/>
      <c r="B1021" s="6" t="s">
        <v>21</v>
      </c>
      <c r="C1021" s="23"/>
      <c r="D1021">
        <v>730</v>
      </c>
      <c r="E1021">
        <v>1.706</v>
      </c>
      <c r="F1021">
        <v>3.081</v>
      </c>
      <c r="G1021">
        <v>4.2880000000000003</v>
      </c>
      <c r="H1021">
        <f t="shared" si="78"/>
        <v>0.16196040246673146</v>
      </c>
      <c r="I1021">
        <f t="shared" si="79"/>
        <v>611.76890619928599</v>
      </c>
      <c r="J1021" s="11" t="e">
        <f t="shared" si="77"/>
        <v>#DIV/0!</v>
      </c>
    </row>
    <row r="1022" spans="1:10" x14ac:dyDescent="0.2">
      <c r="A1022" s="25"/>
      <c r="B1022" s="8" t="s">
        <v>22</v>
      </c>
      <c r="C1022" s="26"/>
      <c r="D1022" s="7"/>
      <c r="E1022" s="7">
        <v>1.7110000000000001</v>
      </c>
      <c r="F1022" s="7">
        <v>3.0369999999999999</v>
      </c>
      <c r="G1022" s="7">
        <v>4.266</v>
      </c>
      <c r="H1022" s="7">
        <f t="shared" si="78"/>
        <v>0.15870925255186047</v>
      </c>
      <c r="I1022" s="7">
        <f t="shared" si="79"/>
        <v>0</v>
      </c>
      <c r="J1022" s="12" t="e">
        <f t="shared" si="77"/>
        <v>#DIV/0!</v>
      </c>
    </row>
    <row r="1023" spans="1:10" x14ac:dyDescent="0.2">
      <c r="A1023" s="19" t="s">
        <v>9</v>
      </c>
      <c r="B1023" s="5" t="s">
        <v>20</v>
      </c>
      <c r="C1023" s="22">
        <v>10</v>
      </c>
      <c r="D1023" s="4"/>
      <c r="E1023" s="4">
        <v>1.7350000000000001</v>
      </c>
      <c r="F1023" s="4">
        <v>3.0950000000000002</v>
      </c>
      <c r="G1023" s="4">
        <v>4.298</v>
      </c>
      <c r="H1023" s="4">
        <f t="shared" si="78"/>
        <v>0.17189014539579983</v>
      </c>
      <c r="I1023" s="4">
        <f t="shared" si="79"/>
        <v>0</v>
      </c>
      <c r="J1023" s="10">
        <f t="shared" si="77"/>
        <v>0</v>
      </c>
    </row>
    <row r="1024" spans="1:10" x14ac:dyDescent="0.2">
      <c r="A1024" s="20"/>
      <c r="B1024" s="6" t="s">
        <v>21</v>
      </c>
      <c r="C1024" s="23"/>
      <c r="D1024">
        <v>787</v>
      </c>
      <c r="E1024">
        <v>1.7130000000000001</v>
      </c>
      <c r="F1024">
        <v>3.1160000000000001</v>
      </c>
      <c r="G1024">
        <v>4.2880000000000003</v>
      </c>
      <c r="H1024">
        <f t="shared" si="78"/>
        <v>0.17362002567394091</v>
      </c>
      <c r="I1024">
        <f t="shared" si="79"/>
        <v>650.36103979460847</v>
      </c>
      <c r="J1024" s="11" t="e">
        <f t="shared" si="77"/>
        <v>#DIV/0!</v>
      </c>
    </row>
    <row r="1025" spans="1:10" x14ac:dyDescent="0.2">
      <c r="A1025" s="25"/>
      <c r="B1025" s="8" t="s">
        <v>22</v>
      </c>
      <c r="C1025" s="26"/>
      <c r="D1025" s="7"/>
      <c r="E1025" s="7">
        <v>1.7330000000000001</v>
      </c>
      <c r="F1025" s="7">
        <v>3.0840000000000001</v>
      </c>
      <c r="G1025" s="7">
        <v>4.282</v>
      </c>
      <c r="H1025" s="7">
        <f t="shared" si="78"/>
        <v>0.17347600518806749</v>
      </c>
      <c r="I1025" s="7">
        <f t="shared" si="79"/>
        <v>0</v>
      </c>
      <c r="J1025" s="12" t="e">
        <f t="shared" si="77"/>
        <v>#DIV/0!</v>
      </c>
    </row>
    <row r="1026" spans="1:10" x14ac:dyDescent="0.2">
      <c r="A1026" s="19" t="s">
        <v>10</v>
      </c>
      <c r="B1026" s="5" t="s">
        <v>20</v>
      </c>
      <c r="C1026" s="22">
        <v>10</v>
      </c>
      <c r="D1026" s="4"/>
      <c r="E1026" s="4">
        <v>1.728</v>
      </c>
      <c r="F1026" s="4">
        <v>3.0569999999999999</v>
      </c>
      <c r="G1026" s="4">
        <v>4.5439999999999996</v>
      </c>
      <c r="H1026" s="4">
        <f t="shared" si="78"/>
        <v>7.8835459600915966E-2</v>
      </c>
      <c r="I1026" s="4">
        <f t="shared" si="79"/>
        <v>0</v>
      </c>
      <c r="J1026" s="10">
        <f t="shared" si="77"/>
        <v>0</v>
      </c>
    </row>
    <row r="1027" spans="1:10" x14ac:dyDescent="0.2">
      <c r="A1027" s="20"/>
      <c r="B1027" s="6" t="s">
        <v>21</v>
      </c>
      <c r="C1027" s="23"/>
      <c r="D1027">
        <v>676</v>
      </c>
      <c r="E1027">
        <v>1.732</v>
      </c>
      <c r="F1027">
        <v>3.0739999999999998</v>
      </c>
      <c r="G1027">
        <v>4.57</v>
      </c>
      <c r="H1027">
        <f t="shared" si="78"/>
        <v>7.6772934287573119E-2</v>
      </c>
      <c r="I1027">
        <f t="shared" si="79"/>
        <v>624.10149642160059</v>
      </c>
      <c r="J1027" s="11" t="e">
        <f t="shared" si="77"/>
        <v>#DIV/0!</v>
      </c>
    </row>
    <row r="1028" spans="1:10" x14ac:dyDescent="0.2">
      <c r="A1028" s="25"/>
      <c r="B1028" s="8" t="s">
        <v>22</v>
      </c>
      <c r="C1028" s="26"/>
      <c r="D1028" s="7"/>
      <c r="E1028" s="7">
        <v>1.73</v>
      </c>
      <c r="F1028" s="7">
        <v>3.0270000000000001</v>
      </c>
      <c r="G1028" s="7">
        <v>4.516</v>
      </c>
      <c r="H1028" s="7">
        <f t="shared" si="78"/>
        <v>7.961678229269907E-2</v>
      </c>
      <c r="I1028" s="7">
        <f t="shared" si="79"/>
        <v>0</v>
      </c>
      <c r="J1028" s="12" t="e">
        <f t="shared" si="77"/>
        <v>#DIV/0!</v>
      </c>
    </row>
    <row r="1029" spans="1:10" x14ac:dyDescent="0.2">
      <c r="A1029" s="19" t="s">
        <v>11</v>
      </c>
      <c r="B1029" s="5" t="s">
        <v>20</v>
      </c>
      <c r="C1029" s="22">
        <v>10</v>
      </c>
      <c r="D1029" s="4"/>
      <c r="E1029" s="4">
        <v>1.7270000000000001</v>
      </c>
      <c r="F1029" s="4">
        <v>2.9260000000000002</v>
      </c>
      <c r="G1029" s="4">
        <v>4.4539999999999997</v>
      </c>
      <c r="H1029" s="4">
        <f t="shared" si="78"/>
        <v>6.8010936431989313E-2</v>
      </c>
      <c r="I1029" s="4">
        <f t="shared" si="79"/>
        <v>0</v>
      </c>
      <c r="J1029" s="10">
        <f t="shared" si="77"/>
        <v>0</v>
      </c>
    </row>
    <row r="1030" spans="1:10" x14ac:dyDescent="0.2">
      <c r="A1030" s="20"/>
      <c r="B1030" s="6" t="s">
        <v>21</v>
      </c>
      <c r="C1030" s="23"/>
      <c r="D1030">
        <v>751</v>
      </c>
      <c r="E1030">
        <v>1.7190000000000001</v>
      </c>
      <c r="F1030">
        <v>3.13</v>
      </c>
      <c r="G1030">
        <v>4.625</v>
      </c>
      <c r="H1030">
        <f t="shared" si="78"/>
        <v>7.1565495207667792E-2</v>
      </c>
      <c r="I1030">
        <f t="shared" si="79"/>
        <v>697.2543130990415</v>
      </c>
      <c r="J1030" s="11" t="e">
        <f t="shared" si="77"/>
        <v>#DIV/0!</v>
      </c>
    </row>
    <row r="1031" spans="1:10" x14ac:dyDescent="0.2">
      <c r="A1031" s="25"/>
      <c r="B1031" s="8" t="s">
        <v>22</v>
      </c>
      <c r="C1031" s="26"/>
      <c r="D1031" s="7"/>
      <c r="E1031" s="7">
        <v>1.7310000000000001</v>
      </c>
      <c r="F1031" s="7">
        <v>2.968</v>
      </c>
      <c r="G1031" s="7">
        <v>4.4950000000000001</v>
      </c>
      <c r="H1031" s="7">
        <f t="shared" si="78"/>
        <v>6.8733153638813924E-2</v>
      </c>
      <c r="I1031" s="7">
        <f t="shared" si="79"/>
        <v>0</v>
      </c>
      <c r="J1031" s="12" t="e">
        <f t="shared" si="77"/>
        <v>#DIV/0!</v>
      </c>
    </row>
    <row r="1032" spans="1:10" x14ac:dyDescent="0.2">
      <c r="A1032" s="19" t="s">
        <v>12</v>
      </c>
      <c r="B1032" s="5" t="s">
        <v>20</v>
      </c>
      <c r="C1032" s="22">
        <v>10</v>
      </c>
      <c r="D1032" s="4"/>
      <c r="E1032" s="4">
        <v>1.7070000000000001</v>
      </c>
      <c r="F1032" s="4">
        <v>3.008</v>
      </c>
      <c r="G1032" s="4">
        <v>4.4539999999999997</v>
      </c>
      <c r="H1032" s="4">
        <f t="shared" si="78"/>
        <v>8.6768617021276639E-2</v>
      </c>
      <c r="I1032" s="4">
        <f t="shared" si="79"/>
        <v>0</v>
      </c>
      <c r="J1032" s="10">
        <f t="shared" si="77"/>
        <v>0</v>
      </c>
    </row>
    <row r="1033" spans="1:10" x14ac:dyDescent="0.2">
      <c r="A1033" s="20"/>
      <c r="B1033" s="6" t="s">
        <v>21</v>
      </c>
      <c r="C1033" s="23"/>
      <c r="D1033">
        <v>683</v>
      </c>
      <c r="E1033">
        <v>1.7210000000000001</v>
      </c>
      <c r="F1033">
        <v>3.0569999999999999</v>
      </c>
      <c r="G1033">
        <v>4.5220000000000002</v>
      </c>
      <c r="H1033">
        <f t="shared" si="78"/>
        <v>8.3742230945371213E-2</v>
      </c>
      <c r="I1033">
        <f t="shared" si="79"/>
        <v>625.8040562643115</v>
      </c>
      <c r="J1033" s="11" t="e">
        <f t="shared" si="77"/>
        <v>#DIV/0!</v>
      </c>
    </row>
    <row r="1034" spans="1:10" x14ac:dyDescent="0.2">
      <c r="A1034" s="25"/>
      <c r="B1034" s="8" t="s">
        <v>22</v>
      </c>
      <c r="C1034" s="26"/>
      <c r="D1034" s="7"/>
      <c r="E1034" s="7">
        <v>1.732</v>
      </c>
      <c r="F1034" s="7">
        <v>3.085</v>
      </c>
      <c r="G1034" s="7">
        <v>4.556</v>
      </c>
      <c r="H1034" s="7">
        <f t="shared" si="78"/>
        <v>8.4602917341977349E-2</v>
      </c>
      <c r="I1034" s="7">
        <f t="shared" si="79"/>
        <v>0</v>
      </c>
      <c r="J1034" s="12" t="e">
        <f t="shared" si="77"/>
        <v>#DIV/0!</v>
      </c>
    </row>
    <row r="1035" spans="1:10" x14ac:dyDescent="0.2">
      <c r="A1035" s="19" t="s">
        <v>13</v>
      </c>
      <c r="B1035" s="5" t="s">
        <v>20</v>
      </c>
      <c r="C1035" s="22">
        <v>10</v>
      </c>
      <c r="D1035" s="4"/>
      <c r="E1035" s="4">
        <v>1.73</v>
      </c>
      <c r="F1035" s="4">
        <v>3.093</v>
      </c>
      <c r="G1035" s="4">
        <v>4.4630000000000001</v>
      </c>
      <c r="H1035" s="4">
        <f t="shared" si="78"/>
        <v>0.11639185257032005</v>
      </c>
      <c r="I1035" s="4">
        <f t="shared" si="79"/>
        <v>0</v>
      </c>
      <c r="J1035" s="10">
        <f t="shared" si="77"/>
        <v>0</v>
      </c>
    </row>
    <row r="1036" spans="1:10" x14ac:dyDescent="0.2">
      <c r="A1036" s="20"/>
      <c r="B1036" s="6" t="s">
        <v>21</v>
      </c>
      <c r="C1036" s="23"/>
      <c r="D1036">
        <v>744</v>
      </c>
      <c r="E1036">
        <v>1.728</v>
      </c>
      <c r="F1036">
        <v>3.0710000000000002</v>
      </c>
      <c r="G1036">
        <v>4.4660000000000002</v>
      </c>
      <c r="H1036">
        <f t="shared" si="78"/>
        <v>0.10843373493975894</v>
      </c>
      <c r="I1036">
        <f t="shared" si="79"/>
        <v>663.32530120481931</v>
      </c>
      <c r="J1036" s="11" t="e">
        <f t="shared" si="77"/>
        <v>#DIV/0!</v>
      </c>
    </row>
    <row r="1037" spans="1:10" x14ac:dyDescent="0.2">
      <c r="A1037" s="25"/>
      <c r="B1037" s="8" t="s">
        <v>22</v>
      </c>
      <c r="C1037" s="26"/>
      <c r="D1037" s="7"/>
      <c r="E1037" s="7">
        <v>1.724</v>
      </c>
      <c r="F1037" s="7">
        <v>3.0369999999999999</v>
      </c>
      <c r="G1037" s="7">
        <v>4.4320000000000004</v>
      </c>
      <c r="H1037" s="7">
        <f t="shared" si="78"/>
        <v>0.10833058939743159</v>
      </c>
      <c r="I1037" s="7">
        <f t="shared" si="79"/>
        <v>0</v>
      </c>
      <c r="J1037" s="12" t="e">
        <f t="shared" si="77"/>
        <v>#DIV/0!</v>
      </c>
    </row>
    <row r="1038" spans="1:10" x14ac:dyDescent="0.2">
      <c r="A1038" s="19" t="s">
        <v>14</v>
      </c>
      <c r="B1038" s="5" t="s">
        <v>20</v>
      </c>
      <c r="C1038" s="22">
        <v>10</v>
      </c>
      <c r="D1038" s="4"/>
      <c r="E1038" s="4">
        <v>1.734</v>
      </c>
      <c r="F1038" s="4">
        <v>3.069</v>
      </c>
      <c r="G1038" s="4">
        <v>4.4390000000000001</v>
      </c>
      <c r="H1038" s="4">
        <f t="shared" si="78"/>
        <v>0.11860540892798954</v>
      </c>
      <c r="I1038" s="4">
        <f t="shared" si="79"/>
        <v>0</v>
      </c>
      <c r="J1038" s="10">
        <f t="shared" si="77"/>
        <v>0</v>
      </c>
    </row>
    <row r="1039" spans="1:10" x14ac:dyDescent="0.2">
      <c r="A1039" s="20"/>
      <c r="B1039" s="6" t="s">
        <v>21</v>
      </c>
      <c r="C1039" s="23"/>
      <c r="D1039">
        <v>595</v>
      </c>
      <c r="E1039">
        <v>1.706</v>
      </c>
      <c r="F1039">
        <v>3.0459999999999998</v>
      </c>
      <c r="G1039">
        <v>4.5110000000000001</v>
      </c>
      <c r="H1039">
        <f t="shared" si="78"/>
        <v>7.9120157583716239E-2</v>
      </c>
      <c r="I1039">
        <f t="shared" si="79"/>
        <v>547.9235062376888</v>
      </c>
      <c r="J1039" s="11" t="e">
        <f t="shared" si="77"/>
        <v>#DIV/0!</v>
      </c>
    </row>
    <row r="1040" spans="1:10" ht="16" thickBot="1" x14ac:dyDescent="0.25">
      <c r="A1040" s="21"/>
      <c r="B1040" s="15" t="s">
        <v>22</v>
      </c>
      <c r="C1040" s="24"/>
      <c r="D1040" s="13"/>
      <c r="E1040" s="13">
        <v>1.736</v>
      </c>
      <c r="F1040" s="13">
        <v>3.133</v>
      </c>
      <c r="G1040" s="13">
        <v>4.5410000000000004</v>
      </c>
      <c r="H1040" s="13">
        <f t="shared" si="78"/>
        <v>0.1046919885094157</v>
      </c>
      <c r="I1040" s="13">
        <f t="shared" si="79"/>
        <v>0</v>
      </c>
      <c r="J1040" s="14" t="e">
        <f t="shared" si="77"/>
        <v>#DIV/0!</v>
      </c>
    </row>
    <row r="1041" spans="1:10" ht="16" thickBot="1" x14ac:dyDescent="0.25">
      <c r="A1041" s="44" t="s">
        <v>1</v>
      </c>
      <c r="B1041" s="33"/>
      <c r="C1041" s="33"/>
      <c r="D1041" s="33" t="s">
        <v>47</v>
      </c>
      <c r="E1041" s="34"/>
      <c r="F1041" s="9" t="s">
        <v>0</v>
      </c>
      <c r="G1041" s="18">
        <v>44156</v>
      </c>
      <c r="H1041" s="35" t="s">
        <v>24</v>
      </c>
      <c r="I1041" s="36"/>
      <c r="J1041" s="1">
        <v>110</v>
      </c>
    </row>
    <row r="1042" spans="1:10" ht="16" thickBot="1" x14ac:dyDescent="0.25">
      <c r="A1042" s="37" t="s">
        <v>2</v>
      </c>
      <c r="B1042" s="38"/>
      <c r="C1042" s="38"/>
      <c r="D1042" s="38"/>
      <c r="E1042" s="39"/>
      <c r="F1042" s="40"/>
      <c r="G1042" s="41"/>
      <c r="H1042" s="42" t="s">
        <v>25</v>
      </c>
      <c r="I1042" s="43"/>
      <c r="J1042" s="2">
        <v>30</v>
      </c>
    </row>
    <row r="1043" spans="1:10" ht="16" thickBot="1" x14ac:dyDescent="0.25">
      <c r="A1043" s="45" t="s">
        <v>27</v>
      </c>
      <c r="B1043" s="27"/>
      <c r="C1043" s="27"/>
      <c r="D1043" s="27" t="s">
        <v>32</v>
      </c>
      <c r="E1043" s="28"/>
      <c r="F1043" s="16" t="s">
        <v>30</v>
      </c>
      <c r="G1043" s="16">
        <v>3.81</v>
      </c>
      <c r="H1043" s="29" t="s">
        <v>26</v>
      </c>
      <c r="I1043" s="30"/>
      <c r="J1043" s="3">
        <v>60</v>
      </c>
    </row>
    <row r="1044" spans="1:10" x14ac:dyDescent="0.2">
      <c r="A1044" s="31"/>
      <c r="B1044" s="32"/>
      <c r="C1044" s="16" t="s">
        <v>29</v>
      </c>
      <c r="D1044" s="16" t="s">
        <v>19</v>
      </c>
      <c r="E1044" s="16" t="s">
        <v>15</v>
      </c>
      <c r="F1044" s="16" t="s">
        <v>18</v>
      </c>
      <c r="G1044" s="16" t="s">
        <v>17</v>
      </c>
      <c r="H1044" s="16" t="s">
        <v>28</v>
      </c>
      <c r="I1044" s="16" t="s">
        <v>16</v>
      </c>
      <c r="J1044" s="17" t="s">
        <v>23</v>
      </c>
    </row>
    <row r="1045" spans="1:10" x14ac:dyDescent="0.2">
      <c r="A1045" s="19" t="s">
        <v>3</v>
      </c>
      <c r="B1045" s="5" t="s">
        <v>20</v>
      </c>
      <c r="C1045" s="22">
        <v>10</v>
      </c>
      <c r="D1045" s="4"/>
      <c r="E1045" s="4">
        <v>1.7270000000000001</v>
      </c>
      <c r="F1045" s="4">
        <v>3.4140000000000001</v>
      </c>
      <c r="G1045" s="4">
        <v>4.3369999999999997</v>
      </c>
      <c r="H1045" s="4">
        <f>(F1045-(G1045-E1045))/F1045</f>
        <v>0.23550087873462233</v>
      </c>
      <c r="I1045" s="4">
        <f>D1045-H1045*D1045</f>
        <v>0</v>
      </c>
      <c r="J1045" s="10">
        <f t="shared" ref="J1045:J1080" si="80">I1045/($G$3^2*C1045*PI())</f>
        <v>0</v>
      </c>
    </row>
    <row r="1046" spans="1:10" x14ac:dyDescent="0.2">
      <c r="A1046" s="20"/>
      <c r="B1046" s="6" t="s">
        <v>21</v>
      </c>
      <c r="C1046" s="23"/>
      <c r="D1046">
        <v>539</v>
      </c>
      <c r="E1046">
        <v>1.724</v>
      </c>
      <c r="F1046">
        <v>3.1549999999999998</v>
      </c>
      <c r="G1046">
        <v>4.3410000000000002</v>
      </c>
      <c r="H1046">
        <f t="shared" ref="H1046:H1080" si="81">(F1046-(G1046-E1046))/F1046</f>
        <v>0.17052297939778124</v>
      </c>
      <c r="I1046">
        <f t="shared" ref="I1046:I1080" si="82">D1046-H1046*D1046</f>
        <v>447.08811410459589</v>
      </c>
      <c r="J1046" s="11" t="e">
        <f t="shared" si="80"/>
        <v>#DIV/0!</v>
      </c>
    </row>
    <row r="1047" spans="1:10" x14ac:dyDescent="0.2">
      <c r="A1047" s="25"/>
      <c r="B1047" s="8" t="s">
        <v>22</v>
      </c>
      <c r="C1047" s="26"/>
      <c r="D1047" s="7"/>
      <c r="E1047" s="7">
        <v>1.732</v>
      </c>
      <c r="F1047" s="7">
        <v>3.0190000000000001</v>
      </c>
      <c r="G1047" s="7">
        <v>4.2089999999999996</v>
      </c>
      <c r="H1047" s="7">
        <f t="shared" si="81"/>
        <v>0.17952964557800619</v>
      </c>
      <c r="I1047" s="7">
        <f t="shared" si="82"/>
        <v>0</v>
      </c>
      <c r="J1047" s="12" t="e">
        <f t="shared" si="80"/>
        <v>#DIV/0!</v>
      </c>
    </row>
    <row r="1048" spans="1:10" x14ac:dyDescent="0.2">
      <c r="A1048" s="19" t="s">
        <v>4</v>
      </c>
      <c r="B1048" s="5" t="s">
        <v>20</v>
      </c>
      <c r="C1048" s="23">
        <v>10</v>
      </c>
      <c r="E1048">
        <v>1.7250000000000001</v>
      </c>
      <c r="F1048">
        <v>3.0710000000000002</v>
      </c>
      <c r="G1048">
        <v>4.3010000000000002</v>
      </c>
      <c r="H1048" s="4">
        <f t="shared" si="81"/>
        <v>0.16118528166720941</v>
      </c>
      <c r="I1048" s="4">
        <f t="shared" si="82"/>
        <v>0</v>
      </c>
      <c r="J1048" s="10">
        <f t="shared" si="80"/>
        <v>0</v>
      </c>
    </row>
    <row r="1049" spans="1:10" x14ac:dyDescent="0.2">
      <c r="A1049" s="20"/>
      <c r="B1049" s="6" t="s">
        <v>21</v>
      </c>
      <c r="C1049" s="23"/>
      <c r="D1049">
        <v>642</v>
      </c>
      <c r="E1049">
        <v>1.7330000000000001</v>
      </c>
      <c r="F1049">
        <v>3.363</v>
      </c>
      <c r="G1049">
        <v>4.548</v>
      </c>
      <c r="H1049">
        <f t="shared" si="81"/>
        <v>0.16294974724947964</v>
      </c>
      <c r="I1049">
        <f t="shared" si="82"/>
        <v>537.38626226583403</v>
      </c>
      <c r="J1049" s="11" t="e">
        <f t="shared" si="80"/>
        <v>#DIV/0!</v>
      </c>
    </row>
    <row r="1050" spans="1:10" x14ac:dyDescent="0.2">
      <c r="A1050" s="25"/>
      <c r="B1050" s="8" t="s">
        <v>22</v>
      </c>
      <c r="C1050" s="26"/>
      <c r="D1050" s="7"/>
      <c r="E1050" s="7">
        <v>1.7430000000000001</v>
      </c>
      <c r="F1050" s="7">
        <v>3.1819999999999999</v>
      </c>
      <c r="G1050" s="7">
        <v>4.4089999999999998</v>
      </c>
      <c r="H1050" s="7">
        <f t="shared" si="81"/>
        <v>0.16216216216216231</v>
      </c>
      <c r="I1050" s="7">
        <f t="shared" si="82"/>
        <v>0</v>
      </c>
      <c r="J1050" s="12" t="e">
        <f t="shared" si="80"/>
        <v>#DIV/0!</v>
      </c>
    </row>
    <row r="1051" spans="1:10" x14ac:dyDescent="0.2">
      <c r="A1051" s="19" t="s">
        <v>5</v>
      </c>
      <c r="B1051" s="5" t="s">
        <v>20</v>
      </c>
      <c r="C1051" s="22">
        <v>10</v>
      </c>
      <c r="D1051" s="4"/>
      <c r="E1051" s="4">
        <v>1.7350000000000001</v>
      </c>
      <c r="F1051" s="4">
        <v>3.2879999999999998</v>
      </c>
      <c r="G1051" s="4">
        <v>4.5339999999999998</v>
      </c>
      <c r="H1051" s="4">
        <f t="shared" si="81"/>
        <v>0.14872262773722639</v>
      </c>
      <c r="I1051" s="4">
        <f t="shared" si="82"/>
        <v>0</v>
      </c>
      <c r="J1051" s="10">
        <f t="shared" si="80"/>
        <v>0</v>
      </c>
    </row>
    <row r="1052" spans="1:10" x14ac:dyDescent="0.2">
      <c r="A1052" s="20"/>
      <c r="B1052" s="6" t="s">
        <v>21</v>
      </c>
      <c r="C1052" s="23"/>
      <c r="D1052">
        <v>690</v>
      </c>
      <c r="E1052">
        <v>1.738</v>
      </c>
      <c r="F1052">
        <v>3.0270000000000001</v>
      </c>
      <c r="G1052">
        <v>4.3079999999999998</v>
      </c>
      <c r="H1052">
        <f t="shared" si="81"/>
        <v>0.15097456227287753</v>
      </c>
      <c r="I1052">
        <f t="shared" si="82"/>
        <v>585.8275520317145</v>
      </c>
      <c r="J1052" s="11" t="e">
        <f t="shared" si="80"/>
        <v>#DIV/0!</v>
      </c>
    </row>
    <row r="1053" spans="1:10" x14ac:dyDescent="0.2">
      <c r="A1053" s="25"/>
      <c r="B1053" s="8" t="s">
        <v>22</v>
      </c>
      <c r="C1053" s="26"/>
      <c r="D1053" s="7"/>
      <c r="E1053" s="7">
        <v>1.7350000000000001</v>
      </c>
      <c r="F1053" s="7">
        <v>3.133</v>
      </c>
      <c r="G1053" s="7">
        <v>4.4059999999999997</v>
      </c>
      <c r="H1053" s="7">
        <f t="shared" si="81"/>
        <v>0.14746249601021405</v>
      </c>
      <c r="I1053" s="7">
        <f t="shared" si="82"/>
        <v>0</v>
      </c>
      <c r="J1053" s="12" t="e">
        <f t="shared" si="80"/>
        <v>#DIV/0!</v>
      </c>
    </row>
    <row r="1054" spans="1:10" x14ac:dyDescent="0.2">
      <c r="A1054" s="19" t="s">
        <v>6</v>
      </c>
      <c r="B1054" s="5" t="s">
        <v>20</v>
      </c>
      <c r="C1054" s="22">
        <v>10</v>
      </c>
      <c r="D1054" s="4"/>
      <c r="E1054" s="4">
        <v>1.7410000000000001</v>
      </c>
      <c r="F1054" s="4">
        <v>3.1070000000000002</v>
      </c>
      <c r="G1054" s="4">
        <v>4.4059999999999997</v>
      </c>
      <c r="H1054" s="4">
        <f t="shared" si="81"/>
        <v>0.1422594142259416</v>
      </c>
      <c r="I1054" s="4">
        <f t="shared" si="82"/>
        <v>0</v>
      </c>
      <c r="J1054" s="10">
        <f t="shared" si="80"/>
        <v>0</v>
      </c>
    </row>
    <row r="1055" spans="1:10" x14ac:dyDescent="0.2">
      <c r="A1055" s="20"/>
      <c r="B1055" s="6" t="s">
        <v>21</v>
      </c>
      <c r="C1055" s="23"/>
      <c r="D1055">
        <v>719</v>
      </c>
      <c r="E1055">
        <v>1.73</v>
      </c>
      <c r="F1055">
        <v>3.0459999999999998</v>
      </c>
      <c r="G1055">
        <v>4.3419999999999996</v>
      </c>
      <c r="H1055">
        <f t="shared" si="81"/>
        <v>0.14248194353250171</v>
      </c>
      <c r="I1055">
        <f t="shared" si="82"/>
        <v>616.55548260013131</v>
      </c>
      <c r="J1055" s="11" t="e">
        <f t="shared" si="80"/>
        <v>#DIV/0!</v>
      </c>
    </row>
    <row r="1056" spans="1:10" x14ac:dyDescent="0.2">
      <c r="A1056" s="25"/>
      <c r="B1056" s="8" t="s">
        <v>22</v>
      </c>
      <c r="C1056" s="26"/>
      <c r="D1056" s="7"/>
      <c r="E1056" s="7">
        <v>1.732</v>
      </c>
      <c r="F1056" s="7">
        <v>3.24</v>
      </c>
      <c r="G1056" s="7">
        <v>4.5119999999999996</v>
      </c>
      <c r="H1056" s="7">
        <f t="shared" si="81"/>
        <v>0.14197530864197555</v>
      </c>
      <c r="I1056" s="7">
        <f t="shared" si="82"/>
        <v>0</v>
      </c>
      <c r="J1056" s="12" t="e">
        <f t="shared" si="80"/>
        <v>#DIV/0!</v>
      </c>
    </row>
    <row r="1057" spans="1:10" x14ac:dyDescent="0.2">
      <c r="A1057" s="19" t="s">
        <v>7</v>
      </c>
      <c r="B1057" s="5" t="s">
        <v>20</v>
      </c>
      <c r="C1057" s="22">
        <v>10</v>
      </c>
      <c r="D1057" s="4"/>
      <c r="E1057" s="4">
        <v>1.722</v>
      </c>
      <c r="F1057" s="4">
        <v>3.5529999999999999</v>
      </c>
      <c r="G1057" s="4">
        <v>4.7709999999999999</v>
      </c>
      <c r="H1057" s="4">
        <f t="shared" si="81"/>
        <v>0.14185195609344217</v>
      </c>
      <c r="I1057" s="4">
        <f t="shared" si="82"/>
        <v>0</v>
      </c>
      <c r="J1057" s="10">
        <f t="shared" si="80"/>
        <v>0</v>
      </c>
    </row>
    <row r="1058" spans="1:10" x14ac:dyDescent="0.2">
      <c r="A1058" s="20"/>
      <c r="B1058" s="6" t="s">
        <v>21</v>
      </c>
      <c r="C1058" s="23"/>
      <c r="D1058">
        <v>674</v>
      </c>
      <c r="E1058">
        <v>1.7290000000000001</v>
      </c>
      <c r="F1058">
        <v>3.1480000000000001</v>
      </c>
      <c r="G1058">
        <v>4.4329999999999998</v>
      </c>
      <c r="H1058">
        <f t="shared" si="81"/>
        <v>0.14104193138500648</v>
      </c>
      <c r="I1058">
        <f t="shared" si="82"/>
        <v>578.93773824650566</v>
      </c>
      <c r="J1058" s="11" t="e">
        <f t="shared" si="80"/>
        <v>#DIV/0!</v>
      </c>
    </row>
    <row r="1059" spans="1:10" x14ac:dyDescent="0.2">
      <c r="A1059" s="25"/>
      <c r="B1059" s="8" t="s">
        <v>22</v>
      </c>
      <c r="C1059" s="26"/>
      <c r="D1059" s="7"/>
      <c r="E1059" s="7">
        <v>1.724</v>
      </c>
      <c r="F1059" s="7">
        <v>3.1019999999999999</v>
      </c>
      <c r="G1059" s="7">
        <v>4.3869999999999996</v>
      </c>
      <c r="H1059" s="7">
        <f t="shared" si="81"/>
        <v>0.14152159896840766</v>
      </c>
      <c r="I1059" s="7">
        <f t="shared" si="82"/>
        <v>0</v>
      </c>
      <c r="J1059" s="12" t="e">
        <f t="shared" si="80"/>
        <v>#DIV/0!</v>
      </c>
    </row>
    <row r="1060" spans="1:10" x14ac:dyDescent="0.2">
      <c r="A1060" s="19" t="s">
        <v>8</v>
      </c>
      <c r="B1060" s="5" t="s">
        <v>20</v>
      </c>
      <c r="C1060" s="22">
        <v>10</v>
      </c>
      <c r="D1060" s="4"/>
      <c r="E1060" s="4">
        <v>1.7230000000000001</v>
      </c>
      <c r="F1060" s="4">
        <v>3.0049999999999999</v>
      </c>
      <c r="G1060" s="4">
        <v>4.5019999999999998</v>
      </c>
      <c r="H1060" s="4">
        <f t="shared" si="81"/>
        <v>7.5207986688851911E-2</v>
      </c>
      <c r="I1060" s="4">
        <f t="shared" si="82"/>
        <v>0</v>
      </c>
      <c r="J1060" s="10">
        <f t="shared" si="80"/>
        <v>0</v>
      </c>
    </row>
    <row r="1061" spans="1:10" x14ac:dyDescent="0.2">
      <c r="A1061" s="20"/>
      <c r="B1061" s="6" t="s">
        <v>21</v>
      </c>
      <c r="C1061" s="23"/>
      <c r="D1061">
        <v>712</v>
      </c>
      <c r="E1061">
        <v>1.7390000000000001</v>
      </c>
      <c r="F1061">
        <v>3.0019999999999998</v>
      </c>
      <c r="G1061">
        <v>4.3490000000000002</v>
      </c>
      <c r="H1061">
        <f t="shared" si="81"/>
        <v>0.1305796135909392</v>
      </c>
      <c r="I1061">
        <f t="shared" si="82"/>
        <v>619.02731512325124</v>
      </c>
      <c r="J1061" s="11" t="e">
        <f t="shared" si="80"/>
        <v>#DIV/0!</v>
      </c>
    </row>
    <row r="1062" spans="1:10" x14ac:dyDescent="0.2">
      <c r="A1062" s="25"/>
      <c r="B1062" s="8" t="s">
        <v>22</v>
      </c>
      <c r="C1062" s="26"/>
      <c r="D1062" s="7"/>
      <c r="E1062" s="7">
        <v>1.728</v>
      </c>
      <c r="F1062" s="7">
        <v>3.206</v>
      </c>
      <c r="G1062" s="7">
        <v>4.3490000000000002</v>
      </c>
      <c r="H1062" s="7">
        <f t="shared" si="81"/>
        <v>0.18247036805988756</v>
      </c>
      <c r="I1062" s="7">
        <f t="shared" si="82"/>
        <v>0</v>
      </c>
      <c r="J1062" s="12" t="e">
        <f t="shared" si="80"/>
        <v>#DIV/0!</v>
      </c>
    </row>
    <row r="1063" spans="1:10" x14ac:dyDescent="0.2">
      <c r="A1063" s="19" t="s">
        <v>9</v>
      </c>
      <c r="B1063" s="5" t="s">
        <v>20</v>
      </c>
      <c r="C1063" s="22">
        <v>10</v>
      </c>
      <c r="D1063" s="4"/>
      <c r="E1063" s="4">
        <v>1.7290000000000001</v>
      </c>
      <c r="F1063" s="4">
        <v>3.4889999999999999</v>
      </c>
      <c r="G1063" s="4">
        <v>4.3289999999999997</v>
      </c>
      <c r="H1063" s="4">
        <f t="shared" si="81"/>
        <v>0.25480080252221277</v>
      </c>
      <c r="I1063" s="4">
        <f t="shared" si="82"/>
        <v>0</v>
      </c>
      <c r="J1063" s="10">
        <f t="shared" si="80"/>
        <v>0</v>
      </c>
    </row>
    <row r="1064" spans="1:10" x14ac:dyDescent="0.2">
      <c r="A1064" s="20"/>
      <c r="B1064" s="6" t="s">
        <v>21</v>
      </c>
      <c r="C1064" s="23"/>
      <c r="D1064">
        <v>670</v>
      </c>
      <c r="E1064">
        <v>1.732</v>
      </c>
      <c r="F1064">
        <v>3.1509999999999998</v>
      </c>
      <c r="G1064">
        <v>4.7869999999999999</v>
      </c>
      <c r="H1064">
        <f t="shared" si="81"/>
        <v>3.046651856553478E-2</v>
      </c>
      <c r="I1064">
        <f t="shared" si="82"/>
        <v>649.58743256109165</v>
      </c>
      <c r="J1064" s="11" t="e">
        <f t="shared" si="80"/>
        <v>#DIV/0!</v>
      </c>
    </row>
    <row r="1065" spans="1:10" x14ac:dyDescent="0.2">
      <c r="A1065" s="25"/>
      <c r="B1065" s="8" t="s">
        <v>22</v>
      </c>
      <c r="C1065" s="26"/>
      <c r="D1065" s="7"/>
      <c r="E1065" s="7">
        <v>1.732</v>
      </c>
      <c r="F1065" s="7">
        <v>3.14</v>
      </c>
      <c r="G1065" s="7">
        <v>4.5049999999999999</v>
      </c>
      <c r="H1065" s="7">
        <f t="shared" si="81"/>
        <v>0.11687898089171989</v>
      </c>
      <c r="I1065" s="7">
        <f t="shared" si="82"/>
        <v>0</v>
      </c>
      <c r="J1065" s="12" t="e">
        <f t="shared" si="80"/>
        <v>#DIV/0!</v>
      </c>
    </row>
    <row r="1066" spans="1:10" x14ac:dyDescent="0.2">
      <c r="A1066" s="19" t="s">
        <v>10</v>
      </c>
      <c r="B1066" s="5" t="s">
        <v>20</v>
      </c>
      <c r="C1066" s="22">
        <v>10</v>
      </c>
      <c r="D1066" s="4"/>
      <c r="E1066" s="4">
        <v>1.728</v>
      </c>
      <c r="F1066" s="4">
        <v>3.1669999999999998</v>
      </c>
      <c r="G1066" s="4">
        <v>4.4770000000000003</v>
      </c>
      <c r="H1066" s="4">
        <f t="shared" si="81"/>
        <v>0.13198610672560759</v>
      </c>
      <c r="I1066" s="4">
        <f t="shared" si="82"/>
        <v>0</v>
      </c>
      <c r="J1066" s="10">
        <f t="shared" si="80"/>
        <v>0</v>
      </c>
    </row>
    <row r="1067" spans="1:10" x14ac:dyDescent="0.2">
      <c r="A1067" s="20"/>
      <c r="B1067" s="6" t="s">
        <v>21</v>
      </c>
      <c r="C1067" s="23"/>
      <c r="D1067">
        <v>756</v>
      </c>
      <c r="E1067">
        <v>1.746</v>
      </c>
      <c r="F1067">
        <v>3.2109999999999999</v>
      </c>
      <c r="G1067">
        <v>4.5339999999999998</v>
      </c>
      <c r="H1067">
        <f t="shared" si="81"/>
        <v>0.13173466209903459</v>
      </c>
      <c r="I1067">
        <f t="shared" si="82"/>
        <v>656.40859545312981</v>
      </c>
      <c r="J1067" s="11" t="e">
        <f t="shared" si="80"/>
        <v>#DIV/0!</v>
      </c>
    </row>
    <row r="1068" spans="1:10" x14ac:dyDescent="0.2">
      <c r="A1068" s="25"/>
      <c r="B1068" s="8" t="s">
        <v>22</v>
      </c>
      <c r="C1068" s="26"/>
      <c r="D1068" s="7"/>
      <c r="E1068" s="7">
        <v>1.732</v>
      </c>
      <c r="F1068" s="7">
        <v>3.1549999999999998</v>
      </c>
      <c r="G1068" s="7">
        <v>4.4809999999999999</v>
      </c>
      <c r="H1068" s="7">
        <f t="shared" si="81"/>
        <v>0.12868462757527738</v>
      </c>
      <c r="I1068" s="7">
        <f t="shared" si="82"/>
        <v>0</v>
      </c>
      <c r="J1068" s="12" t="e">
        <f t="shared" si="80"/>
        <v>#DIV/0!</v>
      </c>
    </row>
    <row r="1069" spans="1:10" x14ac:dyDescent="0.2">
      <c r="A1069" s="19" t="s">
        <v>11</v>
      </c>
      <c r="B1069" s="5" t="s">
        <v>20</v>
      </c>
      <c r="C1069" s="22">
        <v>10</v>
      </c>
      <c r="D1069" s="4"/>
      <c r="E1069" s="4">
        <v>1.7230000000000001</v>
      </c>
      <c r="F1069" s="4">
        <v>3.3109999999999999</v>
      </c>
      <c r="G1069" s="4">
        <v>4.5940000000000003</v>
      </c>
      <c r="H1069" s="4">
        <f t="shared" si="81"/>
        <v>0.13289036544850483</v>
      </c>
      <c r="I1069" s="4">
        <f t="shared" si="82"/>
        <v>0</v>
      </c>
      <c r="J1069" s="10">
        <f t="shared" si="80"/>
        <v>0</v>
      </c>
    </row>
    <row r="1070" spans="1:10" x14ac:dyDescent="0.2">
      <c r="A1070" s="20"/>
      <c r="B1070" s="6" t="s">
        <v>21</v>
      </c>
      <c r="C1070" s="23"/>
      <c r="D1070">
        <v>712</v>
      </c>
      <c r="E1070">
        <v>1.7170000000000001</v>
      </c>
      <c r="F1070">
        <v>3.073</v>
      </c>
      <c r="G1070">
        <v>4.3860000000000001</v>
      </c>
      <c r="H1070">
        <f t="shared" si="81"/>
        <v>0.13146762121705172</v>
      </c>
      <c r="I1070">
        <f t="shared" si="82"/>
        <v>618.3950536934592</v>
      </c>
      <c r="J1070" s="11" t="e">
        <f t="shared" si="80"/>
        <v>#DIV/0!</v>
      </c>
    </row>
    <row r="1071" spans="1:10" x14ac:dyDescent="0.2">
      <c r="A1071" s="25"/>
      <c r="B1071" s="8" t="s">
        <v>22</v>
      </c>
      <c r="C1071" s="26"/>
      <c r="D1071" s="7"/>
      <c r="E1071" s="7">
        <v>1.732</v>
      </c>
      <c r="F1071" s="7">
        <v>3.3033999999999999</v>
      </c>
      <c r="G1071" s="7">
        <v>4.37</v>
      </c>
      <c r="H1071" s="7">
        <f t="shared" si="81"/>
        <v>0.20142883090149544</v>
      </c>
      <c r="I1071" s="7">
        <f t="shared" si="82"/>
        <v>0</v>
      </c>
      <c r="J1071" s="12" t="e">
        <f t="shared" si="80"/>
        <v>#DIV/0!</v>
      </c>
    </row>
    <row r="1072" spans="1:10" x14ac:dyDescent="0.2">
      <c r="A1072" s="19" t="s">
        <v>12</v>
      </c>
      <c r="B1072" s="5" t="s">
        <v>20</v>
      </c>
      <c r="C1072" s="22">
        <v>10</v>
      </c>
      <c r="D1072" s="4"/>
      <c r="E1072" s="4">
        <v>1.722</v>
      </c>
      <c r="F1072" s="4">
        <v>3.0169999999999999</v>
      </c>
      <c r="G1072" s="4">
        <v>4.2469999999999999</v>
      </c>
      <c r="H1072" s="4">
        <f t="shared" si="81"/>
        <v>0.16307590321511437</v>
      </c>
      <c r="I1072" s="4">
        <f t="shared" si="82"/>
        <v>0</v>
      </c>
      <c r="J1072" s="10">
        <f t="shared" si="80"/>
        <v>0</v>
      </c>
    </row>
    <row r="1073" spans="1:10" x14ac:dyDescent="0.2">
      <c r="A1073" s="20"/>
      <c r="B1073" s="6" t="s">
        <v>21</v>
      </c>
      <c r="C1073" s="23"/>
      <c r="D1073">
        <v>789</v>
      </c>
      <c r="E1073">
        <v>1.7210000000000001</v>
      </c>
      <c r="F1073">
        <v>3.0880000000000001</v>
      </c>
      <c r="G1073">
        <v>4.3079999999999998</v>
      </c>
      <c r="H1073">
        <f t="shared" si="81"/>
        <v>0.16224093264248715</v>
      </c>
      <c r="I1073">
        <f t="shared" si="82"/>
        <v>660.99190414507757</v>
      </c>
      <c r="J1073" s="11" t="e">
        <f t="shared" si="80"/>
        <v>#DIV/0!</v>
      </c>
    </row>
    <row r="1074" spans="1:10" x14ac:dyDescent="0.2">
      <c r="A1074" s="25"/>
      <c r="B1074" s="8" t="s">
        <v>22</v>
      </c>
      <c r="C1074" s="26"/>
      <c r="D1074" s="7"/>
      <c r="E1074" s="7">
        <v>1.738</v>
      </c>
      <c r="F1074" s="7">
        <v>3.16</v>
      </c>
      <c r="G1074" s="7">
        <v>4.383</v>
      </c>
      <c r="H1074" s="7">
        <f t="shared" si="81"/>
        <v>0.16297468354430383</v>
      </c>
      <c r="I1074" s="7">
        <f t="shared" si="82"/>
        <v>0</v>
      </c>
      <c r="J1074" s="12" t="e">
        <f t="shared" si="80"/>
        <v>#DIV/0!</v>
      </c>
    </row>
    <row r="1075" spans="1:10" x14ac:dyDescent="0.2">
      <c r="A1075" s="19" t="s">
        <v>13</v>
      </c>
      <c r="B1075" s="5" t="s">
        <v>20</v>
      </c>
      <c r="C1075" s="22">
        <v>10</v>
      </c>
      <c r="D1075" s="4"/>
      <c r="E1075" s="4">
        <v>1.71</v>
      </c>
      <c r="F1075" s="4">
        <v>3.1459999999999999</v>
      </c>
      <c r="G1075" s="4">
        <v>4.2670000000000003</v>
      </c>
      <c r="H1075" s="4">
        <f t="shared" si="81"/>
        <v>0.18722186904005073</v>
      </c>
      <c r="I1075" s="4">
        <f t="shared" si="82"/>
        <v>0</v>
      </c>
      <c r="J1075" s="10">
        <f t="shared" si="80"/>
        <v>0</v>
      </c>
    </row>
    <row r="1076" spans="1:10" x14ac:dyDescent="0.2">
      <c r="A1076" s="20"/>
      <c r="B1076" s="6" t="s">
        <v>21</v>
      </c>
      <c r="C1076" s="23"/>
      <c r="D1076">
        <v>769</v>
      </c>
      <c r="E1076">
        <v>1.7050000000000001</v>
      </c>
      <c r="F1076">
        <v>3.0419999999999998</v>
      </c>
      <c r="G1076">
        <v>4.1769999999999996</v>
      </c>
      <c r="H1076">
        <f t="shared" si="81"/>
        <v>0.1873767258382644</v>
      </c>
      <c r="I1076">
        <f t="shared" si="82"/>
        <v>624.90729783037466</v>
      </c>
      <c r="J1076" s="11" t="e">
        <f t="shared" si="80"/>
        <v>#DIV/0!</v>
      </c>
    </row>
    <row r="1077" spans="1:10" x14ac:dyDescent="0.2">
      <c r="A1077" s="25"/>
      <c r="B1077" s="8" t="s">
        <v>22</v>
      </c>
      <c r="C1077" s="26"/>
      <c r="D1077" s="7"/>
      <c r="E1077" s="7">
        <v>1.734</v>
      </c>
      <c r="F1077" s="7">
        <v>3.274</v>
      </c>
      <c r="G1077" s="7">
        <v>4.4089999999999998</v>
      </c>
      <c r="H1077" s="7">
        <f t="shared" si="81"/>
        <v>0.1829566279780086</v>
      </c>
      <c r="I1077" s="7">
        <f t="shared" si="82"/>
        <v>0</v>
      </c>
      <c r="J1077" s="12" t="e">
        <f t="shared" si="80"/>
        <v>#DIV/0!</v>
      </c>
    </row>
    <row r="1078" spans="1:10" x14ac:dyDescent="0.2">
      <c r="A1078" s="19" t="s">
        <v>14</v>
      </c>
      <c r="B1078" s="5" t="s">
        <v>20</v>
      </c>
      <c r="C1078" s="22">
        <v>10</v>
      </c>
      <c r="D1078" s="4"/>
      <c r="E1078" s="4">
        <v>1.7430000000000001</v>
      </c>
      <c r="F1078" s="4">
        <v>3.0470000000000002</v>
      </c>
      <c r="G1078" s="4">
        <v>4.5679999999999996</v>
      </c>
      <c r="H1078" s="4">
        <f t="shared" si="81"/>
        <v>7.2858549392845695E-2</v>
      </c>
      <c r="I1078" s="4">
        <f t="shared" si="82"/>
        <v>0</v>
      </c>
      <c r="J1078" s="10">
        <f t="shared" si="80"/>
        <v>0</v>
      </c>
    </row>
    <row r="1079" spans="1:10" x14ac:dyDescent="0.2">
      <c r="A1079" s="20"/>
      <c r="B1079" s="6" t="s">
        <v>21</v>
      </c>
      <c r="C1079" s="23"/>
      <c r="D1079">
        <v>710</v>
      </c>
      <c r="E1079">
        <v>1.702</v>
      </c>
      <c r="F1079">
        <v>3.125</v>
      </c>
      <c r="G1079">
        <v>4.5739999999999998</v>
      </c>
      <c r="H1079">
        <f t="shared" si="81"/>
        <v>8.0960000000000032E-2</v>
      </c>
      <c r="I1079">
        <f t="shared" si="82"/>
        <v>652.51839999999993</v>
      </c>
      <c r="J1079" s="11" t="e">
        <f t="shared" si="80"/>
        <v>#DIV/0!</v>
      </c>
    </row>
    <row r="1080" spans="1:10" ht="16" thickBot="1" x14ac:dyDescent="0.25">
      <c r="A1080" s="21"/>
      <c r="B1080" s="15" t="s">
        <v>22</v>
      </c>
      <c r="C1080" s="24"/>
      <c r="D1080" s="13"/>
      <c r="E1080" s="13">
        <v>1.716</v>
      </c>
      <c r="F1080" s="13">
        <v>3.0110000000000001</v>
      </c>
      <c r="G1080" s="13">
        <v>4.4809999999999999</v>
      </c>
      <c r="H1080" s="13">
        <f t="shared" si="81"/>
        <v>8.1700431750249228E-2</v>
      </c>
      <c r="I1080" s="13">
        <f t="shared" si="82"/>
        <v>0</v>
      </c>
      <c r="J1080" s="14" t="e">
        <f t="shared" si="80"/>
        <v>#DIV/0!</v>
      </c>
    </row>
    <row r="1081" spans="1:10" ht="16" thickBot="1" x14ac:dyDescent="0.25">
      <c r="A1081" s="44" t="s">
        <v>1</v>
      </c>
      <c r="B1081" s="33"/>
      <c r="C1081" s="33"/>
      <c r="D1081" s="33" t="s">
        <v>47</v>
      </c>
      <c r="E1081" s="34"/>
      <c r="F1081" s="9" t="s">
        <v>0</v>
      </c>
      <c r="G1081" s="18">
        <v>44156</v>
      </c>
      <c r="H1081" s="35" t="s">
        <v>24</v>
      </c>
      <c r="I1081" s="36"/>
      <c r="J1081" s="1">
        <v>90</v>
      </c>
    </row>
    <row r="1082" spans="1:10" ht="16" thickBot="1" x14ac:dyDescent="0.25">
      <c r="A1082" s="37" t="s">
        <v>2</v>
      </c>
      <c r="B1082" s="38"/>
      <c r="C1082" s="38"/>
      <c r="D1082" s="38"/>
      <c r="E1082" s="39"/>
      <c r="F1082" s="40"/>
      <c r="G1082" s="41"/>
      <c r="H1082" s="42" t="s">
        <v>25</v>
      </c>
      <c r="I1082" s="43"/>
      <c r="J1082" s="2">
        <v>35</v>
      </c>
    </row>
    <row r="1083" spans="1:10" ht="16" thickBot="1" x14ac:dyDescent="0.25">
      <c r="A1083" s="45" t="s">
        <v>27</v>
      </c>
      <c r="B1083" s="27"/>
      <c r="C1083" s="27"/>
      <c r="D1083" s="27" t="s">
        <v>33</v>
      </c>
      <c r="E1083" s="28"/>
      <c r="F1083" s="16" t="s">
        <v>30</v>
      </c>
      <c r="G1083" s="16">
        <v>3.81</v>
      </c>
      <c r="H1083" s="29" t="s">
        <v>26</v>
      </c>
      <c r="I1083" s="30"/>
      <c r="J1083" s="3">
        <v>65</v>
      </c>
    </row>
    <row r="1084" spans="1:10" x14ac:dyDescent="0.2">
      <c r="A1084" s="31"/>
      <c r="B1084" s="32"/>
      <c r="C1084" s="16" t="s">
        <v>29</v>
      </c>
      <c r="D1084" s="16" t="s">
        <v>19</v>
      </c>
      <c r="E1084" s="16" t="s">
        <v>15</v>
      </c>
      <c r="F1084" s="16" t="s">
        <v>18</v>
      </c>
      <c r="G1084" s="16" t="s">
        <v>17</v>
      </c>
      <c r="H1084" s="16" t="s">
        <v>28</v>
      </c>
      <c r="I1084" s="16" t="s">
        <v>16</v>
      </c>
      <c r="J1084" s="17" t="s">
        <v>23</v>
      </c>
    </row>
    <row r="1085" spans="1:10" x14ac:dyDescent="0.2">
      <c r="A1085" s="19" t="s">
        <v>3</v>
      </c>
      <c r="B1085" s="5" t="s">
        <v>20</v>
      </c>
      <c r="C1085" s="22">
        <v>10</v>
      </c>
      <c r="D1085" s="4"/>
      <c r="E1085" s="4">
        <v>1.716</v>
      </c>
      <c r="F1085" s="4">
        <v>3.0569999999999999</v>
      </c>
      <c r="G1085" s="4">
        <v>4.3079999999999998</v>
      </c>
      <c r="H1085" s="4">
        <f>(F1085-(G1085-E1085))/F1085</f>
        <v>0.15210991167811591</v>
      </c>
      <c r="I1085" s="4">
        <f>D1085-H1085*D1085</f>
        <v>0</v>
      </c>
      <c r="J1085" s="10">
        <f t="shared" ref="J1085:J1120" si="83">I1085/($G$3^2*C1085*PI())</f>
        <v>0</v>
      </c>
    </row>
    <row r="1086" spans="1:10" x14ac:dyDescent="0.2">
      <c r="A1086" s="20"/>
      <c r="B1086" s="6" t="s">
        <v>21</v>
      </c>
      <c r="C1086" s="23"/>
      <c r="D1086">
        <v>349</v>
      </c>
      <c r="E1086">
        <v>1.73</v>
      </c>
      <c r="F1086">
        <v>3.4279999999999999</v>
      </c>
      <c r="G1086">
        <v>4.633</v>
      </c>
      <c r="H1086">
        <f t="shared" ref="H1086:H1120" si="84">(F1086-(G1086-E1086))/F1086</f>
        <v>0.15315052508751456</v>
      </c>
      <c r="I1086">
        <f t="shared" ref="I1086:I1120" si="85">D1086-H1086*D1086</f>
        <v>295.55046674445742</v>
      </c>
      <c r="J1086" s="11" t="e">
        <f t="shared" si="83"/>
        <v>#DIV/0!</v>
      </c>
    </row>
    <row r="1087" spans="1:10" x14ac:dyDescent="0.2">
      <c r="A1087" s="25"/>
      <c r="B1087" s="8" t="s">
        <v>22</v>
      </c>
      <c r="C1087" s="26"/>
      <c r="D1087" s="7"/>
      <c r="E1087" s="7">
        <v>1.726</v>
      </c>
      <c r="F1087" s="7">
        <v>3.0680000000000001</v>
      </c>
      <c r="G1087" s="7">
        <v>4.3179999999999996</v>
      </c>
      <c r="H1087" s="7">
        <f t="shared" si="84"/>
        <v>0.15514993481095191</v>
      </c>
      <c r="I1087" s="7">
        <f t="shared" si="85"/>
        <v>0</v>
      </c>
      <c r="J1087" s="12" t="e">
        <f t="shared" si="83"/>
        <v>#DIV/0!</v>
      </c>
    </row>
    <row r="1088" spans="1:10" x14ac:dyDescent="0.2">
      <c r="A1088" s="19" t="s">
        <v>4</v>
      </c>
      <c r="B1088" s="5" t="s">
        <v>20</v>
      </c>
      <c r="C1088" s="23">
        <v>10</v>
      </c>
      <c r="E1088">
        <v>1.708</v>
      </c>
      <c r="F1088">
        <v>3.1110000000000002</v>
      </c>
      <c r="G1088">
        <v>4.2910000000000004</v>
      </c>
      <c r="H1088" s="4">
        <f t="shared" si="84"/>
        <v>0.16972034715525555</v>
      </c>
      <c r="I1088" s="4">
        <f t="shared" si="85"/>
        <v>0</v>
      </c>
      <c r="J1088" s="10">
        <f t="shared" si="83"/>
        <v>0</v>
      </c>
    </row>
    <row r="1089" spans="1:10" x14ac:dyDescent="0.2">
      <c r="A1089" s="20"/>
      <c r="B1089" s="6" t="s">
        <v>21</v>
      </c>
      <c r="C1089" s="23"/>
      <c r="D1089">
        <v>433</v>
      </c>
      <c r="E1089">
        <v>1.718</v>
      </c>
      <c r="F1089">
        <v>3.2749999999999999</v>
      </c>
      <c r="G1089">
        <v>4.4400000000000004</v>
      </c>
      <c r="H1089">
        <f t="shared" si="84"/>
        <v>0.16885496183206092</v>
      </c>
      <c r="I1089">
        <f t="shared" si="85"/>
        <v>359.88580152671761</v>
      </c>
      <c r="J1089" s="11" t="e">
        <f t="shared" si="83"/>
        <v>#DIV/0!</v>
      </c>
    </row>
    <row r="1090" spans="1:10" x14ac:dyDescent="0.2">
      <c r="A1090" s="25"/>
      <c r="B1090" s="8" t="s">
        <v>22</v>
      </c>
      <c r="C1090" s="26"/>
      <c r="D1090" s="7"/>
      <c r="E1090" s="7">
        <v>1.7230000000000001</v>
      </c>
      <c r="F1090" s="7">
        <v>3.1339999999999999</v>
      </c>
      <c r="G1090" s="7">
        <v>4.3220000000000001</v>
      </c>
      <c r="H1090" s="7">
        <f t="shared" si="84"/>
        <v>0.17070835992342046</v>
      </c>
      <c r="I1090" s="7">
        <f t="shared" si="85"/>
        <v>0</v>
      </c>
      <c r="J1090" s="12" t="e">
        <f t="shared" si="83"/>
        <v>#DIV/0!</v>
      </c>
    </row>
    <row r="1091" spans="1:10" x14ac:dyDescent="0.2">
      <c r="A1091" s="19" t="s">
        <v>5</v>
      </c>
      <c r="B1091" s="5" t="s">
        <v>20</v>
      </c>
      <c r="C1091" s="22">
        <v>10</v>
      </c>
      <c r="D1091" s="4"/>
      <c r="E1091" s="4">
        <v>1.7310000000000001</v>
      </c>
      <c r="F1091" s="4">
        <v>4.0369999999999999</v>
      </c>
      <c r="G1091" s="4">
        <v>5.0709999999999997</v>
      </c>
      <c r="H1091" s="4">
        <f t="shared" si="84"/>
        <v>0.17265296011890019</v>
      </c>
      <c r="I1091" s="4">
        <f t="shared" si="85"/>
        <v>0</v>
      </c>
      <c r="J1091" s="10">
        <f t="shared" si="83"/>
        <v>0</v>
      </c>
    </row>
    <row r="1092" spans="1:10" x14ac:dyDescent="0.2">
      <c r="A1092" s="20"/>
      <c r="B1092" s="6" t="s">
        <v>21</v>
      </c>
      <c r="C1092" s="23"/>
      <c r="D1092">
        <v>657</v>
      </c>
      <c r="E1092">
        <v>1.7110000000000001</v>
      </c>
      <c r="F1092">
        <v>3.4209999999999998</v>
      </c>
      <c r="G1092">
        <v>4.5380000000000003</v>
      </c>
      <c r="H1092">
        <f t="shared" si="84"/>
        <v>0.17363344051446941</v>
      </c>
      <c r="I1092">
        <f t="shared" si="85"/>
        <v>542.9228295819936</v>
      </c>
      <c r="J1092" s="11" t="e">
        <f t="shared" si="83"/>
        <v>#DIV/0!</v>
      </c>
    </row>
    <row r="1093" spans="1:10" x14ac:dyDescent="0.2">
      <c r="A1093" s="25"/>
      <c r="B1093" s="8" t="s">
        <v>22</v>
      </c>
      <c r="C1093" s="26"/>
      <c r="D1093" s="7"/>
      <c r="E1093" s="7">
        <v>1.732</v>
      </c>
      <c r="F1093" s="7">
        <v>3.3</v>
      </c>
      <c r="G1093" s="7">
        <v>4.2430000000000003</v>
      </c>
      <c r="H1093" s="7">
        <f t="shared" si="84"/>
        <v>0.23909090909090902</v>
      </c>
      <c r="I1093" s="7">
        <f t="shared" si="85"/>
        <v>0</v>
      </c>
      <c r="J1093" s="12" t="e">
        <f t="shared" si="83"/>
        <v>#DIV/0!</v>
      </c>
    </row>
    <row r="1094" spans="1:10" x14ac:dyDescent="0.2">
      <c r="A1094" s="19" t="s">
        <v>6</v>
      </c>
      <c r="B1094" s="5" t="s">
        <v>20</v>
      </c>
      <c r="C1094" s="22">
        <v>10</v>
      </c>
      <c r="D1094" s="4"/>
      <c r="E1094" s="4">
        <v>1.732</v>
      </c>
      <c r="F1094" s="4">
        <v>3.7450000000000001</v>
      </c>
      <c r="G1094" s="4">
        <v>4.9050000000000002</v>
      </c>
      <c r="H1094" s="4">
        <f t="shared" si="84"/>
        <v>0.1527369826435247</v>
      </c>
      <c r="I1094" s="4">
        <f t="shared" si="85"/>
        <v>0</v>
      </c>
      <c r="J1094" s="10">
        <f t="shared" si="83"/>
        <v>0</v>
      </c>
    </row>
    <row r="1095" spans="1:10" x14ac:dyDescent="0.2">
      <c r="A1095" s="20"/>
      <c r="B1095" s="6" t="s">
        <v>21</v>
      </c>
      <c r="C1095" s="23"/>
      <c r="D1095">
        <v>561</v>
      </c>
      <c r="E1095">
        <v>1.7310000000000001</v>
      </c>
      <c r="F1095">
        <v>3.0739999999999998</v>
      </c>
      <c r="G1095">
        <v>4.335</v>
      </c>
      <c r="H1095">
        <f t="shared" si="84"/>
        <v>0.15289525048796349</v>
      </c>
      <c r="I1095">
        <f t="shared" si="85"/>
        <v>475.22576447625249</v>
      </c>
      <c r="J1095" s="11" t="e">
        <f t="shared" si="83"/>
        <v>#DIV/0!</v>
      </c>
    </row>
    <row r="1096" spans="1:10" x14ac:dyDescent="0.2">
      <c r="A1096" s="25"/>
      <c r="B1096" s="8" t="s">
        <v>22</v>
      </c>
      <c r="C1096" s="26"/>
      <c r="D1096" s="7"/>
      <c r="E1096" s="7">
        <v>1.7110000000000001</v>
      </c>
      <c r="F1096" s="7">
        <v>3.2240000000000002</v>
      </c>
      <c r="G1096" s="7">
        <v>4.4409999999999998</v>
      </c>
      <c r="H1096" s="7">
        <f t="shared" si="84"/>
        <v>0.1532258064516131</v>
      </c>
      <c r="I1096" s="7">
        <f t="shared" si="85"/>
        <v>0</v>
      </c>
      <c r="J1096" s="12" t="e">
        <f t="shared" si="83"/>
        <v>#DIV/0!</v>
      </c>
    </row>
    <row r="1097" spans="1:10" x14ac:dyDescent="0.2">
      <c r="A1097" s="19" t="s">
        <v>7</v>
      </c>
      <c r="B1097" s="5" t="s">
        <v>20</v>
      </c>
      <c r="C1097" s="22">
        <v>10</v>
      </c>
      <c r="D1097" s="4"/>
      <c r="E1097" s="4">
        <v>1.7330000000000001</v>
      </c>
      <c r="F1097" s="4">
        <v>3.4689999999999999</v>
      </c>
      <c r="G1097" s="4">
        <v>4.7130000000000001</v>
      </c>
      <c r="H1097" s="4">
        <f t="shared" si="84"/>
        <v>0.14096281349091955</v>
      </c>
      <c r="I1097" s="4">
        <f t="shared" si="85"/>
        <v>0</v>
      </c>
      <c r="J1097" s="10">
        <f t="shared" si="83"/>
        <v>0</v>
      </c>
    </row>
    <row r="1098" spans="1:10" x14ac:dyDescent="0.2">
      <c r="A1098" s="20"/>
      <c r="B1098" s="6" t="s">
        <v>21</v>
      </c>
      <c r="C1098" s="23"/>
      <c r="D1098">
        <v>933</v>
      </c>
      <c r="E1098">
        <v>1.7170000000000001</v>
      </c>
      <c r="F1098">
        <v>3.569</v>
      </c>
      <c r="G1098">
        <v>4.7779999999999996</v>
      </c>
      <c r="H1098">
        <f t="shared" si="84"/>
        <v>0.14233678901653138</v>
      </c>
      <c r="I1098">
        <f t="shared" si="85"/>
        <v>800.19977584757623</v>
      </c>
      <c r="J1098" s="11" t="e">
        <f t="shared" si="83"/>
        <v>#DIV/0!</v>
      </c>
    </row>
    <row r="1099" spans="1:10" x14ac:dyDescent="0.2">
      <c r="A1099" s="25"/>
      <c r="B1099" s="8" t="s">
        <v>22</v>
      </c>
      <c r="C1099" s="26"/>
      <c r="D1099" s="7"/>
      <c r="E1099" s="7">
        <v>1.7310000000000001</v>
      </c>
      <c r="F1099" s="7">
        <v>3.8820000000000001</v>
      </c>
      <c r="G1099" s="7">
        <v>5.05</v>
      </c>
      <c r="H1099" s="7">
        <f t="shared" si="84"/>
        <v>0.14502833590932512</v>
      </c>
      <c r="I1099" s="7">
        <f t="shared" si="85"/>
        <v>0</v>
      </c>
      <c r="J1099" s="12" t="e">
        <f t="shared" si="83"/>
        <v>#DIV/0!</v>
      </c>
    </row>
    <row r="1100" spans="1:10" x14ac:dyDescent="0.2">
      <c r="A1100" s="19" t="s">
        <v>8</v>
      </c>
      <c r="B1100" s="5" t="s">
        <v>20</v>
      </c>
      <c r="C1100" s="22">
        <v>10</v>
      </c>
      <c r="D1100" s="4"/>
      <c r="E1100" s="4">
        <v>1.7250000000000001</v>
      </c>
      <c r="F1100" s="4">
        <v>3.55</v>
      </c>
      <c r="G1100" s="4">
        <v>4.7939999999999996</v>
      </c>
      <c r="H1100" s="4">
        <f t="shared" si="84"/>
        <v>0.13549295774647896</v>
      </c>
      <c r="I1100" s="4">
        <f t="shared" si="85"/>
        <v>0</v>
      </c>
      <c r="J1100" s="10">
        <f t="shared" si="83"/>
        <v>0</v>
      </c>
    </row>
    <row r="1101" spans="1:10" x14ac:dyDescent="0.2">
      <c r="A1101" s="20"/>
      <c r="B1101" s="6" t="s">
        <v>21</v>
      </c>
      <c r="C1101" s="23"/>
      <c r="D1101">
        <v>897</v>
      </c>
      <c r="E1101">
        <v>1.7270000000000001</v>
      </c>
      <c r="F1101">
        <v>3.6520000000000001</v>
      </c>
      <c r="G1101">
        <v>4.8849999999999998</v>
      </c>
      <c r="H1101">
        <f t="shared" si="84"/>
        <v>0.13526834611171978</v>
      </c>
      <c r="I1101">
        <f t="shared" si="85"/>
        <v>775.66429353778733</v>
      </c>
      <c r="J1101" s="11" t="e">
        <f t="shared" si="83"/>
        <v>#DIV/0!</v>
      </c>
    </row>
    <row r="1102" spans="1:10" x14ac:dyDescent="0.2">
      <c r="A1102" s="25"/>
      <c r="B1102" s="8" t="s">
        <v>22</v>
      </c>
      <c r="C1102" s="26"/>
      <c r="D1102" s="7"/>
      <c r="E1102" s="7">
        <v>1.73</v>
      </c>
      <c r="F1102" s="7">
        <v>3.0270000000000001</v>
      </c>
      <c r="G1102" s="7">
        <v>4.3579999999999997</v>
      </c>
      <c r="H1102" s="7">
        <f t="shared" si="84"/>
        <v>0.13181367690782969</v>
      </c>
      <c r="I1102" s="7">
        <f t="shared" si="85"/>
        <v>0</v>
      </c>
      <c r="J1102" s="12" t="e">
        <f t="shared" si="83"/>
        <v>#DIV/0!</v>
      </c>
    </row>
    <row r="1103" spans="1:10" x14ac:dyDescent="0.2">
      <c r="A1103" s="19" t="s">
        <v>9</v>
      </c>
      <c r="B1103" s="5" t="s">
        <v>20</v>
      </c>
      <c r="C1103" s="22">
        <v>10</v>
      </c>
      <c r="D1103" s="4"/>
      <c r="E1103" s="4">
        <v>1.738</v>
      </c>
      <c r="F1103" s="4">
        <v>3.8780000000000001</v>
      </c>
      <c r="G1103" s="4">
        <v>5.1479999999999997</v>
      </c>
      <c r="H1103" s="4">
        <f t="shared" si="84"/>
        <v>0.12068076328004136</v>
      </c>
      <c r="I1103" s="4">
        <f t="shared" si="85"/>
        <v>0</v>
      </c>
      <c r="J1103" s="10">
        <f t="shared" si="83"/>
        <v>0</v>
      </c>
    </row>
    <row r="1104" spans="1:10" x14ac:dyDescent="0.2">
      <c r="A1104" s="20"/>
      <c r="B1104" s="6" t="s">
        <v>21</v>
      </c>
      <c r="C1104" s="23"/>
      <c r="D1104">
        <v>952</v>
      </c>
      <c r="E1104">
        <v>1.7290000000000001</v>
      </c>
      <c r="F1104">
        <v>3.0529999999999999</v>
      </c>
      <c r="G1104">
        <v>4.4109999999999996</v>
      </c>
      <c r="H1104">
        <f t="shared" si="84"/>
        <v>0.12151981657386192</v>
      </c>
      <c r="I1104">
        <f t="shared" si="85"/>
        <v>836.3131346216835</v>
      </c>
      <c r="J1104" s="11" t="e">
        <f t="shared" si="83"/>
        <v>#DIV/0!</v>
      </c>
    </row>
    <row r="1105" spans="1:10" x14ac:dyDescent="0.2">
      <c r="A1105" s="25"/>
      <c r="B1105" s="8" t="s">
        <v>22</v>
      </c>
      <c r="C1105" s="26"/>
      <c r="D1105" s="7"/>
      <c r="E1105" s="7">
        <v>1.7130000000000001</v>
      </c>
      <c r="F1105" s="7">
        <v>3.0720000000000001</v>
      </c>
      <c r="G1105" s="7">
        <v>4.3959999999999999</v>
      </c>
      <c r="H1105" s="7">
        <f t="shared" si="84"/>
        <v>0.12662760416666674</v>
      </c>
      <c r="I1105" s="7">
        <f t="shared" si="85"/>
        <v>0</v>
      </c>
      <c r="J1105" s="12" t="e">
        <f t="shared" si="83"/>
        <v>#DIV/0!</v>
      </c>
    </row>
    <row r="1106" spans="1:10" x14ac:dyDescent="0.2">
      <c r="A1106" s="19" t="s">
        <v>10</v>
      </c>
      <c r="B1106" s="5" t="s">
        <v>20</v>
      </c>
      <c r="C1106" s="22">
        <v>10</v>
      </c>
      <c r="D1106" s="4"/>
      <c r="E1106" s="4">
        <v>1.7090000000000001</v>
      </c>
      <c r="F1106" s="4">
        <v>3.4750000000000001</v>
      </c>
      <c r="G1106" s="4">
        <v>4.7249999999999996</v>
      </c>
      <c r="H1106" s="4">
        <f t="shared" si="84"/>
        <v>0.13208633093525193</v>
      </c>
      <c r="I1106" s="4">
        <f t="shared" si="85"/>
        <v>0</v>
      </c>
      <c r="J1106" s="10">
        <f t="shared" si="83"/>
        <v>0</v>
      </c>
    </row>
    <row r="1107" spans="1:10" x14ac:dyDescent="0.2">
      <c r="A1107" s="20"/>
      <c r="B1107" s="6" t="s">
        <v>21</v>
      </c>
      <c r="C1107" s="23"/>
      <c r="D1107">
        <v>813</v>
      </c>
      <c r="E1107">
        <v>1.7410000000000001</v>
      </c>
      <c r="F1107">
        <v>3.129</v>
      </c>
      <c r="G1107">
        <v>4.5460000000000003</v>
      </c>
      <c r="H1107">
        <f t="shared" si="84"/>
        <v>0.10354745925215719</v>
      </c>
      <c r="I1107">
        <f t="shared" si="85"/>
        <v>728.81591562799622</v>
      </c>
      <c r="J1107" s="11" t="e">
        <f t="shared" si="83"/>
        <v>#DIV/0!</v>
      </c>
    </row>
    <row r="1108" spans="1:10" x14ac:dyDescent="0.2">
      <c r="A1108" s="25"/>
      <c r="B1108" s="8" t="s">
        <v>22</v>
      </c>
      <c r="C1108" s="26"/>
      <c r="D1108" s="7"/>
      <c r="E1108" s="7">
        <v>1.714</v>
      </c>
      <c r="F1108" s="7">
        <v>3.1429999999999998</v>
      </c>
      <c r="G1108" s="7">
        <v>4.4349999999999996</v>
      </c>
      <c r="H1108" s="7">
        <f t="shared" si="84"/>
        <v>0.13426662424435259</v>
      </c>
      <c r="I1108" s="7">
        <f t="shared" si="85"/>
        <v>0</v>
      </c>
      <c r="J1108" s="12" t="e">
        <f t="shared" si="83"/>
        <v>#DIV/0!</v>
      </c>
    </row>
    <row r="1109" spans="1:10" x14ac:dyDescent="0.2">
      <c r="A1109" s="19" t="s">
        <v>11</v>
      </c>
      <c r="B1109" s="5" t="s">
        <v>20</v>
      </c>
      <c r="C1109" s="22">
        <v>10</v>
      </c>
      <c r="D1109" s="4"/>
      <c r="E1109" s="4">
        <v>1.728</v>
      </c>
      <c r="F1109" s="4">
        <v>3.032</v>
      </c>
      <c r="G1109" s="4">
        <v>4.351</v>
      </c>
      <c r="H1109" s="4">
        <f t="shared" si="84"/>
        <v>0.13489445910290232</v>
      </c>
      <c r="I1109" s="4">
        <f t="shared" si="85"/>
        <v>0</v>
      </c>
      <c r="J1109" s="10">
        <f t="shared" si="83"/>
        <v>0</v>
      </c>
    </row>
    <row r="1110" spans="1:10" x14ac:dyDescent="0.2">
      <c r="A1110" s="20"/>
      <c r="B1110" s="6" t="s">
        <v>21</v>
      </c>
      <c r="C1110" s="23"/>
      <c r="D1110">
        <v>996</v>
      </c>
      <c r="E1110">
        <v>1.7110000000000001</v>
      </c>
      <c r="F1110">
        <v>3.26</v>
      </c>
      <c r="G1110">
        <v>4.5229999999999997</v>
      </c>
      <c r="H1110">
        <f t="shared" si="84"/>
        <v>0.13742331288343571</v>
      </c>
      <c r="I1110">
        <f t="shared" si="85"/>
        <v>859.12638036809801</v>
      </c>
      <c r="J1110" s="11" t="e">
        <f t="shared" si="83"/>
        <v>#DIV/0!</v>
      </c>
    </row>
    <row r="1111" spans="1:10" x14ac:dyDescent="0.2">
      <c r="A1111" s="25"/>
      <c r="B1111" s="8" t="s">
        <v>22</v>
      </c>
      <c r="C1111" s="26"/>
      <c r="D1111" s="7"/>
      <c r="E1111" s="7">
        <v>1.7070000000000001</v>
      </c>
      <c r="F1111" s="7">
        <v>3.073</v>
      </c>
      <c r="G1111" s="7">
        <v>4.3570000000000002</v>
      </c>
      <c r="H1111" s="7">
        <f t="shared" si="84"/>
        <v>0.13765050439310109</v>
      </c>
      <c r="I1111" s="7">
        <f t="shared" si="85"/>
        <v>0</v>
      </c>
      <c r="J1111" s="12" t="e">
        <f t="shared" si="83"/>
        <v>#DIV/0!</v>
      </c>
    </row>
    <row r="1112" spans="1:10" x14ac:dyDescent="0.2">
      <c r="A1112" s="19" t="s">
        <v>12</v>
      </c>
      <c r="B1112" s="5" t="s">
        <v>20</v>
      </c>
      <c r="C1112" s="22">
        <v>10</v>
      </c>
      <c r="D1112" s="4"/>
      <c r="E1112" s="4"/>
      <c r="F1112" s="4"/>
      <c r="G1112" s="4"/>
      <c r="H1112" s="4" t="e">
        <f t="shared" si="84"/>
        <v>#DIV/0!</v>
      </c>
      <c r="I1112" s="4" t="e">
        <f t="shared" si="85"/>
        <v>#DIV/0!</v>
      </c>
      <c r="J1112" s="10" t="e">
        <f t="shared" si="83"/>
        <v>#DIV/0!</v>
      </c>
    </row>
    <row r="1113" spans="1:10" x14ac:dyDescent="0.2">
      <c r="A1113" s="20"/>
      <c r="B1113" s="6" t="s">
        <v>21</v>
      </c>
      <c r="C1113" s="23"/>
      <c r="H1113" t="e">
        <f t="shared" si="84"/>
        <v>#DIV/0!</v>
      </c>
      <c r="I1113" t="e">
        <f t="shared" si="85"/>
        <v>#DIV/0!</v>
      </c>
      <c r="J1113" s="11" t="e">
        <f t="shared" si="83"/>
        <v>#DIV/0!</v>
      </c>
    </row>
    <row r="1114" spans="1:10" x14ac:dyDescent="0.2">
      <c r="A1114" s="25"/>
      <c r="B1114" s="8" t="s">
        <v>22</v>
      </c>
      <c r="C1114" s="26"/>
      <c r="D1114" s="7"/>
      <c r="E1114" s="7"/>
      <c r="F1114" s="7"/>
      <c r="G1114" s="7"/>
      <c r="H1114" s="7" t="e">
        <f t="shared" si="84"/>
        <v>#DIV/0!</v>
      </c>
      <c r="I1114" s="7" t="e">
        <f t="shared" si="85"/>
        <v>#DIV/0!</v>
      </c>
      <c r="J1114" s="12" t="e">
        <f t="shared" si="83"/>
        <v>#DIV/0!</v>
      </c>
    </row>
    <row r="1115" spans="1:10" x14ac:dyDescent="0.2">
      <c r="A1115" s="19" t="s">
        <v>13</v>
      </c>
      <c r="B1115" s="5" t="s">
        <v>20</v>
      </c>
      <c r="C1115" s="22">
        <v>10</v>
      </c>
      <c r="D1115" s="4"/>
      <c r="E1115" s="4"/>
      <c r="F1115" s="4"/>
      <c r="G1115" s="4"/>
      <c r="H1115" s="4" t="e">
        <f t="shared" si="84"/>
        <v>#DIV/0!</v>
      </c>
      <c r="I1115" s="4" t="e">
        <f t="shared" si="85"/>
        <v>#DIV/0!</v>
      </c>
      <c r="J1115" s="10" t="e">
        <f t="shared" si="83"/>
        <v>#DIV/0!</v>
      </c>
    </row>
    <row r="1116" spans="1:10" x14ac:dyDescent="0.2">
      <c r="A1116" s="20"/>
      <c r="B1116" s="6" t="s">
        <v>21</v>
      </c>
      <c r="C1116" s="23"/>
      <c r="H1116" t="e">
        <f t="shared" si="84"/>
        <v>#DIV/0!</v>
      </c>
      <c r="I1116" t="e">
        <f t="shared" si="85"/>
        <v>#DIV/0!</v>
      </c>
      <c r="J1116" s="11" t="e">
        <f t="shared" si="83"/>
        <v>#DIV/0!</v>
      </c>
    </row>
    <row r="1117" spans="1:10" x14ac:dyDescent="0.2">
      <c r="A1117" s="25"/>
      <c r="B1117" s="8" t="s">
        <v>22</v>
      </c>
      <c r="C1117" s="26"/>
      <c r="D1117" s="7"/>
      <c r="E1117" s="7"/>
      <c r="F1117" s="7"/>
      <c r="G1117" s="7"/>
      <c r="H1117" s="7" t="e">
        <f t="shared" si="84"/>
        <v>#DIV/0!</v>
      </c>
      <c r="I1117" s="7" t="e">
        <f t="shared" si="85"/>
        <v>#DIV/0!</v>
      </c>
      <c r="J1117" s="12" t="e">
        <f t="shared" si="83"/>
        <v>#DIV/0!</v>
      </c>
    </row>
    <row r="1118" spans="1:10" x14ac:dyDescent="0.2">
      <c r="A1118" s="19" t="s">
        <v>14</v>
      </c>
      <c r="B1118" s="5" t="s">
        <v>20</v>
      </c>
      <c r="C1118" s="22">
        <v>10</v>
      </c>
      <c r="D1118" s="4"/>
      <c r="E1118" s="4"/>
      <c r="F1118" s="4"/>
      <c r="G1118" s="4"/>
      <c r="H1118" s="4" t="e">
        <f t="shared" si="84"/>
        <v>#DIV/0!</v>
      </c>
      <c r="I1118" s="4" t="e">
        <f t="shared" si="85"/>
        <v>#DIV/0!</v>
      </c>
      <c r="J1118" s="10" t="e">
        <f t="shared" si="83"/>
        <v>#DIV/0!</v>
      </c>
    </row>
    <row r="1119" spans="1:10" x14ac:dyDescent="0.2">
      <c r="A1119" s="20"/>
      <c r="B1119" s="6" t="s">
        <v>21</v>
      </c>
      <c r="C1119" s="23"/>
      <c r="H1119" t="e">
        <f t="shared" si="84"/>
        <v>#DIV/0!</v>
      </c>
      <c r="I1119" t="e">
        <f t="shared" si="85"/>
        <v>#DIV/0!</v>
      </c>
      <c r="J1119" s="11" t="e">
        <f t="shared" si="83"/>
        <v>#DIV/0!</v>
      </c>
    </row>
    <row r="1120" spans="1:10" ht="16" thickBot="1" x14ac:dyDescent="0.25">
      <c r="A1120" s="21"/>
      <c r="B1120" s="15" t="s">
        <v>22</v>
      </c>
      <c r="C1120" s="24"/>
      <c r="D1120" s="13"/>
      <c r="E1120" s="13"/>
      <c r="F1120" s="13"/>
      <c r="G1120" s="13"/>
      <c r="H1120" s="13" t="e">
        <f t="shared" si="84"/>
        <v>#DIV/0!</v>
      </c>
      <c r="I1120" s="13" t="e">
        <f t="shared" si="85"/>
        <v>#DIV/0!</v>
      </c>
      <c r="J1120" s="14" t="e">
        <f t="shared" si="83"/>
        <v>#DIV/0!</v>
      </c>
    </row>
    <row r="1121" spans="1:10" ht="16" thickBot="1" x14ac:dyDescent="0.25">
      <c r="A1121" s="44" t="s">
        <v>1</v>
      </c>
      <c r="B1121" s="33"/>
      <c r="C1121" s="33"/>
      <c r="D1121" s="33" t="s">
        <v>48</v>
      </c>
      <c r="E1121" s="34"/>
      <c r="F1121" s="9" t="s">
        <v>0</v>
      </c>
      <c r="G1121" s="18">
        <v>44156</v>
      </c>
      <c r="H1121" s="35" t="s">
        <v>24</v>
      </c>
      <c r="I1121" s="36"/>
      <c r="J1121" s="1">
        <v>110</v>
      </c>
    </row>
    <row r="1122" spans="1:10" ht="16" thickBot="1" x14ac:dyDescent="0.25">
      <c r="A1122" s="37" t="s">
        <v>2</v>
      </c>
      <c r="B1122" s="38"/>
      <c r="C1122" s="38"/>
      <c r="D1122" s="38"/>
      <c r="E1122" s="39"/>
      <c r="F1122" s="40"/>
      <c r="G1122" s="41"/>
      <c r="H1122" s="42" t="s">
        <v>25</v>
      </c>
      <c r="I1122" s="43"/>
      <c r="J1122" s="2">
        <v>25</v>
      </c>
    </row>
    <row r="1123" spans="1:10" ht="16" thickBot="1" x14ac:dyDescent="0.25">
      <c r="A1123" s="45" t="s">
        <v>27</v>
      </c>
      <c r="B1123" s="27"/>
      <c r="C1123" s="27"/>
      <c r="D1123" s="27" t="s">
        <v>36</v>
      </c>
      <c r="E1123" s="28"/>
      <c r="F1123" s="16" t="s">
        <v>30</v>
      </c>
      <c r="G1123" s="16">
        <v>3.81</v>
      </c>
      <c r="H1123" s="29" t="s">
        <v>26</v>
      </c>
      <c r="I1123" s="30"/>
      <c r="J1123" s="3">
        <v>56</v>
      </c>
    </row>
    <row r="1124" spans="1:10" x14ac:dyDescent="0.2">
      <c r="A1124" s="31"/>
      <c r="B1124" s="32"/>
      <c r="C1124" s="16" t="s">
        <v>29</v>
      </c>
      <c r="D1124" s="16" t="s">
        <v>19</v>
      </c>
      <c r="E1124" s="16" t="s">
        <v>15</v>
      </c>
      <c r="F1124" s="16" t="s">
        <v>18</v>
      </c>
      <c r="G1124" s="16" t="s">
        <v>17</v>
      </c>
      <c r="H1124" s="16" t="s">
        <v>28</v>
      </c>
      <c r="I1124" s="16" t="s">
        <v>16</v>
      </c>
      <c r="J1124" s="17" t="s">
        <v>23</v>
      </c>
    </row>
    <row r="1125" spans="1:10" x14ac:dyDescent="0.2">
      <c r="A1125" s="19" t="s">
        <v>3</v>
      </c>
      <c r="B1125" s="5" t="s">
        <v>20</v>
      </c>
      <c r="C1125" s="22">
        <v>10</v>
      </c>
      <c r="D1125" s="4"/>
      <c r="E1125" s="4">
        <v>1.7270000000000001</v>
      </c>
      <c r="F1125" s="4">
        <v>3.1389999999999998</v>
      </c>
      <c r="G1125" s="4">
        <v>4.2</v>
      </c>
      <c r="H1125" s="4">
        <f>(F1125-(G1125-E1125))/F1125</f>
        <v>0.21216948072634595</v>
      </c>
      <c r="I1125" s="4">
        <f>D1125-H1125*D1125</f>
        <v>0</v>
      </c>
      <c r="J1125" s="10">
        <f t="shared" ref="J1125:J1160" si="86">I1125/($G$3^2*C1125*PI())</f>
        <v>0</v>
      </c>
    </row>
    <row r="1126" spans="1:10" x14ac:dyDescent="0.2">
      <c r="A1126" s="20"/>
      <c r="B1126" s="6" t="s">
        <v>21</v>
      </c>
      <c r="C1126" s="23"/>
      <c r="D1126">
        <v>727</v>
      </c>
      <c r="E1126">
        <v>1.7330000000000001</v>
      </c>
      <c r="F1126">
        <v>3.15</v>
      </c>
      <c r="G1126">
        <v>4.2969999999999997</v>
      </c>
      <c r="H1126">
        <f t="shared" ref="H1126:H1160" si="87">(F1126-(G1126-E1126))/F1126</f>
        <v>0.18603174603174613</v>
      </c>
      <c r="I1126">
        <f t="shared" ref="I1126:I1160" si="88">D1126-H1126*D1126</f>
        <v>591.75492063492061</v>
      </c>
      <c r="J1126" s="11" t="e">
        <f t="shared" si="86"/>
        <v>#DIV/0!</v>
      </c>
    </row>
    <row r="1127" spans="1:10" x14ac:dyDescent="0.2">
      <c r="A1127" s="25"/>
      <c r="B1127" s="8" t="s">
        <v>22</v>
      </c>
      <c r="C1127" s="26"/>
      <c r="D1127" s="7"/>
      <c r="E1127" s="7">
        <v>1.728</v>
      </c>
      <c r="F1127" s="7">
        <v>3.121</v>
      </c>
      <c r="G1127" s="7">
        <v>4.2850000000000001</v>
      </c>
      <c r="H1127" s="7">
        <f t="shared" si="87"/>
        <v>0.18071131047741096</v>
      </c>
      <c r="I1127" s="7">
        <f t="shared" si="88"/>
        <v>0</v>
      </c>
      <c r="J1127" s="12" t="e">
        <f t="shared" si="86"/>
        <v>#DIV/0!</v>
      </c>
    </row>
    <row r="1128" spans="1:10" x14ac:dyDescent="0.2">
      <c r="A1128" s="19" t="s">
        <v>4</v>
      </c>
      <c r="B1128" s="5" t="s">
        <v>20</v>
      </c>
      <c r="C1128" s="23">
        <v>10</v>
      </c>
      <c r="E1128">
        <v>1.714</v>
      </c>
      <c r="F1128">
        <v>3.2530000000000001</v>
      </c>
      <c r="G1128">
        <v>4.444</v>
      </c>
      <c r="H1128" s="4">
        <f t="shared" si="87"/>
        <v>0.16077466953581313</v>
      </c>
      <c r="I1128" s="4">
        <f t="shared" si="88"/>
        <v>0</v>
      </c>
      <c r="J1128" s="10">
        <f t="shared" si="86"/>
        <v>0</v>
      </c>
    </row>
    <row r="1129" spans="1:10" x14ac:dyDescent="0.2">
      <c r="A1129" s="20"/>
      <c r="B1129" s="6" t="s">
        <v>21</v>
      </c>
      <c r="C1129" s="23"/>
      <c r="D1129">
        <v>801</v>
      </c>
      <c r="E1129">
        <v>1.728</v>
      </c>
      <c r="F1129">
        <v>3.3220000000000001</v>
      </c>
      <c r="G1129">
        <v>4.4950000000000001</v>
      </c>
      <c r="H1129">
        <f t="shared" si="87"/>
        <v>0.16706803130644182</v>
      </c>
      <c r="I1129">
        <f t="shared" si="88"/>
        <v>667.17850692354011</v>
      </c>
      <c r="J1129" s="11" t="e">
        <f t="shared" si="86"/>
        <v>#DIV/0!</v>
      </c>
    </row>
    <row r="1130" spans="1:10" x14ac:dyDescent="0.2">
      <c r="A1130" s="25"/>
      <c r="B1130" s="8" t="s">
        <v>22</v>
      </c>
      <c r="C1130" s="26"/>
      <c r="D1130" s="7"/>
      <c r="E1130" s="7">
        <v>1.73</v>
      </c>
      <c r="F1130" s="7">
        <v>3.0249999999999999</v>
      </c>
      <c r="G1130" s="7">
        <v>4.258</v>
      </c>
      <c r="H1130" s="7">
        <f t="shared" si="87"/>
        <v>0.16429752066115699</v>
      </c>
      <c r="I1130" s="7">
        <f t="shared" si="88"/>
        <v>0</v>
      </c>
      <c r="J1130" s="12" t="e">
        <f t="shared" si="86"/>
        <v>#DIV/0!</v>
      </c>
    </row>
    <row r="1131" spans="1:10" x14ac:dyDescent="0.2">
      <c r="A1131" s="19" t="s">
        <v>5</v>
      </c>
      <c r="B1131" s="5" t="s">
        <v>20</v>
      </c>
      <c r="C1131" s="22">
        <v>10</v>
      </c>
      <c r="D1131" s="4"/>
      <c r="E1131" s="4">
        <v>1.724</v>
      </c>
      <c r="F1131" s="4">
        <v>3.3340000000000001</v>
      </c>
      <c r="G1131" s="4">
        <v>4.4690000000000003</v>
      </c>
      <c r="H1131" s="4">
        <f t="shared" si="87"/>
        <v>0.17666466706658668</v>
      </c>
      <c r="I1131" s="4">
        <f t="shared" si="88"/>
        <v>0</v>
      </c>
      <c r="J1131" s="10">
        <f t="shared" si="86"/>
        <v>0</v>
      </c>
    </row>
    <row r="1132" spans="1:10" x14ac:dyDescent="0.2">
      <c r="A1132" s="20"/>
      <c r="B1132" s="6" t="s">
        <v>21</v>
      </c>
      <c r="C1132" s="23"/>
      <c r="D1132">
        <v>750</v>
      </c>
      <c r="E1132">
        <v>1.7250000000000001</v>
      </c>
      <c r="F1132">
        <v>3.266</v>
      </c>
      <c r="G1132">
        <v>4.444</v>
      </c>
      <c r="H1132">
        <f t="shared" si="87"/>
        <v>0.16748315982853648</v>
      </c>
      <c r="I1132">
        <f t="shared" si="88"/>
        <v>624.38763012859761</v>
      </c>
      <c r="J1132" s="11" t="e">
        <f t="shared" si="86"/>
        <v>#DIV/0!</v>
      </c>
    </row>
    <row r="1133" spans="1:10" x14ac:dyDescent="0.2">
      <c r="A1133" s="25"/>
      <c r="B1133" s="8" t="s">
        <v>22</v>
      </c>
      <c r="C1133" s="26"/>
      <c r="D1133" s="7"/>
      <c r="E1133" s="7">
        <v>1.744</v>
      </c>
      <c r="F1133" s="7">
        <v>3.0219999999999998</v>
      </c>
      <c r="G1133" s="7">
        <v>4.2670000000000003</v>
      </c>
      <c r="H1133" s="7">
        <f t="shared" si="87"/>
        <v>0.1651224354731963</v>
      </c>
      <c r="I1133" s="7">
        <f t="shared" si="88"/>
        <v>0</v>
      </c>
      <c r="J1133" s="12" t="e">
        <f t="shared" si="86"/>
        <v>#DIV/0!</v>
      </c>
    </row>
    <row r="1134" spans="1:10" x14ac:dyDescent="0.2">
      <c r="A1134" s="19" t="s">
        <v>6</v>
      </c>
      <c r="B1134" s="5" t="s">
        <v>20</v>
      </c>
      <c r="C1134" s="22">
        <v>10</v>
      </c>
      <c r="D1134" s="4"/>
      <c r="E1134" s="4">
        <v>1.736</v>
      </c>
      <c r="F1134" s="4">
        <v>3.1760000000000002</v>
      </c>
      <c r="G1134" s="4">
        <v>4.4000000000000004</v>
      </c>
      <c r="H1134" s="4">
        <f t="shared" si="87"/>
        <v>0.16120906801007542</v>
      </c>
      <c r="I1134" s="4">
        <f t="shared" si="88"/>
        <v>0</v>
      </c>
      <c r="J1134" s="10">
        <f t="shared" si="86"/>
        <v>0</v>
      </c>
    </row>
    <row r="1135" spans="1:10" x14ac:dyDescent="0.2">
      <c r="A1135" s="20"/>
      <c r="B1135" s="6" t="s">
        <v>21</v>
      </c>
      <c r="C1135" s="23"/>
      <c r="D1135">
        <v>801</v>
      </c>
      <c r="E1135">
        <v>1.726</v>
      </c>
      <c r="F1135">
        <v>3.222</v>
      </c>
      <c r="G1135">
        <v>4.4429999999999996</v>
      </c>
      <c r="H1135">
        <f t="shared" si="87"/>
        <v>0.15673494723774065</v>
      </c>
      <c r="I1135">
        <f t="shared" si="88"/>
        <v>675.4553072625697</v>
      </c>
      <c r="J1135" s="11" t="e">
        <f t="shared" si="86"/>
        <v>#DIV/0!</v>
      </c>
    </row>
    <row r="1136" spans="1:10" x14ac:dyDescent="0.2">
      <c r="A1136" s="25"/>
      <c r="B1136" s="8" t="s">
        <v>22</v>
      </c>
      <c r="C1136" s="26"/>
      <c r="D1136" s="7"/>
      <c r="E1136" s="7">
        <v>1.738</v>
      </c>
      <c r="F1136" s="7">
        <v>3.2160000000000002</v>
      </c>
      <c r="G1136" s="7">
        <v>4.4279999999999999</v>
      </c>
      <c r="H1136" s="7">
        <f t="shared" si="87"/>
        <v>0.16355721393034833</v>
      </c>
      <c r="I1136" s="7">
        <f t="shared" si="88"/>
        <v>0</v>
      </c>
      <c r="J1136" s="12" t="e">
        <f t="shared" si="86"/>
        <v>#DIV/0!</v>
      </c>
    </row>
    <row r="1137" spans="1:10" x14ac:dyDescent="0.2">
      <c r="A1137" s="19" t="s">
        <v>7</v>
      </c>
      <c r="B1137" s="5" t="s">
        <v>20</v>
      </c>
      <c r="C1137" s="22">
        <v>10</v>
      </c>
      <c r="D1137" s="4"/>
      <c r="E1137" s="4">
        <v>1.7370000000000001</v>
      </c>
      <c r="F1137" s="4">
        <v>3.1549999999999998</v>
      </c>
      <c r="G1137" s="4">
        <v>4.3529999999999998</v>
      </c>
      <c r="H1137" s="4">
        <f t="shared" si="87"/>
        <v>0.1708399366085579</v>
      </c>
      <c r="I1137" s="4">
        <f t="shared" si="88"/>
        <v>0</v>
      </c>
      <c r="J1137" s="10">
        <f t="shared" si="86"/>
        <v>0</v>
      </c>
    </row>
    <row r="1138" spans="1:10" x14ac:dyDescent="0.2">
      <c r="A1138" s="20"/>
      <c r="B1138" s="6" t="s">
        <v>21</v>
      </c>
      <c r="C1138" s="23"/>
      <c r="D1138">
        <v>892</v>
      </c>
      <c r="E1138">
        <v>1.7090000000000001</v>
      </c>
      <c r="F1138">
        <v>3.448</v>
      </c>
      <c r="G1138">
        <v>4.5510000000000002</v>
      </c>
      <c r="H1138">
        <f t="shared" si="87"/>
        <v>0.17575406032482596</v>
      </c>
      <c r="I1138">
        <f t="shared" si="88"/>
        <v>735.22737819025519</v>
      </c>
      <c r="J1138" s="11" t="e">
        <f t="shared" si="86"/>
        <v>#DIV/0!</v>
      </c>
    </row>
    <row r="1139" spans="1:10" x14ac:dyDescent="0.2">
      <c r="A1139" s="25"/>
      <c r="B1139" s="8" t="s">
        <v>22</v>
      </c>
      <c r="C1139" s="26"/>
      <c r="D1139" s="7"/>
      <c r="E1139" s="7">
        <v>1.728</v>
      </c>
      <c r="F1139" s="7">
        <v>3.1880000000000002</v>
      </c>
      <c r="G1139" s="7">
        <v>4.3280000000000003</v>
      </c>
      <c r="H1139" s="7">
        <f t="shared" si="87"/>
        <v>0.18444165621079034</v>
      </c>
      <c r="I1139" s="7">
        <f t="shared" si="88"/>
        <v>0</v>
      </c>
      <c r="J1139" s="12" t="e">
        <f t="shared" si="86"/>
        <v>#DIV/0!</v>
      </c>
    </row>
    <row r="1140" spans="1:10" x14ac:dyDescent="0.2">
      <c r="A1140" s="19" t="s">
        <v>8</v>
      </c>
      <c r="B1140" s="5" t="s">
        <v>20</v>
      </c>
      <c r="C1140" s="22">
        <v>10</v>
      </c>
      <c r="D1140" s="4"/>
      <c r="E1140" s="4">
        <v>1.7410000000000001</v>
      </c>
      <c r="F1140" s="4">
        <v>3.2450000000000001</v>
      </c>
      <c r="G1140" s="4">
        <v>4.3659999999999997</v>
      </c>
      <c r="H1140" s="4">
        <f t="shared" si="87"/>
        <v>0.19106317411402174</v>
      </c>
      <c r="I1140" s="4">
        <f t="shared" si="88"/>
        <v>0</v>
      </c>
      <c r="J1140" s="10">
        <f t="shared" si="86"/>
        <v>0</v>
      </c>
    </row>
    <row r="1141" spans="1:10" x14ac:dyDescent="0.2">
      <c r="A1141" s="20"/>
      <c r="B1141" s="6" t="s">
        <v>21</v>
      </c>
      <c r="C1141" s="23"/>
      <c r="D1141">
        <v>827</v>
      </c>
      <c r="E1141">
        <v>1.72</v>
      </c>
      <c r="F1141">
        <v>3.0979999999999999</v>
      </c>
      <c r="G1141">
        <v>4.2460000000000004</v>
      </c>
      <c r="H1141">
        <f t="shared" si="87"/>
        <v>0.1846352485474497</v>
      </c>
      <c r="I1141">
        <f t="shared" si="88"/>
        <v>674.30664945125909</v>
      </c>
      <c r="J1141" s="11" t="e">
        <f t="shared" si="86"/>
        <v>#DIV/0!</v>
      </c>
    </row>
    <row r="1142" spans="1:10" x14ac:dyDescent="0.2">
      <c r="A1142" s="25"/>
      <c r="B1142" s="8" t="s">
        <v>22</v>
      </c>
      <c r="C1142" s="26"/>
      <c r="D1142" s="7"/>
      <c r="E1142" s="7">
        <v>1.7470000000000001</v>
      </c>
      <c r="F1142" s="7">
        <v>3.2410000000000001</v>
      </c>
      <c r="G1142" s="7">
        <v>4.3920000000000003</v>
      </c>
      <c r="H1142" s="7">
        <f t="shared" si="87"/>
        <v>0.18389385991977772</v>
      </c>
      <c r="I1142" s="7">
        <f t="shared" si="88"/>
        <v>0</v>
      </c>
      <c r="J1142" s="12" t="e">
        <f t="shared" si="86"/>
        <v>#DIV/0!</v>
      </c>
    </row>
    <row r="1143" spans="1:10" x14ac:dyDescent="0.2">
      <c r="A1143" s="19" t="s">
        <v>9</v>
      </c>
      <c r="B1143" s="5" t="s">
        <v>20</v>
      </c>
      <c r="C1143" s="22">
        <v>10</v>
      </c>
      <c r="D1143" s="4"/>
      <c r="E1143" s="4">
        <v>1.728</v>
      </c>
      <c r="F1143" s="4">
        <v>3.0590000000000002</v>
      </c>
      <c r="G1143" s="4">
        <v>4.1859999999999999</v>
      </c>
      <c r="H1143" s="4">
        <f t="shared" si="87"/>
        <v>0.19646943445570447</v>
      </c>
      <c r="I1143" s="4">
        <f t="shared" si="88"/>
        <v>0</v>
      </c>
      <c r="J1143" s="10">
        <f t="shared" si="86"/>
        <v>0</v>
      </c>
    </row>
    <row r="1144" spans="1:10" x14ac:dyDescent="0.2">
      <c r="A1144" s="20"/>
      <c r="B1144" s="6" t="s">
        <v>21</v>
      </c>
      <c r="C1144" s="23"/>
      <c r="D1144">
        <v>908</v>
      </c>
      <c r="E1144">
        <v>1.734</v>
      </c>
      <c r="F1144">
        <v>3.391</v>
      </c>
      <c r="G1144">
        <v>4.4980000000000002</v>
      </c>
      <c r="H1144">
        <f t="shared" si="87"/>
        <v>0.18490120908286634</v>
      </c>
      <c r="I1144">
        <f t="shared" si="88"/>
        <v>740.10970215275734</v>
      </c>
      <c r="J1144" s="11" t="e">
        <f t="shared" si="86"/>
        <v>#DIV/0!</v>
      </c>
    </row>
    <row r="1145" spans="1:10" x14ac:dyDescent="0.2">
      <c r="A1145" s="25"/>
      <c r="B1145" s="8" t="s">
        <v>22</v>
      </c>
      <c r="C1145" s="26"/>
      <c r="D1145" s="7"/>
      <c r="E1145" s="7">
        <v>1.7050000000000001</v>
      </c>
      <c r="F1145" s="7">
        <v>3.1179999999999999</v>
      </c>
      <c r="G1145" s="7">
        <v>4.2300000000000004</v>
      </c>
      <c r="H1145" s="7">
        <f t="shared" si="87"/>
        <v>0.19018601667735713</v>
      </c>
      <c r="I1145" s="7">
        <f t="shared" si="88"/>
        <v>0</v>
      </c>
      <c r="J1145" s="12" t="e">
        <f t="shared" si="86"/>
        <v>#DIV/0!</v>
      </c>
    </row>
    <row r="1146" spans="1:10" x14ac:dyDescent="0.2">
      <c r="A1146" s="19" t="s">
        <v>10</v>
      </c>
      <c r="B1146" s="5" t="s">
        <v>20</v>
      </c>
      <c r="C1146" s="22">
        <v>10</v>
      </c>
      <c r="D1146" s="4"/>
      <c r="E1146" s="4">
        <v>1.722</v>
      </c>
      <c r="F1146" s="4">
        <v>3.3780000000000001</v>
      </c>
      <c r="G1146" s="4">
        <v>4.4820000000000002</v>
      </c>
      <c r="H1146" s="4">
        <f t="shared" si="87"/>
        <v>0.18294849023090581</v>
      </c>
      <c r="I1146" s="4">
        <f t="shared" si="88"/>
        <v>0</v>
      </c>
      <c r="J1146" s="10">
        <f t="shared" si="86"/>
        <v>0</v>
      </c>
    </row>
    <row r="1147" spans="1:10" x14ac:dyDescent="0.2">
      <c r="A1147" s="20"/>
      <c r="B1147" s="6" t="s">
        <v>21</v>
      </c>
      <c r="C1147" s="23"/>
      <c r="D1147">
        <v>847</v>
      </c>
      <c r="E1147">
        <v>1.7090000000000001</v>
      </c>
      <c r="F1147">
        <v>3.35</v>
      </c>
      <c r="G1147">
        <v>4.3860000000000001</v>
      </c>
      <c r="H1147">
        <f t="shared" si="87"/>
        <v>0.20089552238805972</v>
      </c>
      <c r="I1147">
        <f t="shared" si="88"/>
        <v>676.84149253731346</v>
      </c>
      <c r="J1147" s="11" t="e">
        <f t="shared" si="86"/>
        <v>#DIV/0!</v>
      </c>
    </row>
    <row r="1148" spans="1:10" x14ac:dyDescent="0.2">
      <c r="A1148" s="25"/>
      <c r="B1148" s="8" t="s">
        <v>22</v>
      </c>
      <c r="C1148" s="26"/>
      <c r="D1148" s="7"/>
      <c r="E1148" s="7">
        <v>1.7090000000000001</v>
      </c>
      <c r="F1148" s="7">
        <v>3.3610000000000002</v>
      </c>
      <c r="G1148" s="7">
        <v>4.3879999999999999</v>
      </c>
      <c r="H1148" s="7">
        <f t="shared" si="87"/>
        <v>0.20291579886938421</v>
      </c>
      <c r="I1148" s="7">
        <f t="shared" si="88"/>
        <v>0</v>
      </c>
      <c r="J1148" s="12" t="e">
        <f t="shared" si="86"/>
        <v>#DIV/0!</v>
      </c>
    </row>
    <row r="1149" spans="1:10" x14ac:dyDescent="0.2">
      <c r="A1149" s="19" t="s">
        <v>11</v>
      </c>
      <c r="B1149" s="5" t="s">
        <v>20</v>
      </c>
      <c r="C1149" s="22">
        <v>10</v>
      </c>
      <c r="D1149" s="4"/>
      <c r="E1149" s="4">
        <v>1.722</v>
      </c>
      <c r="F1149" s="4">
        <v>3.036</v>
      </c>
      <c r="G1149" s="4">
        <v>4.1630000000000003</v>
      </c>
      <c r="H1149" s="4">
        <f t="shared" si="87"/>
        <v>0.19598155467720677</v>
      </c>
      <c r="I1149" s="4">
        <f t="shared" si="88"/>
        <v>0</v>
      </c>
      <c r="J1149" s="10">
        <f t="shared" si="86"/>
        <v>0</v>
      </c>
    </row>
    <row r="1150" spans="1:10" x14ac:dyDescent="0.2">
      <c r="A1150" s="20"/>
      <c r="B1150" s="6" t="s">
        <v>21</v>
      </c>
      <c r="C1150" s="23"/>
      <c r="D1150">
        <v>912</v>
      </c>
      <c r="E1150">
        <v>1.7410000000000001</v>
      </c>
      <c r="F1150">
        <v>3.3170000000000002</v>
      </c>
      <c r="G1150">
        <v>4.4080000000000004</v>
      </c>
      <c r="H1150">
        <f t="shared" si="87"/>
        <v>0.19596020500452213</v>
      </c>
      <c r="I1150">
        <f t="shared" si="88"/>
        <v>733.28429303587586</v>
      </c>
      <c r="J1150" s="11" t="e">
        <f t="shared" si="86"/>
        <v>#DIV/0!</v>
      </c>
    </row>
    <row r="1151" spans="1:10" x14ac:dyDescent="0.2">
      <c r="A1151" s="25"/>
      <c r="B1151" s="8" t="s">
        <v>22</v>
      </c>
      <c r="C1151" s="26"/>
      <c r="D1151" s="7"/>
      <c r="E1151" s="7">
        <v>1.7490000000000001</v>
      </c>
      <c r="F1151" s="7">
        <v>3.0369999999999999</v>
      </c>
      <c r="G1151" s="7">
        <v>4.1989999999999998</v>
      </c>
      <c r="H1151" s="7">
        <f t="shared" si="87"/>
        <v>0.19328284491274292</v>
      </c>
      <c r="I1151" s="7">
        <f t="shared" si="88"/>
        <v>0</v>
      </c>
      <c r="J1151" s="12" t="e">
        <f t="shared" si="86"/>
        <v>#DIV/0!</v>
      </c>
    </row>
    <row r="1152" spans="1:10" x14ac:dyDescent="0.2">
      <c r="A1152" s="19" t="s">
        <v>12</v>
      </c>
      <c r="B1152" s="5" t="s">
        <v>20</v>
      </c>
      <c r="C1152" s="22">
        <v>10</v>
      </c>
      <c r="D1152" s="4"/>
      <c r="E1152" s="4">
        <v>1.728</v>
      </c>
      <c r="F1152" s="4">
        <v>3.1389999999999998</v>
      </c>
      <c r="G1152" s="4">
        <v>4.2389999999999999</v>
      </c>
      <c r="H1152" s="4">
        <f t="shared" si="87"/>
        <v>0.20006371455877658</v>
      </c>
      <c r="I1152" s="4">
        <f t="shared" si="88"/>
        <v>0</v>
      </c>
      <c r="J1152" s="10">
        <f t="shared" si="86"/>
        <v>0</v>
      </c>
    </row>
    <row r="1153" spans="1:10" x14ac:dyDescent="0.2">
      <c r="A1153" s="20"/>
      <c r="B1153" s="6" t="s">
        <v>21</v>
      </c>
      <c r="C1153" s="23"/>
      <c r="D1153">
        <v>851</v>
      </c>
      <c r="E1153">
        <v>1.734</v>
      </c>
      <c r="F1153">
        <v>3.3660000000000001</v>
      </c>
      <c r="G1153">
        <v>4.375</v>
      </c>
      <c r="H1153">
        <f t="shared" si="87"/>
        <v>0.21538918597742129</v>
      </c>
      <c r="I1153">
        <f t="shared" si="88"/>
        <v>667.7038027332145</v>
      </c>
      <c r="J1153" s="11" t="e">
        <f t="shared" si="86"/>
        <v>#DIV/0!</v>
      </c>
    </row>
    <row r="1154" spans="1:10" x14ac:dyDescent="0.2">
      <c r="A1154" s="25"/>
      <c r="B1154" s="8" t="s">
        <v>22</v>
      </c>
      <c r="C1154" s="26"/>
      <c r="D1154" s="7"/>
      <c r="E1154" s="7">
        <v>1.7250000000000001</v>
      </c>
      <c r="F1154" s="7">
        <v>3.137</v>
      </c>
      <c r="G1154" s="7">
        <v>4.2469999999999999</v>
      </c>
      <c r="H1154" s="7">
        <f t="shared" si="87"/>
        <v>0.19604717883328027</v>
      </c>
      <c r="I1154" s="7">
        <f t="shared" si="88"/>
        <v>0</v>
      </c>
      <c r="J1154" s="12" t="e">
        <f t="shared" si="86"/>
        <v>#DIV/0!</v>
      </c>
    </row>
    <row r="1155" spans="1:10" x14ac:dyDescent="0.2">
      <c r="A1155" s="19" t="s">
        <v>13</v>
      </c>
      <c r="B1155" s="5" t="s">
        <v>20</v>
      </c>
      <c r="C1155" s="22">
        <v>10</v>
      </c>
      <c r="D1155" s="4"/>
      <c r="E1155" s="4">
        <v>1.748</v>
      </c>
      <c r="F1155" s="4">
        <v>3.052</v>
      </c>
      <c r="G1155" s="4">
        <v>4.165</v>
      </c>
      <c r="H1155" s="4">
        <f t="shared" si="87"/>
        <v>0.20806028833551776</v>
      </c>
      <c r="I1155" s="4">
        <f t="shared" si="88"/>
        <v>0</v>
      </c>
      <c r="J1155" s="10">
        <f t="shared" si="86"/>
        <v>0</v>
      </c>
    </row>
    <row r="1156" spans="1:10" x14ac:dyDescent="0.2">
      <c r="A1156" s="20"/>
      <c r="B1156" s="6" t="s">
        <v>21</v>
      </c>
      <c r="C1156" s="23"/>
      <c r="D1156">
        <v>881</v>
      </c>
      <c r="E1156">
        <v>1.7470000000000001</v>
      </c>
      <c r="F1156">
        <v>3.258</v>
      </c>
      <c r="G1156">
        <v>4.3360000000000003</v>
      </c>
      <c r="H1156">
        <f t="shared" si="87"/>
        <v>0.2053406998158378</v>
      </c>
      <c r="I1156">
        <f t="shared" si="88"/>
        <v>700.0948434622469</v>
      </c>
      <c r="J1156" s="11" t="e">
        <f t="shared" si="86"/>
        <v>#DIV/0!</v>
      </c>
    </row>
    <row r="1157" spans="1:10" x14ac:dyDescent="0.2">
      <c r="A1157" s="25"/>
      <c r="B1157" s="8" t="s">
        <v>22</v>
      </c>
      <c r="C1157" s="26"/>
      <c r="D1157" s="7"/>
      <c r="E1157" s="7">
        <v>1.726</v>
      </c>
      <c r="F1157" s="7">
        <v>3.4009999999999998</v>
      </c>
      <c r="G1157" s="7">
        <v>4.5419999999999998</v>
      </c>
      <c r="H1157" s="7">
        <f t="shared" si="87"/>
        <v>0.17200823287268449</v>
      </c>
      <c r="I1157" s="7">
        <f t="shared" si="88"/>
        <v>0</v>
      </c>
      <c r="J1157" s="12" t="e">
        <f t="shared" si="86"/>
        <v>#DIV/0!</v>
      </c>
    </row>
    <row r="1158" spans="1:10" x14ac:dyDescent="0.2">
      <c r="A1158" s="19" t="s">
        <v>14</v>
      </c>
      <c r="B1158" s="5" t="s">
        <v>20</v>
      </c>
      <c r="C1158" s="22">
        <v>10</v>
      </c>
      <c r="D1158" s="4"/>
      <c r="E1158" s="4">
        <v>1.7430000000000001</v>
      </c>
      <c r="F1158" s="4">
        <v>3.157</v>
      </c>
      <c r="G1158" s="4">
        <v>4.391</v>
      </c>
      <c r="H1158" s="4">
        <f t="shared" si="87"/>
        <v>0.16122901488755159</v>
      </c>
      <c r="I1158" s="4">
        <f t="shared" si="88"/>
        <v>0</v>
      </c>
      <c r="J1158" s="10">
        <f t="shared" si="86"/>
        <v>0</v>
      </c>
    </row>
    <row r="1159" spans="1:10" x14ac:dyDescent="0.2">
      <c r="A1159" s="20"/>
      <c r="B1159" s="6" t="s">
        <v>21</v>
      </c>
      <c r="C1159" s="23"/>
      <c r="D1159">
        <v>822</v>
      </c>
      <c r="E1159">
        <v>1.7250000000000001</v>
      </c>
      <c r="F1159">
        <v>3.2490000000000001</v>
      </c>
      <c r="G1159">
        <v>4.3179999999999996</v>
      </c>
      <c r="H1159">
        <f t="shared" si="87"/>
        <v>0.20190827947060652</v>
      </c>
      <c r="I1159">
        <f t="shared" si="88"/>
        <v>656.03139427516146</v>
      </c>
      <c r="J1159" s="11" t="e">
        <f t="shared" si="86"/>
        <v>#DIV/0!</v>
      </c>
    </row>
    <row r="1160" spans="1:10" ht="16" thickBot="1" x14ac:dyDescent="0.25">
      <c r="A1160" s="21"/>
      <c r="B1160" s="15" t="s">
        <v>22</v>
      </c>
      <c r="C1160" s="24"/>
      <c r="D1160" s="13"/>
      <c r="E1160" s="13">
        <v>1.7330000000000001</v>
      </c>
      <c r="F1160" s="13">
        <v>3.0070000000000001</v>
      </c>
      <c r="G1160" s="13">
        <v>4.2910000000000004</v>
      </c>
      <c r="H1160" s="13">
        <f t="shared" si="87"/>
        <v>0.14931825739940133</v>
      </c>
      <c r="I1160" s="13">
        <f t="shared" si="88"/>
        <v>0</v>
      </c>
      <c r="J1160" s="14" t="e">
        <f t="shared" si="86"/>
        <v>#DIV/0!</v>
      </c>
    </row>
    <row r="1161" spans="1:10" ht="16" thickBot="1" x14ac:dyDescent="0.25">
      <c r="A1161" s="44" t="s">
        <v>1</v>
      </c>
      <c r="B1161" s="33"/>
      <c r="C1161" s="33"/>
      <c r="D1161" s="33" t="s">
        <v>48</v>
      </c>
      <c r="E1161" s="34"/>
      <c r="F1161" s="9" t="s">
        <v>0</v>
      </c>
      <c r="G1161" s="18">
        <v>44156</v>
      </c>
      <c r="H1161" s="35" t="s">
        <v>24</v>
      </c>
      <c r="I1161" s="36"/>
      <c r="J1161" s="1">
        <v>110</v>
      </c>
    </row>
    <row r="1162" spans="1:10" ht="16" thickBot="1" x14ac:dyDescent="0.25">
      <c r="A1162" s="37" t="s">
        <v>2</v>
      </c>
      <c r="B1162" s="38"/>
      <c r="C1162" s="38"/>
      <c r="D1162" s="38"/>
      <c r="E1162" s="39"/>
      <c r="F1162" s="40"/>
      <c r="G1162" s="41"/>
      <c r="H1162" s="42" t="s">
        <v>25</v>
      </c>
      <c r="I1162" s="43"/>
      <c r="J1162" s="2">
        <v>20</v>
      </c>
    </row>
    <row r="1163" spans="1:10" ht="16" thickBot="1" x14ac:dyDescent="0.25">
      <c r="A1163" s="45" t="s">
        <v>27</v>
      </c>
      <c r="B1163" s="27"/>
      <c r="C1163" s="27"/>
      <c r="D1163" s="27" t="s">
        <v>32</v>
      </c>
      <c r="E1163" s="28"/>
      <c r="F1163" s="16" t="s">
        <v>30</v>
      </c>
      <c r="G1163" s="16">
        <v>3.81</v>
      </c>
      <c r="H1163" s="29" t="s">
        <v>26</v>
      </c>
      <c r="I1163" s="30"/>
      <c r="J1163" s="3">
        <v>40</v>
      </c>
    </row>
    <row r="1164" spans="1:10" x14ac:dyDescent="0.2">
      <c r="A1164" s="31"/>
      <c r="B1164" s="32"/>
      <c r="C1164" s="16" t="s">
        <v>29</v>
      </c>
      <c r="D1164" s="16" t="s">
        <v>19</v>
      </c>
      <c r="E1164" s="16" t="s">
        <v>15</v>
      </c>
      <c r="F1164" s="16" t="s">
        <v>18</v>
      </c>
      <c r="G1164" s="16" t="s">
        <v>17</v>
      </c>
      <c r="H1164" s="16" t="s">
        <v>28</v>
      </c>
      <c r="I1164" s="16" t="s">
        <v>16</v>
      </c>
      <c r="J1164" s="17" t="s">
        <v>23</v>
      </c>
    </row>
    <row r="1165" spans="1:10" x14ac:dyDescent="0.2">
      <c r="A1165" s="19" t="s">
        <v>3</v>
      </c>
      <c r="B1165" s="5" t="s">
        <v>20</v>
      </c>
      <c r="C1165" s="22">
        <v>10</v>
      </c>
      <c r="D1165" s="4"/>
      <c r="E1165" s="4">
        <v>1.7330000000000001</v>
      </c>
      <c r="F1165" s="4">
        <v>3.3919999999999999</v>
      </c>
      <c r="G1165" s="4">
        <v>4.4820000000000002</v>
      </c>
      <c r="H1165" s="4">
        <f>(F1165-(G1165-E1165))/F1165</f>
        <v>0.18956367924528297</v>
      </c>
      <c r="I1165" s="4">
        <f>D1165-H1165*D1165</f>
        <v>0</v>
      </c>
      <c r="J1165" s="10">
        <f t="shared" ref="J1165:J1200" si="89">I1165/($G$3^2*C1165*PI())</f>
        <v>0</v>
      </c>
    </row>
    <row r="1166" spans="1:10" x14ac:dyDescent="0.2">
      <c r="A1166" s="20"/>
      <c r="B1166" s="6" t="s">
        <v>21</v>
      </c>
      <c r="C1166" s="23"/>
      <c r="D1166">
        <v>774</v>
      </c>
      <c r="E1166">
        <v>1.726</v>
      </c>
      <c r="F1166">
        <v>3.1659999999999999</v>
      </c>
      <c r="G1166">
        <v>4.234</v>
      </c>
      <c r="H1166">
        <f t="shared" ref="H1166:H1200" si="90">(F1166-(G1166-E1166))/F1166</f>
        <v>0.20783322804801008</v>
      </c>
      <c r="I1166">
        <f t="shared" ref="I1166:I1200" si="91">D1166-H1166*D1166</f>
        <v>613.13708149084016</v>
      </c>
      <c r="J1166" s="11" t="e">
        <f t="shared" si="89"/>
        <v>#DIV/0!</v>
      </c>
    </row>
    <row r="1167" spans="1:10" x14ac:dyDescent="0.2">
      <c r="A1167" s="25"/>
      <c r="B1167" s="8" t="s">
        <v>22</v>
      </c>
      <c r="C1167" s="26"/>
      <c r="D1167" s="7"/>
      <c r="E1167" s="7">
        <v>1.732</v>
      </c>
      <c r="F1167" s="7">
        <v>3.2</v>
      </c>
      <c r="G1167" s="7">
        <v>4.3760000000000003</v>
      </c>
      <c r="H1167" s="7">
        <f t="shared" si="90"/>
        <v>0.17375000000000002</v>
      </c>
      <c r="I1167" s="7">
        <f t="shared" si="91"/>
        <v>0</v>
      </c>
      <c r="J1167" s="12" t="e">
        <f t="shared" si="89"/>
        <v>#DIV/0!</v>
      </c>
    </row>
    <row r="1168" spans="1:10" x14ac:dyDescent="0.2">
      <c r="A1168" s="19" t="s">
        <v>4</v>
      </c>
      <c r="B1168" s="5" t="s">
        <v>20</v>
      </c>
      <c r="C1168" s="23">
        <v>10</v>
      </c>
      <c r="E1168">
        <v>1.726</v>
      </c>
      <c r="F1168">
        <v>3.2749999999999999</v>
      </c>
      <c r="G1168">
        <v>4.4429999999999996</v>
      </c>
      <c r="H1168" s="4">
        <f t="shared" si="90"/>
        <v>0.17038167938931306</v>
      </c>
      <c r="I1168" s="4">
        <f t="shared" si="91"/>
        <v>0</v>
      </c>
      <c r="J1168" s="10">
        <f t="shared" si="89"/>
        <v>0</v>
      </c>
    </row>
    <row r="1169" spans="1:10" x14ac:dyDescent="0.2">
      <c r="A1169" s="20"/>
      <c r="B1169" s="6" t="s">
        <v>21</v>
      </c>
      <c r="C1169" s="23"/>
      <c r="D1169">
        <v>811</v>
      </c>
      <c r="E1169">
        <v>1.738</v>
      </c>
      <c r="F1169">
        <v>3.2589999999999999</v>
      </c>
      <c r="G1169">
        <v>4.4530000000000003</v>
      </c>
      <c r="H1169">
        <f t="shared" si="90"/>
        <v>0.16692236882479275</v>
      </c>
      <c r="I1169">
        <f t="shared" si="91"/>
        <v>675.62595888309306</v>
      </c>
      <c r="J1169" s="11" t="e">
        <f t="shared" si="89"/>
        <v>#DIV/0!</v>
      </c>
    </row>
    <row r="1170" spans="1:10" x14ac:dyDescent="0.2">
      <c r="A1170" s="25"/>
      <c r="B1170" s="8" t="s">
        <v>22</v>
      </c>
      <c r="C1170" s="26"/>
      <c r="D1170" s="7"/>
      <c r="E1170" s="7">
        <v>1.7170000000000001</v>
      </c>
      <c r="F1170" s="7">
        <v>3.016</v>
      </c>
      <c r="G1170" s="7">
        <v>4.2489999999999997</v>
      </c>
      <c r="H1170" s="7">
        <f t="shared" si="90"/>
        <v>0.16047745358090199</v>
      </c>
      <c r="I1170" s="7">
        <f t="shared" si="91"/>
        <v>0</v>
      </c>
      <c r="J1170" s="12" t="e">
        <f t="shared" si="89"/>
        <v>#DIV/0!</v>
      </c>
    </row>
    <row r="1171" spans="1:10" x14ac:dyDescent="0.2">
      <c r="A1171" s="19" t="s">
        <v>5</v>
      </c>
      <c r="B1171" s="5" t="s">
        <v>20</v>
      </c>
      <c r="C1171" s="22">
        <v>10</v>
      </c>
      <c r="D1171" s="4"/>
      <c r="E1171" s="4">
        <v>1.7050000000000001</v>
      </c>
      <c r="F1171" s="4">
        <v>3.1659999999999999</v>
      </c>
      <c r="G1171" s="4">
        <v>4.3129999999999997</v>
      </c>
      <c r="H1171" s="4">
        <f t="shared" si="90"/>
        <v>0.17624763108022751</v>
      </c>
      <c r="I1171" s="4">
        <f t="shared" si="91"/>
        <v>0</v>
      </c>
      <c r="J1171" s="10">
        <f t="shared" si="89"/>
        <v>0</v>
      </c>
    </row>
    <row r="1172" spans="1:10" x14ac:dyDescent="0.2">
      <c r="A1172" s="20"/>
      <c r="B1172" s="6" t="s">
        <v>21</v>
      </c>
      <c r="C1172" s="23"/>
      <c r="D1172">
        <v>833</v>
      </c>
      <c r="E1172">
        <v>1.7310000000000001</v>
      </c>
      <c r="F1172">
        <v>3.2789999999999999</v>
      </c>
      <c r="G1172">
        <v>4.4509999999999996</v>
      </c>
      <c r="H1172">
        <f t="shared" si="90"/>
        <v>0.17047880451357125</v>
      </c>
      <c r="I1172">
        <f t="shared" si="91"/>
        <v>690.99115584019512</v>
      </c>
      <c r="J1172" s="11" t="e">
        <f t="shared" si="89"/>
        <v>#DIV/0!</v>
      </c>
    </row>
    <row r="1173" spans="1:10" x14ac:dyDescent="0.2">
      <c r="A1173" s="25"/>
      <c r="B1173" s="8" t="s">
        <v>22</v>
      </c>
      <c r="C1173" s="26"/>
      <c r="D1173" s="7"/>
      <c r="E1173" s="7">
        <v>1.7330000000000001</v>
      </c>
      <c r="F1173" s="7">
        <v>3.2789999999999999</v>
      </c>
      <c r="G1173" s="7">
        <v>4.4649999999999999</v>
      </c>
      <c r="H1173" s="7">
        <f t="shared" si="90"/>
        <v>0.16681915218054291</v>
      </c>
      <c r="I1173" s="7">
        <f t="shared" si="91"/>
        <v>0</v>
      </c>
      <c r="J1173" s="12" t="e">
        <f t="shared" si="89"/>
        <v>#DIV/0!</v>
      </c>
    </row>
    <row r="1174" spans="1:10" x14ac:dyDescent="0.2">
      <c r="A1174" s="19" t="s">
        <v>6</v>
      </c>
      <c r="B1174" s="5" t="s">
        <v>20</v>
      </c>
      <c r="C1174" s="22">
        <v>10</v>
      </c>
      <c r="D1174" s="4"/>
      <c r="E1174" s="4">
        <v>1.734</v>
      </c>
      <c r="F1174" s="4">
        <v>3.1019999999999999</v>
      </c>
      <c r="G1174" s="4">
        <v>4.3150000000000004</v>
      </c>
      <c r="H1174" s="4">
        <f t="shared" si="90"/>
        <v>0.16795615731785929</v>
      </c>
      <c r="I1174" s="4">
        <f t="shared" si="91"/>
        <v>0</v>
      </c>
      <c r="J1174" s="10">
        <f t="shared" si="89"/>
        <v>0</v>
      </c>
    </row>
    <row r="1175" spans="1:10" x14ac:dyDescent="0.2">
      <c r="A1175" s="20"/>
      <c r="B1175" s="6" t="s">
        <v>21</v>
      </c>
      <c r="C1175" s="23"/>
      <c r="D1175">
        <v>804</v>
      </c>
      <c r="E1175">
        <v>1.726</v>
      </c>
      <c r="F1175">
        <v>3.2450000000000001</v>
      </c>
      <c r="G1175">
        <v>4.4189999999999996</v>
      </c>
      <c r="H1175">
        <f t="shared" si="90"/>
        <v>0.17010785824345162</v>
      </c>
      <c r="I1175">
        <f t="shared" si="91"/>
        <v>667.23328197226488</v>
      </c>
      <c r="J1175" s="11" t="e">
        <f t="shared" si="89"/>
        <v>#DIV/0!</v>
      </c>
    </row>
    <row r="1176" spans="1:10" x14ac:dyDescent="0.2">
      <c r="A1176" s="25"/>
      <c r="B1176" s="8" t="s">
        <v>22</v>
      </c>
      <c r="C1176" s="26"/>
      <c r="D1176" s="7"/>
      <c r="E1176" s="7">
        <v>1.704</v>
      </c>
      <c r="F1176" s="7">
        <v>3.371</v>
      </c>
      <c r="G1176" s="7">
        <v>4.5119999999999996</v>
      </c>
      <c r="H1176" s="7">
        <f t="shared" si="90"/>
        <v>0.16701275585879566</v>
      </c>
      <c r="I1176" s="7">
        <f t="shared" si="91"/>
        <v>0</v>
      </c>
      <c r="J1176" s="12" t="e">
        <f t="shared" si="89"/>
        <v>#DIV/0!</v>
      </c>
    </row>
    <row r="1177" spans="1:10" x14ac:dyDescent="0.2">
      <c r="A1177" s="19" t="s">
        <v>7</v>
      </c>
      <c r="B1177" s="5" t="s">
        <v>20</v>
      </c>
      <c r="C1177" s="22">
        <v>10</v>
      </c>
      <c r="D1177" s="4"/>
      <c r="E1177" s="4">
        <v>1.724</v>
      </c>
      <c r="F1177" s="4">
        <v>3.0019999999999998</v>
      </c>
      <c r="G1177" s="4">
        <v>4.2</v>
      </c>
      <c r="H1177" s="4">
        <f t="shared" si="90"/>
        <v>0.1752165223184543</v>
      </c>
      <c r="I1177" s="4">
        <f t="shared" si="91"/>
        <v>0</v>
      </c>
      <c r="J1177" s="10">
        <f t="shared" si="89"/>
        <v>0</v>
      </c>
    </row>
    <row r="1178" spans="1:10" x14ac:dyDescent="0.2">
      <c r="A1178" s="20"/>
      <c r="B1178" s="6" t="s">
        <v>21</v>
      </c>
      <c r="C1178" s="23"/>
      <c r="D1178">
        <v>874</v>
      </c>
      <c r="E1178">
        <v>1.732</v>
      </c>
      <c r="F1178">
        <v>3.1549999999999998</v>
      </c>
      <c r="G1178">
        <v>4.3470000000000004</v>
      </c>
      <c r="H1178">
        <f t="shared" si="90"/>
        <v>0.17115689381933427</v>
      </c>
      <c r="I1178">
        <f t="shared" si="91"/>
        <v>724.4088748019019</v>
      </c>
      <c r="J1178" s="11" t="e">
        <f t="shared" si="89"/>
        <v>#DIV/0!</v>
      </c>
    </row>
    <row r="1179" spans="1:10" x14ac:dyDescent="0.2">
      <c r="A1179" s="25"/>
      <c r="B1179" s="8" t="s">
        <v>22</v>
      </c>
      <c r="C1179" s="26"/>
      <c r="D1179" s="7"/>
      <c r="E1179" s="7">
        <v>1.714</v>
      </c>
      <c r="F1179" s="7">
        <v>3.137</v>
      </c>
      <c r="G1179" s="7">
        <v>4.3</v>
      </c>
      <c r="H1179" s="7">
        <f t="shared" si="90"/>
        <v>0.17564552119859744</v>
      </c>
      <c r="I1179" s="7">
        <f t="shared" si="91"/>
        <v>0</v>
      </c>
      <c r="J1179" s="12" t="e">
        <f t="shared" si="89"/>
        <v>#DIV/0!</v>
      </c>
    </row>
    <row r="1180" spans="1:10" x14ac:dyDescent="0.2">
      <c r="A1180" s="19" t="s">
        <v>8</v>
      </c>
      <c r="B1180" s="5" t="s">
        <v>20</v>
      </c>
      <c r="C1180" s="22">
        <v>10</v>
      </c>
      <c r="D1180" s="4"/>
      <c r="E1180" s="4">
        <v>1.722</v>
      </c>
      <c r="F1180" s="4">
        <v>3.165</v>
      </c>
      <c r="G1180" s="4">
        <v>4.2779999999999996</v>
      </c>
      <c r="H1180" s="4">
        <f t="shared" si="90"/>
        <v>0.19241706161137453</v>
      </c>
      <c r="I1180" s="4">
        <f t="shared" si="91"/>
        <v>0</v>
      </c>
      <c r="J1180" s="10">
        <f t="shared" si="89"/>
        <v>0</v>
      </c>
    </row>
    <row r="1181" spans="1:10" x14ac:dyDescent="0.2">
      <c r="A1181" s="20"/>
      <c r="B1181" s="6" t="s">
        <v>21</v>
      </c>
      <c r="C1181" s="23"/>
      <c r="D1181">
        <v>876</v>
      </c>
      <c r="E1181">
        <v>1.732</v>
      </c>
      <c r="F1181">
        <v>3.1859999999999999</v>
      </c>
      <c r="G1181">
        <v>4.3159999999999998</v>
      </c>
      <c r="H1181">
        <f t="shared" si="90"/>
        <v>0.18895166352793483</v>
      </c>
      <c r="I1181">
        <f t="shared" si="91"/>
        <v>710.47834274952913</v>
      </c>
      <c r="J1181" s="11" t="e">
        <f t="shared" si="89"/>
        <v>#DIV/0!</v>
      </c>
    </row>
    <row r="1182" spans="1:10" x14ac:dyDescent="0.2">
      <c r="A1182" s="25"/>
      <c r="B1182" s="8" t="s">
        <v>22</v>
      </c>
      <c r="C1182" s="26"/>
      <c r="D1182" s="7"/>
      <c r="E1182" s="7">
        <v>1.722</v>
      </c>
      <c r="F1182" s="7">
        <v>3.2370000000000001</v>
      </c>
      <c r="G1182" s="7">
        <v>4.3630000000000004</v>
      </c>
      <c r="H1182" s="7">
        <f t="shared" si="90"/>
        <v>0.18412109978375027</v>
      </c>
      <c r="I1182" s="7">
        <f t="shared" si="91"/>
        <v>0</v>
      </c>
      <c r="J1182" s="12" t="e">
        <f t="shared" si="89"/>
        <v>#DIV/0!</v>
      </c>
    </row>
    <row r="1183" spans="1:10" x14ac:dyDescent="0.2">
      <c r="A1183" s="19" t="s">
        <v>9</v>
      </c>
      <c r="B1183" s="5" t="s">
        <v>20</v>
      </c>
      <c r="C1183" s="22">
        <v>10</v>
      </c>
      <c r="D1183" s="4"/>
      <c r="E1183" s="4">
        <v>1.7430000000000001</v>
      </c>
      <c r="F1183" s="4">
        <v>3.0230000000000001</v>
      </c>
      <c r="G1183" s="4">
        <v>4.1509999999999998</v>
      </c>
      <c r="H1183" s="4">
        <f t="shared" si="90"/>
        <v>0.20344029110155495</v>
      </c>
      <c r="I1183" s="4">
        <f t="shared" si="91"/>
        <v>0</v>
      </c>
      <c r="J1183" s="10">
        <f t="shared" si="89"/>
        <v>0</v>
      </c>
    </row>
    <row r="1184" spans="1:10" x14ac:dyDescent="0.2">
      <c r="A1184" s="20"/>
      <c r="B1184" s="6" t="s">
        <v>21</v>
      </c>
      <c r="C1184" s="23"/>
      <c r="D1184">
        <v>826</v>
      </c>
      <c r="E1184">
        <v>1.7230000000000001</v>
      </c>
      <c r="F1184">
        <v>3.21</v>
      </c>
      <c r="G1184">
        <v>4.3220000000000001</v>
      </c>
      <c r="H1184">
        <f t="shared" si="90"/>
        <v>0.19034267912772579</v>
      </c>
      <c r="I1184">
        <f t="shared" si="91"/>
        <v>668.7769470404985</v>
      </c>
      <c r="J1184" s="11" t="e">
        <f t="shared" si="89"/>
        <v>#DIV/0!</v>
      </c>
    </row>
    <row r="1185" spans="1:10" x14ac:dyDescent="0.2">
      <c r="A1185" s="25"/>
      <c r="B1185" s="8" t="s">
        <v>22</v>
      </c>
      <c r="C1185" s="26"/>
      <c r="D1185" s="7"/>
      <c r="E1185" s="7">
        <v>1.7150000000000001</v>
      </c>
      <c r="F1185" s="7">
        <v>3.3029999999999999</v>
      </c>
      <c r="G1185" s="7">
        <v>4.4139999999999997</v>
      </c>
      <c r="H1185" s="7">
        <f t="shared" si="90"/>
        <v>0.18286406297305483</v>
      </c>
      <c r="I1185" s="7">
        <f t="shared" si="91"/>
        <v>0</v>
      </c>
      <c r="J1185" s="12" t="e">
        <f t="shared" si="89"/>
        <v>#DIV/0!</v>
      </c>
    </row>
    <row r="1186" spans="1:10" x14ac:dyDescent="0.2">
      <c r="A1186" s="19" t="s">
        <v>10</v>
      </c>
      <c r="B1186" s="5" t="s">
        <v>20</v>
      </c>
      <c r="C1186" s="22">
        <v>10</v>
      </c>
      <c r="D1186" s="4"/>
      <c r="E1186" s="4">
        <v>1.72</v>
      </c>
      <c r="F1186" s="4">
        <v>3.097</v>
      </c>
      <c r="G1186" s="4">
        <v>4.2300000000000004</v>
      </c>
      <c r="H1186" s="4">
        <f t="shared" si="90"/>
        <v>0.18953826283500139</v>
      </c>
      <c r="I1186" s="4">
        <f t="shared" si="91"/>
        <v>0</v>
      </c>
      <c r="J1186" s="10">
        <f t="shared" si="89"/>
        <v>0</v>
      </c>
    </row>
    <row r="1187" spans="1:10" x14ac:dyDescent="0.2">
      <c r="A1187" s="20"/>
      <c r="B1187" s="6" t="s">
        <v>21</v>
      </c>
      <c r="C1187" s="23"/>
      <c r="D1187">
        <v>899</v>
      </c>
      <c r="E1187">
        <v>1.7290000000000001</v>
      </c>
      <c r="F1187">
        <v>3.294</v>
      </c>
      <c r="G1187">
        <v>4.3840000000000003</v>
      </c>
      <c r="H1187">
        <f t="shared" si="90"/>
        <v>0.1939890710382513</v>
      </c>
      <c r="I1187">
        <f t="shared" si="91"/>
        <v>724.60382513661204</v>
      </c>
      <c r="J1187" s="11" t="e">
        <f t="shared" si="89"/>
        <v>#DIV/0!</v>
      </c>
    </row>
    <row r="1188" spans="1:10" x14ac:dyDescent="0.2">
      <c r="A1188" s="25"/>
      <c r="B1188" s="8" t="s">
        <v>22</v>
      </c>
      <c r="C1188" s="26"/>
      <c r="D1188" s="7"/>
      <c r="E1188" s="7">
        <v>1.72</v>
      </c>
      <c r="F1188" s="7">
        <v>3.004</v>
      </c>
      <c r="G1188" s="7">
        <v>4.149</v>
      </c>
      <c r="H1188" s="7">
        <f t="shared" si="90"/>
        <v>0.19141145139813573</v>
      </c>
      <c r="I1188" s="7">
        <f t="shared" si="91"/>
        <v>0</v>
      </c>
      <c r="J1188" s="12" t="e">
        <f t="shared" si="89"/>
        <v>#DIV/0!</v>
      </c>
    </row>
    <row r="1189" spans="1:10" x14ac:dyDescent="0.2">
      <c r="A1189" s="19" t="s">
        <v>11</v>
      </c>
      <c r="B1189" s="5" t="s">
        <v>20</v>
      </c>
      <c r="C1189" s="22">
        <v>10</v>
      </c>
      <c r="D1189" s="4"/>
      <c r="E1189" s="4">
        <v>1.74</v>
      </c>
      <c r="F1189" s="4">
        <v>3.3450000000000002</v>
      </c>
      <c r="G1189" s="4">
        <v>4.452</v>
      </c>
      <c r="H1189" s="4">
        <f t="shared" si="90"/>
        <v>0.18923766816143511</v>
      </c>
      <c r="I1189" s="4">
        <f t="shared" si="91"/>
        <v>0</v>
      </c>
      <c r="J1189" s="10">
        <f t="shared" si="89"/>
        <v>0</v>
      </c>
    </row>
    <row r="1190" spans="1:10" x14ac:dyDescent="0.2">
      <c r="A1190" s="20"/>
      <c r="B1190" s="6" t="s">
        <v>21</v>
      </c>
      <c r="C1190" s="23"/>
      <c r="D1190">
        <v>826</v>
      </c>
      <c r="E1190">
        <v>1.7290000000000001</v>
      </c>
      <c r="F1190">
        <v>3.254</v>
      </c>
      <c r="G1190">
        <v>4.3730000000000002</v>
      </c>
      <c r="H1190">
        <f t="shared" si="90"/>
        <v>0.18746158574062688</v>
      </c>
      <c r="I1190">
        <f t="shared" si="91"/>
        <v>671.15673017824224</v>
      </c>
      <c r="J1190" s="11" t="e">
        <f t="shared" si="89"/>
        <v>#DIV/0!</v>
      </c>
    </row>
    <row r="1191" spans="1:10" x14ac:dyDescent="0.2">
      <c r="A1191" s="25"/>
      <c r="B1191" s="8" t="s">
        <v>22</v>
      </c>
      <c r="C1191" s="26"/>
      <c r="D1191" s="7"/>
      <c r="E1191" s="7">
        <v>1.7370000000000001</v>
      </c>
      <c r="F1191" s="7">
        <v>3.121</v>
      </c>
      <c r="G1191" s="7">
        <v>4.2640000000000002</v>
      </c>
      <c r="H1191" s="7">
        <f t="shared" si="90"/>
        <v>0.1903236142262095</v>
      </c>
      <c r="I1191" s="7">
        <f t="shared" si="91"/>
        <v>0</v>
      </c>
      <c r="J1191" s="12" t="e">
        <f t="shared" si="89"/>
        <v>#DIV/0!</v>
      </c>
    </row>
    <row r="1192" spans="1:10" x14ac:dyDescent="0.2">
      <c r="A1192" s="19" t="s">
        <v>12</v>
      </c>
      <c r="B1192" s="5" t="s">
        <v>20</v>
      </c>
      <c r="C1192" s="22">
        <v>10</v>
      </c>
      <c r="D1192" s="4"/>
      <c r="E1192" s="4">
        <v>1.74</v>
      </c>
      <c r="F1192" s="4">
        <v>3.1720000000000002</v>
      </c>
      <c r="G1192" s="4">
        <v>4.3019999999999996</v>
      </c>
      <c r="H1192" s="4">
        <f t="shared" si="90"/>
        <v>0.19230769230769254</v>
      </c>
      <c r="I1192" s="4">
        <f t="shared" si="91"/>
        <v>0</v>
      </c>
      <c r="J1192" s="10">
        <f t="shared" si="89"/>
        <v>0</v>
      </c>
    </row>
    <row r="1193" spans="1:10" x14ac:dyDescent="0.2">
      <c r="A1193" s="20"/>
      <c r="B1193" s="6" t="s">
        <v>21</v>
      </c>
      <c r="C1193" s="23"/>
      <c r="D1193">
        <v>799</v>
      </c>
      <c r="E1193">
        <v>1.7310000000000001</v>
      </c>
      <c r="F1193">
        <v>3.3820000000000001</v>
      </c>
      <c r="G1193">
        <v>4.4409999999999998</v>
      </c>
      <c r="H1193">
        <f t="shared" si="90"/>
        <v>0.19869899467770555</v>
      </c>
      <c r="I1193">
        <f t="shared" si="91"/>
        <v>640.23950325251326</v>
      </c>
      <c r="J1193" s="11" t="e">
        <f t="shared" si="89"/>
        <v>#DIV/0!</v>
      </c>
    </row>
    <row r="1194" spans="1:10" x14ac:dyDescent="0.2">
      <c r="A1194" s="25"/>
      <c r="B1194" s="8" t="s">
        <v>22</v>
      </c>
      <c r="C1194" s="26"/>
      <c r="D1194" s="7"/>
      <c r="E1194" s="7">
        <v>1.724</v>
      </c>
      <c r="F1194" s="7">
        <v>3.351</v>
      </c>
      <c r="G1194" s="7">
        <v>4.3719999999999999</v>
      </c>
      <c r="H1194" s="7">
        <f t="shared" si="90"/>
        <v>0.20978812294837371</v>
      </c>
      <c r="I1194" s="7">
        <f t="shared" si="91"/>
        <v>0</v>
      </c>
      <c r="J1194" s="12" t="e">
        <f t="shared" si="89"/>
        <v>#DIV/0!</v>
      </c>
    </row>
    <row r="1195" spans="1:10" x14ac:dyDescent="0.2">
      <c r="A1195" s="19" t="s">
        <v>13</v>
      </c>
      <c r="B1195" s="5" t="s">
        <v>20</v>
      </c>
      <c r="C1195" s="22">
        <v>10</v>
      </c>
      <c r="D1195" s="4"/>
      <c r="E1195" s="4"/>
      <c r="F1195" s="4"/>
      <c r="G1195" s="4"/>
      <c r="H1195" s="4" t="e">
        <f t="shared" si="90"/>
        <v>#DIV/0!</v>
      </c>
      <c r="I1195" s="4" t="e">
        <f t="shared" si="91"/>
        <v>#DIV/0!</v>
      </c>
      <c r="J1195" s="10" t="e">
        <f t="shared" si="89"/>
        <v>#DIV/0!</v>
      </c>
    </row>
    <row r="1196" spans="1:10" x14ac:dyDescent="0.2">
      <c r="A1196" s="20"/>
      <c r="B1196" s="6" t="s">
        <v>21</v>
      </c>
      <c r="C1196" s="23"/>
      <c r="H1196" t="e">
        <f t="shared" si="90"/>
        <v>#DIV/0!</v>
      </c>
      <c r="I1196" t="e">
        <f t="shared" si="91"/>
        <v>#DIV/0!</v>
      </c>
      <c r="J1196" s="11" t="e">
        <f t="shared" si="89"/>
        <v>#DIV/0!</v>
      </c>
    </row>
    <row r="1197" spans="1:10" x14ac:dyDescent="0.2">
      <c r="A1197" s="25"/>
      <c r="B1197" s="8" t="s">
        <v>22</v>
      </c>
      <c r="C1197" s="26"/>
      <c r="D1197" s="7"/>
      <c r="E1197" s="7"/>
      <c r="F1197" s="7"/>
      <c r="G1197" s="7"/>
      <c r="H1197" s="7" t="e">
        <f t="shared" si="90"/>
        <v>#DIV/0!</v>
      </c>
      <c r="I1197" s="7" t="e">
        <f t="shared" si="91"/>
        <v>#DIV/0!</v>
      </c>
      <c r="J1197" s="12" t="e">
        <f t="shared" si="89"/>
        <v>#DIV/0!</v>
      </c>
    </row>
    <row r="1198" spans="1:10" x14ac:dyDescent="0.2">
      <c r="A1198" s="19" t="s">
        <v>14</v>
      </c>
      <c r="B1198" s="5" t="s">
        <v>20</v>
      </c>
      <c r="C1198" s="22">
        <v>10</v>
      </c>
      <c r="D1198" s="4"/>
      <c r="E1198" s="4"/>
      <c r="F1198" s="4"/>
      <c r="G1198" s="4"/>
      <c r="H1198" s="4" t="e">
        <f t="shared" si="90"/>
        <v>#DIV/0!</v>
      </c>
      <c r="I1198" s="4" t="e">
        <f t="shared" si="91"/>
        <v>#DIV/0!</v>
      </c>
      <c r="J1198" s="10" t="e">
        <f t="shared" si="89"/>
        <v>#DIV/0!</v>
      </c>
    </row>
    <row r="1199" spans="1:10" x14ac:dyDescent="0.2">
      <c r="A1199" s="20"/>
      <c r="B1199" s="6" t="s">
        <v>21</v>
      </c>
      <c r="C1199" s="23"/>
      <c r="H1199" t="e">
        <f t="shared" si="90"/>
        <v>#DIV/0!</v>
      </c>
      <c r="I1199" t="e">
        <f t="shared" si="91"/>
        <v>#DIV/0!</v>
      </c>
      <c r="J1199" s="11" t="e">
        <f t="shared" si="89"/>
        <v>#DIV/0!</v>
      </c>
    </row>
    <row r="1200" spans="1:10" ht="16" thickBot="1" x14ac:dyDescent="0.25">
      <c r="A1200" s="21"/>
      <c r="B1200" s="15" t="s">
        <v>22</v>
      </c>
      <c r="C1200" s="24"/>
      <c r="D1200" s="13"/>
      <c r="E1200" s="13"/>
      <c r="F1200" s="13"/>
      <c r="G1200" s="13"/>
      <c r="H1200" s="13" t="e">
        <f t="shared" si="90"/>
        <v>#DIV/0!</v>
      </c>
      <c r="I1200" s="13" t="e">
        <f t="shared" si="91"/>
        <v>#DIV/0!</v>
      </c>
      <c r="J1200" s="14" t="e">
        <f t="shared" si="89"/>
        <v>#DIV/0!</v>
      </c>
    </row>
    <row r="1201" spans="1:10" ht="16" thickBot="1" x14ac:dyDescent="0.25">
      <c r="A1201" s="44" t="s">
        <v>1</v>
      </c>
      <c r="B1201" s="33"/>
      <c r="C1201" s="33"/>
      <c r="D1201" s="33" t="s">
        <v>48</v>
      </c>
      <c r="E1201" s="34"/>
      <c r="F1201" s="9" t="s">
        <v>0</v>
      </c>
      <c r="G1201" s="18">
        <v>44156</v>
      </c>
      <c r="H1201" s="35" t="s">
        <v>24</v>
      </c>
      <c r="I1201" s="36"/>
      <c r="J1201" s="1">
        <v>110</v>
      </c>
    </row>
    <row r="1202" spans="1:10" ht="16" thickBot="1" x14ac:dyDescent="0.25">
      <c r="A1202" s="37" t="s">
        <v>2</v>
      </c>
      <c r="B1202" s="38"/>
      <c r="C1202" s="38"/>
      <c r="D1202" s="38"/>
      <c r="E1202" s="39"/>
      <c r="F1202" s="40"/>
      <c r="G1202" s="41"/>
      <c r="H1202" s="42" t="s">
        <v>25</v>
      </c>
      <c r="I1202" s="43"/>
      <c r="J1202" s="2">
        <v>30</v>
      </c>
    </row>
    <row r="1203" spans="1:10" ht="16" thickBot="1" x14ac:dyDescent="0.25">
      <c r="A1203" s="45" t="s">
        <v>27</v>
      </c>
      <c r="B1203" s="27"/>
      <c r="C1203" s="27"/>
      <c r="D1203" s="27" t="s">
        <v>33</v>
      </c>
      <c r="E1203" s="28"/>
      <c r="F1203" s="16" t="s">
        <v>30</v>
      </c>
      <c r="G1203" s="16">
        <v>3.81</v>
      </c>
      <c r="H1203" s="29" t="s">
        <v>26</v>
      </c>
      <c r="I1203" s="30"/>
      <c r="J1203" s="3">
        <v>60</v>
      </c>
    </row>
    <row r="1204" spans="1:10" x14ac:dyDescent="0.2">
      <c r="A1204" s="31"/>
      <c r="B1204" s="32"/>
      <c r="C1204" s="16" t="s">
        <v>29</v>
      </c>
      <c r="D1204" s="16" t="s">
        <v>19</v>
      </c>
      <c r="E1204" s="16" t="s">
        <v>15</v>
      </c>
      <c r="F1204" s="16" t="s">
        <v>18</v>
      </c>
      <c r="G1204" s="16" t="s">
        <v>17</v>
      </c>
      <c r="H1204" s="16" t="s">
        <v>28</v>
      </c>
      <c r="I1204" s="16" t="s">
        <v>16</v>
      </c>
      <c r="J1204" s="17" t="s">
        <v>23</v>
      </c>
    </row>
    <row r="1205" spans="1:10" x14ac:dyDescent="0.2">
      <c r="A1205" s="19" t="s">
        <v>3</v>
      </c>
      <c r="B1205" s="5" t="s">
        <v>20</v>
      </c>
      <c r="C1205" s="22">
        <v>10</v>
      </c>
      <c r="D1205" s="4"/>
      <c r="E1205" s="4">
        <v>1.726</v>
      </c>
      <c r="F1205" s="4">
        <v>3.0569999999999999</v>
      </c>
      <c r="G1205" s="4">
        <v>4.2750000000000004</v>
      </c>
      <c r="H1205" s="4">
        <f>(F1205-(G1205-E1205))/F1205</f>
        <v>0.16617598953222099</v>
      </c>
      <c r="I1205" s="4">
        <f>D1205-H1205*D1205</f>
        <v>0</v>
      </c>
      <c r="J1205" s="10">
        <f t="shared" ref="J1205:J1240" si="92">I1205/($G$3^2*C1205*PI())</f>
        <v>0</v>
      </c>
    </row>
    <row r="1206" spans="1:10" x14ac:dyDescent="0.2">
      <c r="A1206" s="20"/>
      <c r="B1206" s="6" t="s">
        <v>21</v>
      </c>
      <c r="C1206" s="23"/>
      <c r="D1206">
        <v>752</v>
      </c>
      <c r="E1206">
        <v>1.7290000000000001</v>
      </c>
      <c r="F1206">
        <v>3.3319999999999999</v>
      </c>
      <c r="G1206">
        <v>4.4790000000000001</v>
      </c>
      <c r="H1206">
        <f t="shared" ref="H1206:H1240" si="93">(F1206-(G1206-E1206))/F1206</f>
        <v>0.17466986794717884</v>
      </c>
      <c r="I1206">
        <f t="shared" ref="I1206:I1240" si="94">D1206-H1206*D1206</f>
        <v>620.64825930372149</v>
      </c>
      <c r="J1206" s="11" t="e">
        <f t="shared" si="92"/>
        <v>#DIV/0!</v>
      </c>
    </row>
    <row r="1207" spans="1:10" x14ac:dyDescent="0.2">
      <c r="A1207" s="25"/>
      <c r="B1207" s="8" t="s">
        <v>22</v>
      </c>
      <c r="C1207" s="26"/>
      <c r="D1207" s="7"/>
      <c r="E1207" s="7">
        <v>1.73</v>
      </c>
      <c r="F1207" s="7">
        <v>3.7829999999999999</v>
      </c>
      <c r="G1207" s="7">
        <v>4.6219999999999999</v>
      </c>
      <c r="H1207" s="7">
        <f t="shared" si="93"/>
        <v>0.23552735923869944</v>
      </c>
      <c r="I1207" s="7">
        <f t="shared" si="94"/>
        <v>0</v>
      </c>
      <c r="J1207" s="12" t="e">
        <f t="shared" si="92"/>
        <v>#DIV/0!</v>
      </c>
    </row>
    <row r="1208" spans="1:10" x14ac:dyDescent="0.2">
      <c r="A1208" s="19" t="s">
        <v>4</v>
      </c>
      <c r="B1208" s="5" t="s">
        <v>20</v>
      </c>
      <c r="C1208" s="23">
        <v>10</v>
      </c>
      <c r="E1208">
        <v>1.726</v>
      </c>
      <c r="F1208">
        <v>3.786</v>
      </c>
      <c r="G1208">
        <v>4.8440000000000003</v>
      </c>
      <c r="H1208" s="4">
        <f t="shared" si="93"/>
        <v>0.17643951399894339</v>
      </c>
      <c r="I1208" s="4">
        <f t="shared" si="94"/>
        <v>0</v>
      </c>
      <c r="J1208" s="10">
        <f t="shared" si="92"/>
        <v>0</v>
      </c>
    </row>
    <row r="1209" spans="1:10" x14ac:dyDescent="0.2">
      <c r="A1209" s="20"/>
      <c r="B1209" s="6" t="s">
        <v>21</v>
      </c>
      <c r="C1209" s="23"/>
      <c r="D1209">
        <v>747</v>
      </c>
      <c r="E1209">
        <v>1.738</v>
      </c>
      <c r="F1209">
        <v>3.0750000000000002</v>
      </c>
      <c r="G1209">
        <v>4.2759999999999998</v>
      </c>
      <c r="H1209">
        <f t="shared" si="93"/>
        <v>0.17463414634146351</v>
      </c>
      <c r="I1209">
        <f t="shared" si="94"/>
        <v>616.54829268292679</v>
      </c>
      <c r="J1209" s="11" t="e">
        <f t="shared" si="92"/>
        <v>#DIV/0!</v>
      </c>
    </row>
    <row r="1210" spans="1:10" x14ac:dyDescent="0.2">
      <c r="A1210" s="25"/>
      <c r="B1210" s="8" t="s">
        <v>22</v>
      </c>
      <c r="C1210" s="26"/>
      <c r="D1210" s="7"/>
      <c r="E1210" s="7">
        <v>1.7330000000000001</v>
      </c>
      <c r="F1210" s="7">
        <v>3.0910000000000002</v>
      </c>
      <c r="G1210" s="7">
        <v>4.3010000000000002</v>
      </c>
      <c r="H1210" s="7">
        <f t="shared" si="93"/>
        <v>0.16920090585571015</v>
      </c>
      <c r="I1210" s="7">
        <f t="shared" si="94"/>
        <v>0</v>
      </c>
      <c r="J1210" s="12" t="e">
        <f t="shared" si="92"/>
        <v>#DIV/0!</v>
      </c>
    </row>
    <row r="1211" spans="1:10" x14ac:dyDescent="0.2">
      <c r="A1211" s="19" t="s">
        <v>5</v>
      </c>
      <c r="B1211" s="5" t="s">
        <v>20</v>
      </c>
      <c r="C1211" s="22">
        <v>10</v>
      </c>
      <c r="D1211" s="4"/>
      <c r="E1211" s="4">
        <v>1.7210000000000001</v>
      </c>
      <c r="F1211" s="4">
        <v>3.14</v>
      </c>
      <c r="G1211" s="4">
        <v>4.3719999999999999</v>
      </c>
      <c r="H1211" s="4">
        <f t="shared" si="93"/>
        <v>0.15573248407643323</v>
      </c>
      <c r="I1211" s="4">
        <f t="shared" si="94"/>
        <v>0</v>
      </c>
      <c r="J1211" s="10">
        <f t="shared" si="92"/>
        <v>0</v>
      </c>
    </row>
    <row r="1212" spans="1:10" x14ac:dyDescent="0.2">
      <c r="A1212" s="20"/>
      <c r="B1212" s="6" t="s">
        <v>21</v>
      </c>
      <c r="C1212" s="23"/>
      <c r="D1212">
        <v>832</v>
      </c>
      <c r="E1212">
        <v>1.712</v>
      </c>
      <c r="F1212">
        <v>3.5409999999999999</v>
      </c>
      <c r="G1212">
        <v>4.6669999999999998</v>
      </c>
      <c r="H1212">
        <f t="shared" si="93"/>
        <v>0.16548997458345097</v>
      </c>
      <c r="I1212">
        <f t="shared" si="94"/>
        <v>694.31234114656877</v>
      </c>
      <c r="J1212" s="11" t="e">
        <f t="shared" si="92"/>
        <v>#DIV/0!</v>
      </c>
    </row>
    <row r="1213" spans="1:10" x14ac:dyDescent="0.2">
      <c r="A1213" s="25"/>
      <c r="B1213" s="8" t="s">
        <v>22</v>
      </c>
      <c r="C1213" s="26"/>
      <c r="D1213" s="7"/>
      <c r="E1213" s="7">
        <v>1.7170000000000001</v>
      </c>
      <c r="F1213" s="7">
        <v>3.1059999999999999</v>
      </c>
      <c r="G1213" s="7">
        <v>4.3019999999999996</v>
      </c>
      <c r="H1213" s="7">
        <f t="shared" si="93"/>
        <v>0.16773985833869942</v>
      </c>
      <c r="I1213" s="7">
        <f t="shared" si="94"/>
        <v>0</v>
      </c>
      <c r="J1213" s="12" t="e">
        <f t="shared" si="92"/>
        <v>#DIV/0!</v>
      </c>
    </row>
    <row r="1214" spans="1:10" x14ac:dyDescent="0.2">
      <c r="A1214" s="19" t="s">
        <v>6</v>
      </c>
      <c r="B1214" s="5" t="s">
        <v>20</v>
      </c>
      <c r="C1214" s="22">
        <v>10</v>
      </c>
      <c r="D1214" s="4"/>
      <c r="E1214" s="4">
        <v>1.7290000000000001</v>
      </c>
      <c r="F1214" s="4">
        <v>3.101</v>
      </c>
      <c r="G1214" s="4">
        <v>4.2030000000000003</v>
      </c>
      <c r="H1214" s="4">
        <f t="shared" si="93"/>
        <v>0.20219284101902604</v>
      </c>
      <c r="I1214" s="4">
        <f t="shared" si="94"/>
        <v>0</v>
      </c>
      <c r="J1214" s="10">
        <f t="shared" si="92"/>
        <v>0</v>
      </c>
    </row>
    <row r="1215" spans="1:10" x14ac:dyDescent="0.2">
      <c r="A1215" s="20"/>
      <c r="B1215" s="6" t="s">
        <v>21</v>
      </c>
      <c r="C1215" s="23"/>
      <c r="D1215">
        <v>759</v>
      </c>
      <c r="E1215">
        <v>1.74</v>
      </c>
      <c r="F1215">
        <v>3.2679999999999998</v>
      </c>
      <c r="G1215">
        <v>4.444</v>
      </c>
      <c r="H1215">
        <f t="shared" si="93"/>
        <v>0.17258261933904531</v>
      </c>
      <c r="I1215">
        <f t="shared" si="94"/>
        <v>628.0097919216646</v>
      </c>
      <c r="J1215" s="11" t="e">
        <f t="shared" si="92"/>
        <v>#DIV/0!</v>
      </c>
    </row>
    <row r="1216" spans="1:10" x14ac:dyDescent="0.2">
      <c r="A1216" s="25"/>
      <c r="B1216" s="8" t="s">
        <v>22</v>
      </c>
      <c r="C1216" s="26"/>
      <c r="D1216" s="7"/>
      <c r="E1216" s="7">
        <v>1.7170000000000001</v>
      </c>
      <c r="F1216" s="7">
        <v>3.2549999999999999</v>
      </c>
      <c r="G1216" s="7">
        <v>4.399</v>
      </c>
      <c r="H1216" s="7">
        <f t="shared" si="93"/>
        <v>0.17603686635944699</v>
      </c>
      <c r="I1216" s="7">
        <f t="shared" si="94"/>
        <v>0</v>
      </c>
      <c r="J1216" s="12" t="e">
        <f t="shared" si="92"/>
        <v>#DIV/0!</v>
      </c>
    </row>
    <row r="1217" spans="1:10" x14ac:dyDescent="0.2">
      <c r="A1217" s="19" t="s">
        <v>7</v>
      </c>
      <c r="B1217" s="5" t="s">
        <v>20</v>
      </c>
      <c r="C1217" s="22">
        <v>10</v>
      </c>
      <c r="D1217" s="4"/>
      <c r="E1217" s="4">
        <v>1.7090000000000001</v>
      </c>
      <c r="F1217" s="4">
        <v>3.0550000000000002</v>
      </c>
      <c r="G1217" s="4">
        <v>4.242</v>
      </c>
      <c r="H1217" s="4">
        <f t="shared" si="93"/>
        <v>0.17086743044189859</v>
      </c>
      <c r="I1217" s="4">
        <f t="shared" si="94"/>
        <v>0</v>
      </c>
      <c r="J1217" s="10">
        <f t="shared" si="92"/>
        <v>0</v>
      </c>
    </row>
    <row r="1218" spans="1:10" x14ac:dyDescent="0.2">
      <c r="A1218" s="20"/>
      <c r="B1218" s="6" t="s">
        <v>21</v>
      </c>
      <c r="C1218" s="23"/>
      <c r="D1218">
        <v>898</v>
      </c>
      <c r="E1218">
        <v>1.7250000000000001</v>
      </c>
      <c r="F1218">
        <v>3.6190000000000002</v>
      </c>
      <c r="G1218">
        <v>4.7249999999999996</v>
      </c>
      <c r="H1218">
        <f t="shared" si="93"/>
        <v>0.17104172423321376</v>
      </c>
      <c r="I1218">
        <f t="shared" si="94"/>
        <v>744.4045316385741</v>
      </c>
      <c r="J1218" s="11" t="e">
        <f t="shared" si="92"/>
        <v>#DIV/0!</v>
      </c>
    </row>
    <row r="1219" spans="1:10" x14ac:dyDescent="0.2">
      <c r="A1219" s="25"/>
      <c r="B1219" s="8" t="s">
        <v>22</v>
      </c>
      <c r="C1219" s="26"/>
      <c r="D1219" s="7"/>
      <c r="E1219" s="7">
        <v>1.7150000000000001</v>
      </c>
      <c r="F1219" s="7">
        <v>3.32</v>
      </c>
      <c r="G1219" s="7">
        <v>4.4649999999999999</v>
      </c>
      <c r="H1219" s="7">
        <f t="shared" si="93"/>
        <v>0.17168674698795178</v>
      </c>
      <c r="I1219" s="7">
        <f t="shared" si="94"/>
        <v>0</v>
      </c>
      <c r="J1219" s="12" t="e">
        <f t="shared" si="92"/>
        <v>#DIV/0!</v>
      </c>
    </row>
    <row r="1220" spans="1:10" x14ac:dyDescent="0.2">
      <c r="A1220" s="19" t="s">
        <v>8</v>
      </c>
      <c r="B1220" s="5" t="s">
        <v>20</v>
      </c>
      <c r="C1220" s="22">
        <v>10</v>
      </c>
      <c r="D1220" s="4"/>
      <c r="E1220" s="4">
        <v>1.722</v>
      </c>
      <c r="F1220" s="4">
        <v>3.181</v>
      </c>
      <c r="G1220" s="4">
        <v>4.3360000000000003</v>
      </c>
      <c r="H1220" s="4">
        <f t="shared" si="93"/>
        <v>0.17824583464319388</v>
      </c>
      <c r="I1220" s="4">
        <f t="shared" si="94"/>
        <v>0</v>
      </c>
      <c r="J1220" s="10">
        <f t="shared" si="92"/>
        <v>0</v>
      </c>
    </row>
    <row r="1221" spans="1:10" x14ac:dyDescent="0.2">
      <c r="A1221" s="20"/>
      <c r="B1221" s="6" t="s">
        <v>21</v>
      </c>
      <c r="C1221" s="23"/>
      <c r="D1221">
        <v>850</v>
      </c>
      <c r="E1221">
        <v>1.7290000000000001</v>
      </c>
      <c r="F1221">
        <v>3.202</v>
      </c>
      <c r="G1221">
        <v>4.1500000000000004</v>
      </c>
      <c r="H1221">
        <f t="shared" si="93"/>
        <v>0.24391005621486561</v>
      </c>
      <c r="I1221">
        <f t="shared" si="94"/>
        <v>642.67645221736427</v>
      </c>
      <c r="J1221" s="11" t="e">
        <f t="shared" si="92"/>
        <v>#DIV/0!</v>
      </c>
    </row>
    <row r="1222" spans="1:10" x14ac:dyDescent="0.2">
      <c r="A1222" s="25"/>
      <c r="B1222" s="8" t="s">
        <v>22</v>
      </c>
      <c r="C1222" s="26"/>
      <c r="D1222" s="7"/>
      <c r="E1222" s="7">
        <v>1.7290000000000001</v>
      </c>
      <c r="F1222" s="7">
        <v>3.09</v>
      </c>
      <c r="G1222" s="7">
        <v>4.2060000000000004</v>
      </c>
      <c r="H1222" s="7">
        <f t="shared" si="93"/>
        <v>0.19838187702265359</v>
      </c>
      <c r="I1222" s="7">
        <f t="shared" si="94"/>
        <v>0</v>
      </c>
      <c r="J1222" s="12" t="e">
        <f t="shared" si="92"/>
        <v>#DIV/0!</v>
      </c>
    </row>
    <row r="1223" spans="1:10" x14ac:dyDescent="0.2">
      <c r="A1223" s="19" t="s">
        <v>9</v>
      </c>
      <c r="B1223" s="5" t="s">
        <v>20</v>
      </c>
      <c r="C1223" s="22">
        <v>10</v>
      </c>
      <c r="D1223" s="4"/>
      <c r="E1223" s="4">
        <v>1.7250000000000001</v>
      </c>
      <c r="F1223" s="4">
        <v>3.258</v>
      </c>
      <c r="G1223" s="4">
        <v>4.4329999999999998</v>
      </c>
      <c r="H1223" s="4">
        <f t="shared" si="93"/>
        <v>0.16881522406384292</v>
      </c>
      <c r="I1223" s="4">
        <f t="shared" si="94"/>
        <v>0</v>
      </c>
      <c r="J1223" s="10">
        <f t="shared" si="92"/>
        <v>0</v>
      </c>
    </row>
    <row r="1224" spans="1:10" x14ac:dyDescent="0.2">
      <c r="A1224" s="20"/>
      <c r="B1224" s="6" t="s">
        <v>21</v>
      </c>
      <c r="C1224" s="23"/>
      <c r="D1224">
        <v>875</v>
      </c>
      <c r="E1224">
        <v>1.73</v>
      </c>
      <c r="F1224">
        <v>3.1240000000000001</v>
      </c>
      <c r="G1224">
        <v>4.3239999999999998</v>
      </c>
      <c r="H1224">
        <f t="shared" si="93"/>
        <v>0.1696542893725993</v>
      </c>
      <c r="I1224">
        <f t="shared" si="94"/>
        <v>726.55249679897565</v>
      </c>
      <c r="J1224" s="11" t="e">
        <f t="shared" si="92"/>
        <v>#DIV/0!</v>
      </c>
    </row>
    <row r="1225" spans="1:10" x14ac:dyDescent="0.2">
      <c r="A1225" s="25"/>
      <c r="B1225" s="8" t="s">
        <v>22</v>
      </c>
      <c r="C1225" s="26"/>
      <c r="D1225" s="7"/>
      <c r="E1225" s="7">
        <v>1.7270000000000001</v>
      </c>
      <c r="F1225" s="7">
        <v>3.0830000000000002</v>
      </c>
      <c r="G1225" s="7">
        <v>4.2640000000000002</v>
      </c>
      <c r="H1225" s="7">
        <f t="shared" si="93"/>
        <v>0.17710022705157322</v>
      </c>
      <c r="I1225" s="7">
        <f t="shared" si="94"/>
        <v>0</v>
      </c>
      <c r="J1225" s="12" t="e">
        <f t="shared" si="92"/>
        <v>#DIV/0!</v>
      </c>
    </row>
    <row r="1226" spans="1:10" x14ac:dyDescent="0.2">
      <c r="A1226" s="19" t="s">
        <v>10</v>
      </c>
      <c r="B1226" s="5" t="s">
        <v>20</v>
      </c>
      <c r="C1226" s="22">
        <v>10</v>
      </c>
      <c r="D1226" s="4"/>
      <c r="E1226" s="4">
        <v>1.724</v>
      </c>
      <c r="F1226" s="4">
        <v>3.1190000000000002</v>
      </c>
      <c r="G1226" s="4">
        <v>4.3079999999999998</v>
      </c>
      <c r="H1226" s="4">
        <f t="shared" si="93"/>
        <v>0.1715293363257456</v>
      </c>
      <c r="I1226" s="4">
        <f t="shared" si="94"/>
        <v>0</v>
      </c>
      <c r="J1226" s="10">
        <f t="shared" si="92"/>
        <v>0</v>
      </c>
    </row>
    <row r="1227" spans="1:10" x14ac:dyDescent="0.2">
      <c r="A1227" s="20"/>
      <c r="B1227" s="6" t="s">
        <v>21</v>
      </c>
      <c r="C1227" s="23"/>
      <c r="D1227">
        <v>858</v>
      </c>
      <c r="E1227">
        <v>1.7170000000000001</v>
      </c>
      <c r="F1227">
        <v>3.073</v>
      </c>
      <c r="G1227">
        <v>4.2629999999999999</v>
      </c>
      <c r="H1227">
        <f t="shared" si="93"/>
        <v>0.171493654409372</v>
      </c>
      <c r="I1227">
        <f t="shared" si="94"/>
        <v>710.85844451675882</v>
      </c>
      <c r="J1227" s="11" t="e">
        <f t="shared" si="92"/>
        <v>#DIV/0!</v>
      </c>
    </row>
    <row r="1228" spans="1:10" x14ac:dyDescent="0.2">
      <c r="A1228" s="25"/>
      <c r="B1228" s="8" t="s">
        <v>22</v>
      </c>
      <c r="C1228" s="26"/>
      <c r="D1228" s="7"/>
      <c r="E1228" s="7">
        <v>1.732</v>
      </c>
      <c r="F1228" s="7">
        <v>3.2120000000000002</v>
      </c>
      <c r="G1228" s="7">
        <v>4.3890000000000002</v>
      </c>
      <c r="H1228" s="7">
        <f t="shared" si="93"/>
        <v>0.17278953922789544</v>
      </c>
      <c r="I1228" s="7">
        <f t="shared" si="94"/>
        <v>0</v>
      </c>
      <c r="J1228" s="12" t="e">
        <f t="shared" si="92"/>
        <v>#DIV/0!</v>
      </c>
    </row>
    <row r="1229" spans="1:10" x14ac:dyDescent="0.2">
      <c r="A1229" s="19" t="s">
        <v>11</v>
      </c>
      <c r="B1229" s="5" t="s">
        <v>20</v>
      </c>
      <c r="C1229" s="22">
        <v>10</v>
      </c>
      <c r="D1229" s="4"/>
      <c r="E1229" s="4">
        <v>1.72</v>
      </c>
      <c r="F1229" s="4">
        <v>3.1</v>
      </c>
      <c r="G1229" s="4">
        <v>4.2759999999999998</v>
      </c>
      <c r="H1229" s="4">
        <f t="shared" si="93"/>
        <v>0.17548387096774196</v>
      </c>
      <c r="I1229" s="4">
        <f t="shared" si="94"/>
        <v>0</v>
      </c>
      <c r="J1229" s="10">
        <f t="shared" si="92"/>
        <v>0</v>
      </c>
    </row>
    <row r="1230" spans="1:10" x14ac:dyDescent="0.2">
      <c r="A1230" s="20"/>
      <c r="B1230" s="6" t="s">
        <v>21</v>
      </c>
      <c r="C1230" s="23"/>
      <c r="D1230">
        <v>764</v>
      </c>
      <c r="E1230">
        <v>1.7270000000000001</v>
      </c>
      <c r="F1230">
        <v>3.2480000000000002</v>
      </c>
      <c r="G1230">
        <v>4.3840000000000003</v>
      </c>
      <c r="H1230">
        <f t="shared" si="93"/>
        <v>0.18195812807881778</v>
      </c>
      <c r="I1230">
        <f t="shared" si="94"/>
        <v>624.98399014778317</v>
      </c>
      <c r="J1230" s="11" t="e">
        <f t="shared" si="92"/>
        <v>#DIV/0!</v>
      </c>
    </row>
    <row r="1231" spans="1:10" x14ac:dyDescent="0.2">
      <c r="A1231" s="25"/>
      <c r="B1231" s="8" t="s">
        <v>22</v>
      </c>
      <c r="C1231" s="26"/>
      <c r="D1231" s="7"/>
      <c r="E1231" s="7">
        <v>1.7110000000000001</v>
      </c>
      <c r="F1231" s="7">
        <v>3.294</v>
      </c>
      <c r="G1231" s="7">
        <v>4.4359999999999999</v>
      </c>
      <c r="H1231" s="7">
        <f t="shared" si="93"/>
        <v>0.17273831208257451</v>
      </c>
      <c r="I1231" s="7">
        <f t="shared" si="94"/>
        <v>0</v>
      </c>
      <c r="J1231" s="12" t="e">
        <f t="shared" si="92"/>
        <v>#DIV/0!</v>
      </c>
    </row>
    <row r="1232" spans="1:10" x14ac:dyDescent="0.2">
      <c r="A1232" s="19" t="s">
        <v>12</v>
      </c>
      <c r="B1232" s="5" t="s">
        <v>20</v>
      </c>
      <c r="C1232" s="22">
        <v>10</v>
      </c>
      <c r="D1232" s="4"/>
      <c r="E1232" s="4">
        <v>1.728</v>
      </c>
      <c r="F1232" s="4">
        <v>3.0859999999999999</v>
      </c>
      <c r="G1232" s="4">
        <v>4.2089999999999996</v>
      </c>
      <c r="H1232" s="4">
        <f t="shared" si="93"/>
        <v>0.19604666234607906</v>
      </c>
      <c r="I1232" s="4">
        <f t="shared" si="94"/>
        <v>0</v>
      </c>
      <c r="J1232" s="10">
        <f t="shared" si="92"/>
        <v>0</v>
      </c>
    </row>
    <row r="1233" spans="1:10" x14ac:dyDescent="0.2">
      <c r="A1233" s="20"/>
      <c r="B1233" s="6" t="s">
        <v>21</v>
      </c>
      <c r="C1233" s="23"/>
      <c r="D1233">
        <v>597</v>
      </c>
      <c r="E1233">
        <v>1.738</v>
      </c>
      <c r="F1233">
        <v>3.3170000000000002</v>
      </c>
      <c r="G1233">
        <v>4.3570000000000002</v>
      </c>
      <c r="H1233">
        <f t="shared" si="93"/>
        <v>0.21043111245100993</v>
      </c>
      <c r="I1233">
        <f t="shared" si="94"/>
        <v>471.37262586674706</v>
      </c>
      <c r="J1233" s="11" t="e">
        <f t="shared" si="92"/>
        <v>#DIV/0!</v>
      </c>
    </row>
    <row r="1234" spans="1:10" x14ac:dyDescent="0.2">
      <c r="A1234" s="25"/>
      <c r="B1234" s="8" t="s">
        <v>22</v>
      </c>
      <c r="C1234" s="26"/>
      <c r="D1234" s="7"/>
      <c r="E1234" s="7">
        <v>1.7290000000000001</v>
      </c>
      <c r="F1234" s="7">
        <v>3.262</v>
      </c>
      <c r="G1234" s="7">
        <v>4.3570000000000002</v>
      </c>
      <c r="H1234" s="7">
        <f t="shared" si="93"/>
        <v>0.19435928877988962</v>
      </c>
      <c r="I1234" s="7">
        <f t="shared" si="94"/>
        <v>0</v>
      </c>
      <c r="J1234" s="12" t="e">
        <f t="shared" si="92"/>
        <v>#DIV/0!</v>
      </c>
    </row>
    <row r="1235" spans="1:10" x14ac:dyDescent="0.2">
      <c r="A1235" s="19" t="s">
        <v>13</v>
      </c>
      <c r="B1235" s="5" t="s">
        <v>20</v>
      </c>
      <c r="C1235" s="22">
        <v>10</v>
      </c>
      <c r="D1235" s="4"/>
      <c r="E1235" s="4">
        <v>1.7270000000000001</v>
      </c>
      <c r="F1235" s="4">
        <v>3.302</v>
      </c>
      <c r="G1235" s="4">
        <v>4.4400000000000004</v>
      </c>
      <c r="H1235" s="4">
        <f t="shared" si="93"/>
        <v>0.17837674136886733</v>
      </c>
      <c r="I1235" s="4">
        <f t="shared" si="94"/>
        <v>0</v>
      </c>
      <c r="J1235" s="10">
        <f t="shared" si="92"/>
        <v>0</v>
      </c>
    </row>
    <row r="1236" spans="1:10" x14ac:dyDescent="0.2">
      <c r="A1236" s="20"/>
      <c r="B1236" s="6" t="s">
        <v>21</v>
      </c>
      <c r="C1236" s="23"/>
      <c r="D1236">
        <v>935</v>
      </c>
      <c r="E1236">
        <v>1.736</v>
      </c>
      <c r="F1236">
        <v>3.2130000000000001</v>
      </c>
      <c r="G1236">
        <v>4.351</v>
      </c>
      <c r="H1236">
        <f t="shared" si="93"/>
        <v>0.1861188920012449</v>
      </c>
      <c r="I1236">
        <f t="shared" si="94"/>
        <v>760.97883597883606</v>
      </c>
      <c r="J1236" s="11" t="e">
        <f t="shared" si="92"/>
        <v>#DIV/0!</v>
      </c>
    </row>
    <row r="1237" spans="1:10" x14ac:dyDescent="0.2">
      <c r="A1237" s="25"/>
      <c r="B1237" s="8" t="s">
        <v>22</v>
      </c>
      <c r="C1237" s="26"/>
      <c r="D1237" s="7"/>
      <c r="E1237" s="7">
        <v>1.7290000000000001</v>
      </c>
      <c r="F1237" s="7">
        <v>3.0779999999999998</v>
      </c>
      <c r="G1237" s="7">
        <v>4.2629999999999999</v>
      </c>
      <c r="H1237" s="7">
        <f t="shared" si="93"/>
        <v>0.17673814165042237</v>
      </c>
      <c r="I1237" s="7">
        <f t="shared" si="94"/>
        <v>0</v>
      </c>
      <c r="J1237" s="12" t="e">
        <f t="shared" si="92"/>
        <v>#DIV/0!</v>
      </c>
    </row>
    <row r="1238" spans="1:10" x14ac:dyDescent="0.2">
      <c r="A1238" s="19" t="s">
        <v>14</v>
      </c>
      <c r="B1238" s="5" t="s">
        <v>20</v>
      </c>
      <c r="C1238" s="22">
        <v>10</v>
      </c>
      <c r="D1238" s="4"/>
      <c r="E1238" s="4"/>
      <c r="F1238" s="4"/>
      <c r="G1238" s="4"/>
      <c r="H1238" s="4" t="e">
        <f t="shared" si="93"/>
        <v>#DIV/0!</v>
      </c>
      <c r="I1238" s="4" t="e">
        <f t="shared" si="94"/>
        <v>#DIV/0!</v>
      </c>
      <c r="J1238" s="10" t="e">
        <f t="shared" si="92"/>
        <v>#DIV/0!</v>
      </c>
    </row>
    <row r="1239" spans="1:10" x14ac:dyDescent="0.2">
      <c r="A1239" s="20"/>
      <c r="B1239" s="6" t="s">
        <v>21</v>
      </c>
      <c r="C1239" s="23"/>
      <c r="H1239" t="e">
        <f t="shared" si="93"/>
        <v>#DIV/0!</v>
      </c>
      <c r="I1239" t="e">
        <f t="shared" si="94"/>
        <v>#DIV/0!</v>
      </c>
      <c r="J1239" s="11" t="e">
        <f t="shared" si="92"/>
        <v>#DIV/0!</v>
      </c>
    </row>
    <row r="1240" spans="1:10" ht="16" thickBot="1" x14ac:dyDescent="0.25">
      <c r="A1240" s="21"/>
      <c r="B1240" s="15" t="s">
        <v>22</v>
      </c>
      <c r="C1240" s="24"/>
      <c r="D1240" s="13"/>
      <c r="E1240" s="13"/>
      <c r="F1240" s="13"/>
      <c r="G1240" s="13"/>
      <c r="H1240" s="13" t="e">
        <f t="shared" si="93"/>
        <v>#DIV/0!</v>
      </c>
      <c r="I1240" s="13" t="e">
        <f t="shared" si="94"/>
        <v>#DIV/0!</v>
      </c>
      <c r="J1240" s="14" t="e">
        <f t="shared" si="92"/>
        <v>#DIV/0!</v>
      </c>
    </row>
    <row r="1241" spans="1:10" ht="16" thickBot="1" x14ac:dyDescent="0.25">
      <c r="A1241" s="44" t="s">
        <v>1</v>
      </c>
      <c r="B1241" s="33"/>
      <c r="C1241" s="33"/>
      <c r="D1241" s="33" t="s">
        <v>49</v>
      </c>
      <c r="E1241" s="34"/>
      <c r="F1241" s="9" t="s">
        <v>0</v>
      </c>
      <c r="G1241" s="18">
        <v>44156</v>
      </c>
      <c r="H1241" s="35" t="s">
        <v>24</v>
      </c>
      <c r="I1241" s="36"/>
      <c r="J1241" s="1">
        <v>120</v>
      </c>
    </row>
    <row r="1242" spans="1:10" ht="16" thickBot="1" x14ac:dyDescent="0.25">
      <c r="A1242" s="37" t="s">
        <v>2</v>
      </c>
      <c r="B1242" s="38"/>
      <c r="C1242" s="38"/>
      <c r="D1242" s="38"/>
      <c r="E1242" s="39"/>
      <c r="F1242" s="40"/>
      <c r="G1242" s="41"/>
      <c r="H1242" s="42" t="s">
        <v>25</v>
      </c>
      <c r="I1242" s="43"/>
      <c r="J1242" s="2">
        <v>25</v>
      </c>
    </row>
    <row r="1243" spans="1:10" ht="16" thickBot="1" x14ac:dyDescent="0.25">
      <c r="A1243" s="45" t="s">
        <v>27</v>
      </c>
      <c r="B1243" s="27"/>
      <c r="C1243" s="27"/>
      <c r="D1243" s="27" t="s">
        <v>36</v>
      </c>
      <c r="E1243" s="28"/>
      <c r="F1243" s="16" t="s">
        <v>30</v>
      </c>
      <c r="G1243" s="16">
        <v>3.81</v>
      </c>
      <c r="H1243" s="29" t="s">
        <v>26</v>
      </c>
      <c r="I1243" s="30"/>
      <c r="J1243" s="3">
        <v>56</v>
      </c>
    </row>
    <row r="1244" spans="1:10" x14ac:dyDescent="0.2">
      <c r="A1244" s="31"/>
      <c r="B1244" s="32"/>
      <c r="C1244" s="16" t="s">
        <v>29</v>
      </c>
      <c r="D1244" s="16" t="s">
        <v>19</v>
      </c>
      <c r="E1244" s="16" t="s">
        <v>15</v>
      </c>
      <c r="F1244" s="16" t="s">
        <v>18</v>
      </c>
      <c r="G1244" s="16" t="s">
        <v>17</v>
      </c>
      <c r="H1244" s="16" t="s">
        <v>28</v>
      </c>
      <c r="I1244" s="16" t="s">
        <v>16</v>
      </c>
      <c r="J1244" s="17" t="s">
        <v>23</v>
      </c>
    </row>
    <row r="1245" spans="1:10" x14ac:dyDescent="0.2">
      <c r="A1245" s="19" t="s">
        <v>3</v>
      </c>
      <c r="B1245" s="5" t="s">
        <v>20</v>
      </c>
      <c r="C1245" s="22">
        <v>10</v>
      </c>
      <c r="D1245" s="4"/>
      <c r="E1245" s="4">
        <v>2.4409999999999998</v>
      </c>
      <c r="F1245" s="4">
        <v>3.496</v>
      </c>
      <c r="G1245" s="4">
        <v>5.2939999999999996</v>
      </c>
      <c r="H1245" s="4">
        <f>(F1245-(G1245-E1245))/F1245</f>
        <v>0.18392448512585818</v>
      </c>
      <c r="I1245" s="4">
        <f>D1245-H1245*D1245</f>
        <v>0</v>
      </c>
      <c r="J1245" s="10">
        <f t="shared" ref="J1245:J1280" si="95">I1245/($G$3^2*C1245*PI())</f>
        <v>0</v>
      </c>
    </row>
    <row r="1246" spans="1:10" x14ac:dyDescent="0.2">
      <c r="A1246" s="20"/>
      <c r="B1246" s="6" t="s">
        <v>21</v>
      </c>
      <c r="C1246" s="23"/>
      <c r="D1246">
        <v>805</v>
      </c>
      <c r="E1246">
        <v>2.4380000000000002</v>
      </c>
      <c r="F1246">
        <v>3.6230000000000002</v>
      </c>
      <c r="G1246">
        <v>5.3970000000000002</v>
      </c>
      <c r="H1246">
        <f t="shared" ref="H1246:H1280" si="96">(F1246-(G1246-E1246))/F1246</f>
        <v>0.18327353022357165</v>
      </c>
      <c r="I1246">
        <f t="shared" ref="I1246:I1280" si="97">D1246-H1246*D1246</f>
        <v>657.46480817002475</v>
      </c>
      <c r="J1246" s="11" t="e">
        <f t="shared" si="95"/>
        <v>#DIV/0!</v>
      </c>
    </row>
    <row r="1247" spans="1:10" x14ac:dyDescent="0.2">
      <c r="A1247" s="25"/>
      <c r="B1247" s="8" t="s">
        <v>22</v>
      </c>
      <c r="C1247" s="26"/>
      <c r="D1247" s="7"/>
      <c r="E1247" s="7">
        <v>2.4590000000000001</v>
      </c>
      <c r="F1247" s="7">
        <v>3.2090000000000001</v>
      </c>
      <c r="G1247" s="7">
        <v>5.1020000000000003</v>
      </c>
      <c r="H1247" s="7">
        <f t="shared" si="96"/>
        <v>0.17637893424742906</v>
      </c>
      <c r="I1247" s="7">
        <f t="shared" si="97"/>
        <v>0</v>
      </c>
      <c r="J1247" s="12" t="e">
        <f t="shared" si="95"/>
        <v>#DIV/0!</v>
      </c>
    </row>
    <row r="1248" spans="1:10" x14ac:dyDescent="0.2">
      <c r="A1248" s="19" t="s">
        <v>4</v>
      </c>
      <c r="B1248" s="5" t="s">
        <v>20</v>
      </c>
      <c r="C1248" s="23">
        <v>10</v>
      </c>
      <c r="E1248">
        <v>2.456</v>
      </c>
      <c r="F1248">
        <v>3.3069999999999999</v>
      </c>
      <c r="G1248">
        <v>5.0739999999999998</v>
      </c>
      <c r="H1248" s="4">
        <f t="shared" si="96"/>
        <v>0.20834593286967043</v>
      </c>
      <c r="I1248" s="4">
        <f t="shared" si="97"/>
        <v>0</v>
      </c>
      <c r="J1248" s="10">
        <f t="shared" si="95"/>
        <v>0</v>
      </c>
    </row>
    <row r="1249" spans="1:10" x14ac:dyDescent="0.2">
      <c r="A1249" s="20"/>
      <c r="B1249" s="6" t="s">
        <v>21</v>
      </c>
      <c r="C1249" s="23"/>
      <c r="D1249">
        <v>769</v>
      </c>
      <c r="E1249">
        <v>2.4449999999999998</v>
      </c>
      <c r="F1249">
        <v>3.0249999999999999</v>
      </c>
      <c r="G1249">
        <v>4.944</v>
      </c>
      <c r="H1249">
        <f t="shared" si="96"/>
        <v>0.17388429752066109</v>
      </c>
      <c r="I1249">
        <f t="shared" si="97"/>
        <v>635.28297520661158</v>
      </c>
      <c r="J1249" s="11" t="e">
        <f t="shared" si="95"/>
        <v>#DIV/0!</v>
      </c>
    </row>
    <row r="1250" spans="1:10" x14ac:dyDescent="0.2">
      <c r="A1250" s="25"/>
      <c r="B1250" s="8" t="s">
        <v>22</v>
      </c>
      <c r="C1250" s="26"/>
      <c r="D1250" s="7"/>
      <c r="E1250" s="7">
        <v>2.4580000000000002</v>
      </c>
      <c r="F1250" s="7">
        <v>3.1509999999999998</v>
      </c>
      <c r="G1250" s="7">
        <v>5.0659999999999998</v>
      </c>
      <c r="H1250" s="7">
        <f t="shared" si="96"/>
        <v>0.172326245636306</v>
      </c>
      <c r="I1250" s="7">
        <f t="shared" si="97"/>
        <v>0</v>
      </c>
      <c r="J1250" s="12" t="e">
        <f t="shared" si="95"/>
        <v>#DIV/0!</v>
      </c>
    </row>
    <row r="1251" spans="1:10" x14ac:dyDescent="0.2">
      <c r="A1251" s="19" t="s">
        <v>5</v>
      </c>
      <c r="B1251" s="5" t="s">
        <v>20</v>
      </c>
      <c r="C1251" s="22">
        <v>10</v>
      </c>
      <c r="D1251" s="4"/>
      <c r="E1251" s="4">
        <v>2.452</v>
      </c>
      <c r="F1251" s="4">
        <v>3.45</v>
      </c>
      <c r="G1251" s="4">
        <v>5.2220000000000004</v>
      </c>
      <c r="H1251" s="4">
        <f t="shared" si="96"/>
        <v>0.19710144927536222</v>
      </c>
      <c r="I1251" s="4">
        <f t="shared" si="97"/>
        <v>0</v>
      </c>
      <c r="J1251" s="10">
        <f t="shared" si="95"/>
        <v>0</v>
      </c>
    </row>
    <row r="1252" spans="1:10" x14ac:dyDescent="0.2">
      <c r="A1252" s="20"/>
      <c r="B1252" s="6" t="s">
        <v>21</v>
      </c>
      <c r="C1252" s="23"/>
      <c r="D1252">
        <v>825</v>
      </c>
      <c r="E1252">
        <v>2.4409999999999998</v>
      </c>
      <c r="F1252">
        <v>3.2829999999999999</v>
      </c>
      <c r="G1252">
        <v>5.1210000000000004</v>
      </c>
      <c r="H1252">
        <f t="shared" si="96"/>
        <v>0.18367346938775489</v>
      </c>
      <c r="I1252">
        <f t="shared" si="97"/>
        <v>673.46938775510216</v>
      </c>
      <c r="J1252" s="11" t="e">
        <f t="shared" si="95"/>
        <v>#DIV/0!</v>
      </c>
    </row>
    <row r="1253" spans="1:10" x14ac:dyDescent="0.2">
      <c r="A1253" s="25"/>
      <c r="B1253" s="8" t="s">
        <v>22</v>
      </c>
      <c r="C1253" s="26"/>
      <c r="D1253" s="7"/>
      <c r="E1253" s="7">
        <v>2.42</v>
      </c>
      <c r="F1253" s="7">
        <v>3.12</v>
      </c>
      <c r="G1253" s="7">
        <v>5.0110000000000001</v>
      </c>
      <c r="H1253" s="7">
        <f t="shared" si="96"/>
        <v>0.16955128205128203</v>
      </c>
      <c r="I1253" s="7">
        <f t="shared" si="97"/>
        <v>0</v>
      </c>
      <c r="J1253" s="12" t="e">
        <f t="shared" si="95"/>
        <v>#DIV/0!</v>
      </c>
    </row>
    <row r="1254" spans="1:10" x14ac:dyDescent="0.2">
      <c r="A1254" s="19" t="s">
        <v>6</v>
      </c>
      <c r="B1254" s="5" t="s">
        <v>20</v>
      </c>
      <c r="C1254" s="22">
        <v>10</v>
      </c>
      <c r="D1254" s="4"/>
      <c r="E1254" s="4">
        <v>2.4700000000000002</v>
      </c>
      <c r="F1254" s="4">
        <v>3.181</v>
      </c>
      <c r="G1254" s="4">
        <v>5.0129999999999999</v>
      </c>
      <c r="H1254" s="4">
        <f t="shared" si="96"/>
        <v>0.20056585979251818</v>
      </c>
      <c r="I1254" s="4">
        <f t="shared" si="97"/>
        <v>0</v>
      </c>
      <c r="J1254" s="10">
        <f t="shared" si="95"/>
        <v>0</v>
      </c>
    </row>
    <row r="1255" spans="1:10" x14ac:dyDescent="0.2">
      <c r="A1255" s="20"/>
      <c r="B1255" s="6" t="s">
        <v>21</v>
      </c>
      <c r="C1255" s="23"/>
      <c r="D1255">
        <v>816</v>
      </c>
      <c r="E1255">
        <v>2.4830000000000001</v>
      </c>
      <c r="F1255">
        <v>3.0510000000000002</v>
      </c>
      <c r="G1255">
        <v>4.899</v>
      </c>
      <c r="H1255">
        <f t="shared" si="96"/>
        <v>0.20812848246476573</v>
      </c>
      <c r="I1255">
        <f t="shared" si="97"/>
        <v>646.16715830875114</v>
      </c>
      <c r="J1255" s="11" t="e">
        <f t="shared" si="95"/>
        <v>#DIV/0!</v>
      </c>
    </row>
    <row r="1256" spans="1:10" x14ac:dyDescent="0.2">
      <c r="A1256" s="25"/>
      <c r="B1256" s="8" t="s">
        <v>22</v>
      </c>
      <c r="C1256" s="26"/>
      <c r="D1256" s="7"/>
      <c r="E1256" s="7">
        <v>2.411</v>
      </c>
      <c r="F1256" s="7">
        <v>3.0539999999999998</v>
      </c>
      <c r="G1256" s="7">
        <v>4.9009999999999998</v>
      </c>
      <c r="H1256" s="7">
        <f t="shared" si="96"/>
        <v>0.18467583497053047</v>
      </c>
      <c r="I1256" s="7">
        <f t="shared" si="97"/>
        <v>0</v>
      </c>
      <c r="J1256" s="12" t="e">
        <f t="shared" si="95"/>
        <v>#DIV/0!</v>
      </c>
    </row>
    <row r="1257" spans="1:10" x14ac:dyDescent="0.2">
      <c r="A1257" s="19" t="s">
        <v>7</v>
      </c>
      <c r="B1257" s="5" t="s">
        <v>20</v>
      </c>
      <c r="C1257" s="22">
        <v>10</v>
      </c>
      <c r="D1257" s="4"/>
      <c r="E1257" s="4">
        <v>2.4529999999999998</v>
      </c>
      <c r="F1257" s="4">
        <v>3.5409999999999999</v>
      </c>
      <c r="G1257" s="4">
        <v>5.2489999999999997</v>
      </c>
      <c r="H1257" s="4">
        <f t="shared" si="96"/>
        <v>0.21039254447896077</v>
      </c>
      <c r="I1257" s="4">
        <f t="shared" si="97"/>
        <v>0</v>
      </c>
      <c r="J1257" s="10">
        <f t="shared" si="95"/>
        <v>0</v>
      </c>
    </row>
    <row r="1258" spans="1:10" x14ac:dyDescent="0.2">
      <c r="A1258" s="20"/>
      <c r="B1258" s="6" t="s">
        <v>21</v>
      </c>
      <c r="C1258" s="23"/>
      <c r="D1258">
        <v>858</v>
      </c>
      <c r="E1258">
        <v>2.4449999999999998</v>
      </c>
      <c r="F1258">
        <v>3.4409999999999998</v>
      </c>
      <c r="G1258">
        <v>5.218</v>
      </c>
      <c r="H1258">
        <f t="shared" si="96"/>
        <v>0.19412961348445212</v>
      </c>
      <c r="I1258">
        <f t="shared" si="97"/>
        <v>691.43679163034005</v>
      </c>
      <c r="J1258" s="11" t="e">
        <f t="shared" si="95"/>
        <v>#DIV/0!</v>
      </c>
    </row>
    <row r="1259" spans="1:10" x14ac:dyDescent="0.2">
      <c r="A1259" s="25"/>
      <c r="B1259" s="8" t="s">
        <v>22</v>
      </c>
      <c r="C1259" s="26"/>
      <c r="D1259" s="7"/>
      <c r="E1259" s="7">
        <v>2.4540000000000002</v>
      </c>
      <c r="F1259" s="7">
        <v>3.1240000000000001</v>
      </c>
      <c r="G1259" s="7">
        <v>4.931</v>
      </c>
      <c r="H1259" s="7">
        <f t="shared" si="96"/>
        <v>0.20710627400768253</v>
      </c>
      <c r="I1259" s="7">
        <f t="shared" si="97"/>
        <v>0</v>
      </c>
      <c r="J1259" s="12" t="e">
        <f t="shared" si="95"/>
        <v>#DIV/0!</v>
      </c>
    </row>
    <row r="1260" spans="1:10" x14ac:dyDescent="0.2">
      <c r="A1260" s="19" t="s">
        <v>8</v>
      </c>
      <c r="B1260" s="5" t="s">
        <v>20</v>
      </c>
      <c r="C1260" s="22">
        <v>10</v>
      </c>
      <c r="D1260" s="4"/>
      <c r="E1260" s="4">
        <v>2.4169999999999998</v>
      </c>
      <c r="F1260" s="4">
        <v>3.0129999999999999</v>
      </c>
      <c r="G1260" s="4">
        <v>4.8289999999999997</v>
      </c>
      <c r="H1260" s="4">
        <f t="shared" si="96"/>
        <v>0.19946896780617324</v>
      </c>
      <c r="I1260" s="4">
        <f t="shared" si="97"/>
        <v>0</v>
      </c>
      <c r="J1260" s="10">
        <f t="shared" si="95"/>
        <v>0</v>
      </c>
    </row>
    <row r="1261" spans="1:10" x14ac:dyDescent="0.2">
      <c r="A1261" s="20"/>
      <c r="B1261" s="6" t="s">
        <v>21</v>
      </c>
      <c r="C1261" s="23"/>
      <c r="D1261">
        <v>768</v>
      </c>
      <c r="E1261">
        <v>2.44</v>
      </c>
      <c r="F1261">
        <v>3.3759999999999999</v>
      </c>
      <c r="G1261">
        <v>5.1470000000000002</v>
      </c>
      <c r="H1261">
        <f t="shared" si="96"/>
        <v>0.19816350710900463</v>
      </c>
      <c r="I1261">
        <f t="shared" si="97"/>
        <v>615.81042654028442</v>
      </c>
      <c r="J1261" s="11" t="e">
        <f t="shared" si="95"/>
        <v>#DIV/0!</v>
      </c>
    </row>
    <row r="1262" spans="1:10" x14ac:dyDescent="0.2">
      <c r="A1262" s="25"/>
      <c r="B1262" s="8" t="s">
        <v>22</v>
      </c>
      <c r="C1262" s="26"/>
      <c r="D1262" s="7"/>
      <c r="E1262" s="7">
        <v>2.4350000000000001</v>
      </c>
      <c r="F1262" s="7">
        <v>3.3460000000000001</v>
      </c>
      <c r="G1262" s="7">
        <v>5.1539999999999999</v>
      </c>
      <c r="H1262" s="7">
        <f t="shared" si="96"/>
        <v>0.18738792588164979</v>
      </c>
      <c r="I1262" s="7">
        <f t="shared" si="97"/>
        <v>0</v>
      </c>
      <c r="J1262" s="12" t="e">
        <f t="shared" si="95"/>
        <v>#DIV/0!</v>
      </c>
    </row>
    <row r="1263" spans="1:10" x14ac:dyDescent="0.2">
      <c r="A1263" s="19" t="s">
        <v>9</v>
      </c>
      <c r="B1263" s="5" t="s">
        <v>20</v>
      </c>
      <c r="C1263" s="22">
        <v>10</v>
      </c>
      <c r="D1263" s="4"/>
      <c r="E1263" s="4">
        <v>2.4350000000000001</v>
      </c>
      <c r="F1263" s="4">
        <v>3.2530000000000001</v>
      </c>
      <c r="G1263" s="4">
        <v>5.0149999999999997</v>
      </c>
      <c r="H1263" s="4">
        <f t="shared" si="96"/>
        <v>0.20688595142944988</v>
      </c>
      <c r="I1263" s="4">
        <f t="shared" si="97"/>
        <v>0</v>
      </c>
      <c r="J1263" s="10">
        <f t="shared" si="95"/>
        <v>0</v>
      </c>
    </row>
    <row r="1264" spans="1:10" x14ac:dyDescent="0.2">
      <c r="A1264" s="20"/>
      <c r="B1264" s="6" t="s">
        <v>21</v>
      </c>
      <c r="C1264" s="23"/>
      <c r="D1264">
        <v>732</v>
      </c>
      <c r="E1264">
        <v>2.4470000000000001</v>
      </c>
      <c r="F1264">
        <v>3.1629999999999998</v>
      </c>
      <c r="G1264">
        <v>4.9809999999999999</v>
      </c>
      <c r="H1264">
        <f t="shared" si="96"/>
        <v>0.19886184002529245</v>
      </c>
      <c r="I1264">
        <f t="shared" si="97"/>
        <v>586.43313310148596</v>
      </c>
      <c r="J1264" s="11" t="e">
        <f t="shared" si="95"/>
        <v>#DIV/0!</v>
      </c>
    </row>
    <row r="1265" spans="1:10" x14ac:dyDescent="0.2">
      <c r="A1265" s="25"/>
      <c r="B1265" s="8" t="s">
        <v>22</v>
      </c>
      <c r="C1265" s="26"/>
      <c r="D1265" s="7"/>
      <c r="E1265" s="7">
        <v>2.4529999999999998</v>
      </c>
      <c r="F1265" s="7">
        <v>3.18</v>
      </c>
      <c r="G1265" s="7">
        <v>4.9619999999999997</v>
      </c>
      <c r="H1265" s="7">
        <f t="shared" si="96"/>
        <v>0.21100628930817616</v>
      </c>
      <c r="I1265" s="7">
        <f t="shared" si="97"/>
        <v>0</v>
      </c>
      <c r="J1265" s="12" t="e">
        <f t="shared" si="95"/>
        <v>#DIV/0!</v>
      </c>
    </row>
    <row r="1266" spans="1:10" x14ac:dyDescent="0.2">
      <c r="A1266" s="19" t="s">
        <v>10</v>
      </c>
      <c r="B1266" s="5" t="s">
        <v>20</v>
      </c>
      <c r="C1266" s="22">
        <v>10</v>
      </c>
      <c r="D1266" s="4"/>
      <c r="E1266" s="4">
        <v>2.4409999999999998</v>
      </c>
      <c r="F1266" s="4">
        <v>3.109</v>
      </c>
      <c r="G1266" s="4">
        <v>4.931</v>
      </c>
      <c r="H1266" s="4">
        <f t="shared" si="96"/>
        <v>0.19909938887101955</v>
      </c>
      <c r="I1266" s="4">
        <f t="shared" si="97"/>
        <v>0</v>
      </c>
      <c r="J1266" s="10">
        <f t="shared" si="95"/>
        <v>0</v>
      </c>
    </row>
    <row r="1267" spans="1:10" x14ac:dyDescent="0.2">
      <c r="A1267" s="20"/>
      <c r="B1267" s="6" t="s">
        <v>21</v>
      </c>
      <c r="C1267" s="23"/>
      <c r="D1267">
        <v>847</v>
      </c>
      <c r="E1267">
        <v>2.4390000000000001</v>
      </c>
      <c r="F1267">
        <v>3.1579999999999999</v>
      </c>
      <c r="G1267">
        <v>4.9509999999999996</v>
      </c>
      <c r="H1267">
        <f t="shared" si="96"/>
        <v>0.2045598480050666</v>
      </c>
      <c r="I1267">
        <f t="shared" si="97"/>
        <v>673.73780873970861</v>
      </c>
      <c r="J1267" s="11" t="e">
        <f t="shared" si="95"/>
        <v>#DIV/0!</v>
      </c>
    </row>
    <row r="1268" spans="1:10" x14ac:dyDescent="0.2">
      <c r="A1268" s="25"/>
      <c r="B1268" s="8" t="s">
        <v>22</v>
      </c>
      <c r="C1268" s="26"/>
      <c r="D1268" s="7"/>
      <c r="E1268" s="7">
        <v>2.4569999999999999</v>
      </c>
      <c r="F1268" s="7">
        <v>3.0659999999999998</v>
      </c>
      <c r="G1268" s="7">
        <v>4.8650000000000002</v>
      </c>
      <c r="H1268" s="7">
        <f t="shared" si="96"/>
        <v>0.21461187214611857</v>
      </c>
      <c r="I1268" s="7">
        <f t="shared" si="97"/>
        <v>0</v>
      </c>
      <c r="J1268" s="12" t="e">
        <f t="shared" si="95"/>
        <v>#DIV/0!</v>
      </c>
    </row>
    <row r="1269" spans="1:10" x14ac:dyDescent="0.2">
      <c r="A1269" s="19" t="s">
        <v>11</v>
      </c>
      <c r="B1269" s="5" t="s">
        <v>20</v>
      </c>
      <c r="C1269" s="22">
        <v>10</v>
      </c>
      <c r="D1269" s="4"/>
      <c r="E1269" s="4">
        <v>2.456</v>
      </c>
      <c r="F1269" s="4">
        <v>3.508</v>
      </c>
      <c r="G1269" s="4">
        <v>5.2210000000000001</v>
      </c>
      <c r="H1269" s="4">
        <f t="shared" si="96"/>
        <v>0.21180159635119722</v>
      </c>
      <c r="I1269" s="4">
        <f t="shared" si="97"/>
        <v>0</v>
      </c>
      <c r="J1269" s="10">
        <f t="shared" si="95"/>
        <v>0</v>
      </c>
    </row>
    <row r="1270" spans="1:10" x14ac:dyDescent="0.2">
      <c r="A1270" s="20"/>
      <c r="B1270" s="6" t="s">
        <v>21</v>
      </c>
      <c r="C1270" s="23"/>
      <c r="D1270">
        <v>719</v>
      </c>
      <c r="E1270">
        <v>2.4329999999999998</v>
      </c>
      <c r="F1270">
        <v>3.0950000000000002</v>
      </c>
      <c r="G1270">
        <v>4.8630000000000004</v>
      </c>
      <c r="H1270">
        <f t="shared" si="96"/>
        <v>0.21486268174474946</v>
      </c>
      <c r="I1270">
        <f t="shared" si="97"/>
        <v>564.51373182552516</v>
      </c>
      <c r="J1270" s="11" t="e">
        <f t="shared" si="95"/>
        <v>#DIV/0!</v>
      </c>
    </row>
    <row r="1271" spans="1:10" x14ac:dyDescent="0.2">
      <c r="A1271" s="25"/>
      <c r="B1271" s="8" t="s">
        <v>22</v>
      </c>
      <c r="C1271" s="26"/>
      <c r="D1271" s="7"/>
      <c r="E1271" s="7">
        <v>2.452</v>
      </c>
      <c r="F1271" s="7">
        <v>3.641</v>
      </c>
      <c r="G1271" s="7">
        <v>5.3390000000000004</v>
      </c>
      <c r="H1271" s="7">
        <f t="shared" si="96"/>
        <v>0.20708596539412238</v>
      </c>
      <c r="I1271" s="7">
        <f t="shared" si="97"/>
        <v>0</v>
      </c>
      <c r="J1271" s="12" t="e">
        <f t="shared" si="95"/>
        <v>#DIV/0!</v>
      </c>
    </row>
    <row r="1272" spans="1:10" x14ac:dyDescent="0.2">
      <c r="A1272" s="19" t="s">
        <v>12</v>
      </c>
      <c r="B1272" s="5" t="s">
        <v>20</v>
      </c>
      <c r="C1272" s="22">
        <v>10</v>
      </c>
      <c r="D1272" s="4"/>
      <c r="E1272" s="4">
        <v>2.4249999999999998</v>
      </c>
      <c r="F1272" s="4">
        <v>3.032</v>
      </c>
      <c r="G1272" s="4">
        <v>4.8250000000000002</v>
      </c>
      <c r="H1272" s="4">
        <f t="shared" si="96"/>
        <v>0.20844327176780991</v>
      </c>
      <c r="I1272" s="4">
        <f t="shared" si="97"/>
        <v>0</v>
      </c>
      <c r="J1272" s="10">
        <f t="shared" si="95"/>
        <v>0</v>
      </c>
    </row>
    <row r="1273" spans="1:10" x14ac:dyDescent="0.2">
      <c r="A1273" s="20"/>
      <c r="B1273" s="6" t="s">
        <v>21</v>
      </c>
      <c r="C1273" s="23"/>
      <c r="D1273">
        <v>739</v>
      </c>
      <c r="E1273">
        <v>2.431</v>
      </c>
      <c r="F1273">
        <v>3.069</v>
      </c>
      <c r="G1273">
        <v>4.8319999999999999</v>
      </c>
      <c r="H1273">
        <f t="shared" si="96"/>
        <v>0.21766047572499192</v>
      </c>
      <c r="I1273">
        <f t="shared" si="97"/>
        <v>578.14890843923104</v>
      </c>
      <c r="J1273" s="11" t="e">
        <f t="shared" si="95"/>
        <v>#DIV/0!</v>
      </c>
    </row>
    <row r="1274" spans="1:10" x14ac:dyDescent="0.2">
      <c r="A1274" s="25"/>
      <c r="B1274" s="8" t="s">
        <v>22</v>
      </c>
      <c r="C1274" s="26"/>
      <c r="D1274" s="7"/>
      <c r="E1274" s="7">
        <v>2.4279999999999999</v>
      </c>
      <c r="F1274" s="7">
        <v>3.347</v>
      </c>
      <c r="G1274" s="7">
        <v>5.0140000000000002</v>
      </c>
      <c r="H1274" s="7">
        <f t="shared" si="96"/>
        <v>0.22736779205258431</v>
      </c>
      <c r="I1274" s="7">
        <f t="shared" si="97"/>
        <v>0</v>
      </c>
      <c r="J1274" s="12" t="e">
        <f t="shared" si="95"/>
        <v>#DIV/0!</v>
      </c>
    </row>
    <row r="1275" spans="1:10" x14ac:dyDescent="0.2">
      <c r="A1275" s="19" t="s">
        <v>13</v>
      </c>
      <c r="B1275" s="5" t="s">
        <v>20</v>
      </c>
      <c r="C1275" s="22">
        <v>10</v>
      </c>
      <c r="D1275" s="4"/>
      <c r="E1275" s="4">
        <v>2.411</v>
      </c>
      <c r="F1275" s="4">
        <v>3.1680000000000001</v>
      </c>
      <c r="G1275" s="4">
        <v>4.9450000000000003</v>
      </c>
      <c r="H1275" s="4">
        <f t="shared" si="96"/>
        <v>0.2001262626262626</v>
      </c>
      <c r="I1275" s="4">
        <f t="shared" si="97"/>
        <v>0</v>
      </c>
      <c r="J1275" s="10">
        <f t="shared" si="95"/>
        <v>0</v>
      </c>
    </row>
    <row r="1276" spans="1:10" x14ac:dyDescent="0.2">
      <c r="A1276" s="20"/>
      <c r="B1276" s="6" t="s">
        <v>21</v>
      </c>
      <c r="C1276" s="23"/>
      <c r="D1276">
        <v>745</v>
      </c>
      <c r="E1276">
        <v>2.4390000000000001</v>
      </c>
      <c r="F1276">
        <v>3.1749999999999998</v>
      </c>
      <c r="G1276">
        <v>4.9480000000000004</v>
      </c>
      <c r="H1276">
        <f t="shared" si="96"/>
        <v>0.2097637795275589</v>
      </c>
      <c r="I1276">
        <f t="shared" si="97"/>
        <v>588.72598425196861</v>
      </c>
      <c r="J1276" s="11" t="e">
        <f t="shared" si="95"/>
        <v>#DIV/0!</v>
      </c>
    </row>
    <row r="1277" spans="1:10" x14ac:dyDescent="0.2">
      <c r="A1277" s="25"/>
      <c r="B1277" s="8" t="s">
        <v>22</v>
      </c>
      <c r="C1277" s="26"/>
      <c r="D1277" s="7"/>
      <c r="E1277" s="7">
        <v>2.4670000000000001</v>
      </c>
      <c r="F1277" s="7">
        <v>3.0619999999999998</v>
      </c>
      <c r="G1277" s="7">
        <v>4.8879999999999999</v>
      </c>
      <c r="H1277" s="7">
        <f t="shared" si="96"/>
        <v>0.20934030045721752</v>
      </c>
      <c r="I1277" s="7">
        <f t="shared" si="97"/>
        <v>0</v>
      </c>
      <c r="J1277" s="12" t="e">
        <f t="shared" si="95"/>
        <v>#DIV/0!</v>
      </c>
    </row>
    <row r="1278" spans="1:10" x14ac:dyDescent="0.2">
      <c r="A1278" s="19" t="s">
        <v>14</v>
      </c>
      <c r="B1278" s="5" t="s">
        <v>20</v>
      </c>
      <c r="C1278" s="22">
        <v>10</v>
      </c>
      <c r="D1278" s="4"/>
      <c r="E1278" s="4">
        <v>2.4500000000000002</v>
      </c>
      <c r="F1278" s="4">
        <v>3.0880000000000001</v>
      </c>
      <c r="G1278" s="4">
        <v>4.9359999999999999</v>
      </c>
      <c r="H1278" s="4">
        <f t="shared" si="96"/>
        <v>0.19494818652849752</v>
      </c>
      <c r="I1278" s="4">
        <f t="shared" si="97"/>
        <v>0</v>
      </c>
      <c r="J1278" s="10">
        <f t="shared" si="95"/>
        <v>0</v>
      </c>
    </row>
    <row r="1279" spans="1:10" x14ac:dyDescent="0.2">
      <c r="A1279" s="20"/>
      <c r="B1279" s="6" t="s">
        <v>21</v>
      </c>
      <c r="C1279" s="23"/>
      <c r="D1279">
        <v>699</v>
      </c>
      <c r="E1279">
        <v>2.4430000000000001</v>
      </c>
      <c r="F1279">
        <v>3.4079999999999999</v>
      </c>
      <c r="G1279">
        <v>5.1669999999999998</v>
      </c>
      <c r="H1279">
        <f t="shared" si="96"/>
        <v>0.20070422535211274</v>
      </c>
      <c r="I1279">
        <f t="shared" si="97"/>
        <v>558.70774647887322</v>
      </c>
      <c r="J1279" s="11" t="e">
        <f t="shared" si="95"/>
        <v>#DIV/0!</v>
      </c>
    </row>
    <row r="1280" spans="1:10" ht="16" thickBot="1" x14ac:dyDescent="0.25">
      <c r="A1280" s="21"/>
      <c r="B1280" s="15" t="s">
        <v>22</v>
      </c>
      <c r="C1280" s="24"/>
      <c r="D1280" s="13"/>
      <c r="E1280" s="13">
        <v>2.4380000000000002</v>
      </c>
      <c r="F1280" s="13">
        <v>3.069</v>
      </c>
      <c r="G1280" s="13">
        <v>4.8600000000000003</v>
      </c>
      <c r="H1280" s="13">
        <f t="shared" si="96"/>
        <v>0.21081785597914623</v>
      </c>
      <c r="I1280" s="13">
        <f t="shared" si="97"/>
        <v>0</v>
      </c>
      <c r="J1280" s="14" t="e">
        <f t="shared" si="95"/>
        <v>#DIV/0!</v>
      </c>
    </row>
    <row r="1281" spans="1:10" ht="16" thickBot="1" x14ac:dyDescent="0.25">
      <c r="A1281" s="44" t="s">
        <v>1</v>
      </c>
      <c r="B1281" s="33"/>
      <c r="C1281" s="33"/>
      <c r="D1281" s="33" t="s">
        <v>49</v>
      </c>
      <c r="E1281" s="34"/>
      <c r="F1281" s="9" t="s">
        <v>0</v>
      </c>
      <c r="G1281" s="18">
        <v>44156</v>
      </c>
      <c r="H1281" s="35" t="s">
        <v>24</v>
      </c>
      <c r="I1281" s="36"/>
      <c r="J1281" s="1">
        <v>100</v>
      </c>
    </row>
    <row r="1282" spans="1:10" ht="16" thickBot="1" x14ac:dyDescent="0.25">
      <c r="A1282" s="37" t="s">
        <v>2</v>
      </c>
      <c r="B1282" s="38"/>
      <c r="C1282" s="38"/>
      <c r="D1282" s="38"/>
      <c r="E1282" s="39"/>
      <c r="F1282" s="40"/>
      <c r="G1282" s="41"/>
      <c r="H1282" s="42" t="s">
        <v>25</v>
      </c>
      <c r="I1282" s="43"/>
      <c r="J1282" s="2">
        <v>25</v>
      </c>
    </row>
    <row r="1283" spans="1:10" ht="16" thickBot="1" x14ac:dyDescent="0.25">
      <c r="A1283" s="45" t="s">
        <v>27</v>
      </c>
      <c r="B1283" s="27"/>
      <c r="C1283" s="27"/>
      <c r="D1283" s="27" t="s">
        <v>32</v>
      </c>
      <c r="E1283" s="28"/>
      <c r="F1283" s="16" t="s">
        <v>30</v>
      </c>
      <c r="G1283" s="16">
        <v>3.81</v>
      </c>
      <c r="H1283" s="29" t="s">
        <v>26</v>
      </c>
      <c r="I1283" s="30"/>
      <c r="J1283" s="3">
        <v>50</v>
      </c>
    </row>
    <row r="1284" spans="1:10" x14ac:dyDescent="0.2">
      <c r="A1284" s="31"/>
      <c r="B1284" s="32"/>
      <c r="C1284" s="16" t="s">
        <v>29</v>
      </c>
      <c r="D1284" s="16" t="s">
        <v>19</v>
      </c>
      <c r="E1284" s="16" t="s">
        <v>15</v>
      </c>
      <c r="F1284" s="16" t="s">
        <v>18</v>
      </c>
      <c r="G1284" s="16" t="s">
        <v>17</v>
      </c>
      <c r="H1284" s="16" t="s">
        <v>28</v>
      </c>
      <c r="I1284" s="16" t="s">
        <v>16</v>
      </c>
      <c r="J1284" s="17" t="s">
        <v>23</v>
      </c>
    </row>
    <row r="1285" spans="1:10" x14ac:dyDescent="0.2">
      <c r="A1285" s="19" t="s">
        <v>3</v>
      </c>
      <c r="B1285" s="5" t="s">
        <v>20</v>
      </c>
      <c r="C1285" s="22">
        <v>10</v>
      </c>
      <c r="D1285" s="4"/>
      <c r="E1285" s="4">
        <v>2.4460000000000002</v>
      </c>
      <c r="F1285" s="4">
        <v>3.3839999999999999</v>
      </c>
      <c r="G1285" s="4">
        <v>4.8170000000000002</v>
      </c>
      <c r="H1285" s="4">
        <f>(F1285-(G1285-E1285))/F1285</f>
        <v>0.29934988179669031</v>
      </c>
      <c r="I1285" s="4">
        <f>D1285-H1285*D1285</f>
        <v>0</v>
      </c>
      <c r="J1285" s="10">
        <f t="shared" ref="J1285:J1320" si="98">I1285/($G$3^2*C1285*PI())</f>
        <v>0</v>
      </c>
    </row>
    <row r="1286" spans="1:10" x14ac:dyDescent="0.2">
      <c r="A1286" s="20"/>
      <c r="B1286" s="6" t="s">
        <v>21</v>
      </c>
      <c r="C1286" s="23"/>
      <c r="D1286">
        <v>795</v>
      </c>
      <c r="E1286">
        <v>2.4540000000000002</v>
      </c>
      <c r="F1286">
        <v>3.0449999999999999</v>
      </c>
      <c r="G1286">
        <v>4.8650000000000002</v>
      </c>
      <c r="H1286">
        <f t="shared" ref="H1286:H1320" si="99">(F1286-(G1286-E1286))/F1286</f>
        <v>0.2082101806239737</v>
      </c>
      <c r="I1286">
        <f t="shared" ref="I1286:I1320" si="100">D1286-H1286*D1286</f>
        <v>629.4729064039409</v>
      </c>
      <c r="J1286" s="11" t="e">
        <f t="shared" si="98"/>
        <v>#DIV/0!</v>
      </c>
    </row>
    <row r="1287" spans="1:10" x14ac:dyDescent="0.2">
      <c r="A1287" s="25"/>
      <c r="B1287" s="8" t="s">
        <v>22</v>
      </c>
      <c r="C1287" s="26"/>
      <c r="D1287" s="7"/>
      <c r="E1287" s="7">
        <v>2.4340000000000002</v>
      </c>
      <c r="F1287" s="7">
        <v>3.6080000000000001</v>
      </c>
      <c r="G1287" s="7">
        <v>5.3250000000000002</v>
      </c>
      <c r="H1287" s="7">
        <f t="shared" si="99"/>
        <v>0.19872505543237251</v>
      </c>
      <c r="I1287" s="7">
        <f t="shared" si="100"/>
        <v>0</v>
      </c>
      <c r="J1287" s="12" t="e">
        <f t="shared" si="98"/>
        <v>#DIV/0!</v>
      </c>
    </row>
    <row r="1288" spans="1:10" x14ac:dyDescent="0.2">
      <c r="A1288" s="19" t="s">
        <v>4</v>
      </c>
      <c r="B1288" s="5" t="s">
        <v>20</v>
      </c>
      <c r="C1288" s="23">
        <v>10</v>
      </c>
      <c r="E1288">
        <v>2.4180000000000001</v>
      </c>
      <c r="F1288">
        <v>3.3929999999999998</v>
      </c>
      <c r="G1288">
        <v>5.3650000000000002</v>
      </c>
      <c r="H1288" s="4">
        <f t="shared" si="99"/>
        <v>0.13144709696433826</v>
      </c>
      <c r="I1288" s="4">
        <f t="shared" si="100"/>
        <v>0</v>
      </c>
      <c r="J1288" s="10">
        <f t="shared" si="98"/>
        <v>0</v>
      </c>
    </row>
    <row r="1289" spans="1:10" x14ac:dyDescent="0.2">
      <c r="A1289" s="20"/>
      <c r="B1289" s="6" t="s">
        <v>21</v>
      </c>
      <c r="C1289" s="23"/>
      <c r="D1289">
        <v>760</v>
      </c>
      <c r="E1289">
        <v>2.4470000000000001</v>
      </c>
      <c r="F1289">
        <v>3.484</v>
      </c>
      <c r="G1289">
        <v>5.3250000000000002</v>
      </c>
      <c r="H1289">
        <f t="shared" si="99"/>
        <v>0.1739380022962112</v>
      </c>
      <c r="I1289">
        <f t="shared" si="100"/>
        <v>627.80711825487947</v>
      </c>
      <c r="J1289" s="11" t="e">
        <f t="shared" si="98"/>
        <v>#DIV/0!</v>
      </c>
    </row>
    <row r="1290" spans="1:10" x14ac:dyDescent="0.2">
      <c r="A1290" s="25"/>
      <c r="B1290" s="8" t="s">
        <v>22</v>
      </c>
      <c r="C1290" s="26"/>
      <c r="D1290" s="7"/>
      <c r="E1290" s="7">
        <v>2.4710000000000001</v>
      </c>
      <c r="F1290" s="7">
        <v>3.62</v>
      </c>
      <c r="G1290" s="7">
        <v>5.4710000000000001</v>
      </c>
      <c r="H1290" s="7">
        <f t="shared" si="99"/>
        <v>0.17127071823204423</v>
      </c>
      <c r="I1290" s="7">
        <f t="shared" si="100"/>
        <v>0</v>
      </c>
      <c r="J1290" s="12" t="e">
        <f t="shared" si="98"/>
        <v>#DIV/0!</v>
      </c>
    </row>
    <row r="1291" spans="1:10" x14ac:dyDescent="0.2">
      <c r="A1291" s="19" t="s">
        <v>5</v>
      </c>
      <c r="B1291" s="5" t="s">
        <v>20</v>
      </c>
      <c r="C1291" s="22">
        <v>10</v>
      </c>
      <c r="D1291" s="4"/>
      <c r="E1291" s="4">
        <v>2.4319999999999999</v>
      </c>
      <c r="F1291" s="4">
        <v>3.0409999999999999</v>
      </c>
      <c r="G1291" s="4">
        <v>4.97</v>
      </c>
      <c r="H1291" s="4">
        <f t="shared" si="99"/>
        <v>0.16540611640907601</v>
      </c>
      <c r="I1291" s="4">
        <f t="shared" si="100"/>
        <v>0</v>
      </c>
      <c r="J1291" s="10">
        <f t="shared" si="98"/>
        <v>0</v>
      </c>
    </row>
    <row r="1292" spans="1:10" x14ac:dyDescent="0.2">
      <c r="A1292" s="20"/>
      <c r="B1292" s="6" t="s">
        <v>21</v>
      </c>
      <c r="C1292" s="23"/>
      <c r="D1292">
        <v>757</v>
      </c>
      <c r="E1292">
        <v>2.4409999999999998</v>
      </c>
      <c r="F1292">
        <v>3.29</v>
      </c>
      <c r="G1292">
        <v>5.1760000000000002</v>
      </c>
      <c r="H1292">
        <f t="shared" si="99"/>
        <v>0.16869300911854093</v>
      </c>
      <c r="I1292">
        <f t="shared" si="100"/>
        <v>629.29939209726456</v>
      </c>
      <c r="J1292" s="11" t="e">
        <f t="shared" si="98"/>
        <v>#DIV/0!</v>
      </c>
    </row>
    <row r="1293" spans="1:10" x14ac:dyDescent="0.2">
      <c r="A1293" s="25"/>
      <c r="B1293" s="8" t="s">
        <v>22</v>
      </c>
      <c r="C1293" s="26"/>
      <c r="D1293" s="7"/>
      <c r="E1293" s="7">
        <v>2.4239999999999999</v>
      </c>
      <c r="F1293" s="7">
        <v>3.03</v>
      </c>
      <c r="G1293" s="7">
        <v>4.944</v>
      </c>
      <c r="H1293" s="7">
        <f t="shared" si="99"/>
        <v>0.16831683168316824</v>
      </c>
      <c r="I1293" s="7">
        <f t="shared" si="100"/>
        <v>0</v>
      </c>
      <c r="J1293" s="12" t="e">
        <f t="shared" si="98"/>
        <v>#DIV/0!</v>
      </c>
    </row>
    <row r="1294" spans="1:10" x14ac:dyDescent="0.2">
      <c r="A1294" s="19" t="s">
        <v>6</v>
      </c>
      <c r="B1294" s="5" t="s">
        <v>20</v>
      </c>
      <c r="C1294" s="22">
        <v>10</v>
      </c>
      <c r="D1294" s="4"/>
      <c r="E1294" s="4">
        <v>2.468</v>
      </c>
      <c r="F1294" s="4">
        <v>3.0070000000000001</v>
      </c>
      <c r="G1294" s="4">
        <v>4.9390000000000001</v>
      </c>
      <c r="H1294" s="4">
        <f t="shared" si="99"/>
        <v>0.17825074825407383</v>
      </c>
      <c r="I1294" s="4">
        <f t="shared" si="100"/>
        <v>0</v>
      </c>
      <c r="J1294" s="10">
        <f t="shared" si="98"/>
        <v>0</v>
      </c>
    </row>
    <row r="1295" spans="1:10" x14ac:dyDescent="0.2">
      <c r="A1295" s="20"/>
      <c r="B1295" s="6" t="s">
        <v>21</v>
      </c>
      <c r="C1295" s="23"/>
      <c r="D1295">
        <v>875</v>
      </c>
      <c r="E1295">
        <v>2.4540000000000002</v>
      </c>
      <c r="F1295">
        <v>3.0720000000000001</v>
      </c>
      <c r="G1295">
        <v>4.9219999999999997</v>
      </c>
      <c r="H1295">
        <f t="shared" si="99"/>
        <v>0.19661458333333351</v>
      </c>
      <c r="I1295">
        <f t="shared" si="100"/>
        <v>702.96223958333314</v>
      </c>
      <c r="J1295" s="11" t="e">
        <f t="shared" si="98"/>
        <v>#DIV/0!</v>
      </c>
    </row>
    <row r="1296" spans="1:10" x14ac:dyDescent="0.2">
      <c r="A1296" s="25"/>
      <c r="B1296" s="8" t="s">
        <v>22</v>
      </c>
      <c r="C1296" s="26"/>
      <c r="D1296" s="7"/>
      <c r="E1296" s="7">
        <v>2.4449999999999998</v>
      </c>
      <c r="F1296" s="7">
        <v>3.0830000000000002</v>
      </c>
      <c r="G1296" s="7">
        <v>4.8970000000000002</v>
      </c>
      <c r="H1296" s="7">
        <f t="shared" si="99"/>
        <v>0.2046707752189425</v>
      </c>
      <c r="I1296" s="7">
        <f t="shared" si="100"/>
        <v>0</v>
      </c>
      <c r="J1296" s="12" t="e">
        <f t="shared" si="98"/>
        <v>#DIV/0!</v>
      </c>
    </row>
    <row r="1297" spans="1:10" x14ac:dyDescent="0.2">
      <c r="A1297" s="19" t="s">
        <v>7</v>
      </c>
      <c r="B1297" s="5" t="s">
        <v>20</v>
      </c>
      <c r="C1297" s="22">
        <v>10</v>
      </c>
      <c r="D1297" s="4"/>
      <c r="E1297" s="4">
        <v>2.4689999999999999</v>
      </c>
      <c r="F1297" s="4">
        <v>3.5880000000000001</v>
      </c>
      <c r="G1297" s="4">
        <v>5.407</v>
      </c>
      <c r="H1297" s="4">
        <f t="shared" si="99"/>
        <v>0.18115942028985504</v>
      </c>
      <c r="I1297" s="4">
        <f t="shared" si="100"/>
        <v>0</v>
      </c>
      <c r="J1297" s="10">
        <f t="shared" si="98"/>
        <v>0</v>
      </c>
    </row>
    <row r="1298" spans="1:10" x14ac:dyDescent="0.2">
      <c r="A1298" s="20"/>
      <c r="B1298" s="6" t="s">
        <v>21</v>
      </c>
      <c r="C1298" s="23"/>
      <c r="D1298">
        <v>800</v>
      </c>
      <c r="E1298">
        <v>2.4820000000000002</v>
      </c>
      <c r="F1298">
        <v>3.754</v>
      </c>
      <c r="G1298">
        <v>5.55</v>
      </c>
      <c r="H1298">
        <f t="shared" si="99"/>
        <v>0.18273841236014929</v>
      </c>
      <c r="I1298">
        <f t="shared" si="100"/>
        <v>653.80927011188055</v>
      </c>
      <c r="J1298" s="11" t="e">
        <f t="shared" si="98"/>
        <v>#DIV/0!</v>
      </c>
    </row>
    <row r="1299" spans="1:10" x14ac:dyDescent="0.2">
      <c r="A1299" s="25"/>
      <c r="B1299" s="8" t="s">
        <v>22</v>
      </c>
      <c r="C1299" s="26"/>
      <c r="D1299" s="7"/>
      <c r="E1299" s="7">
        <v>2.4700000000000002</v>
      </c>
      <c r="F1299" s="7">
        <v>3.1349999999999998</v>
      </c>
      <c r="G1299" s="7">
        <v>5.0190000000000001</v>
      </c>
      <c r="H1299" s="7">
        <f t="shared" si="99"/>
        <v>0.18692185007974479</v>
      </c>
      <c r="I1299" s="7">
        <f t="shared" si="100"/>
        <v>0</v>
      </c>
      <c r="J1299" s="12" t="e">
        <f t="shared" si="98"/>
        <v>#DIV/0!</v>
      </c>
    </row>
    <row r="1300" spans="1:10" x14ac:dyDescent="0.2">
      <c r="A1300" s="19" t="s">
        <v>8</v>
      </c>
      <c r="B1300" s="5" t="s">
        <v>20</v>
      </c>
      <c r="C1300" s="22">
        <v>10</v>
      </c>
      <c r="D1300" s="4"/>
      <c r="E1300" s="4">
        <v>2.4390000000000001</v>
      </c>
      <c r="F1300" s="4">
        <v>3.7389999999999999</v>
      </c>
      <c r="G1300" s="4">
        <v>5.25</v>
      </c>
      <c r="H1300" s="4">
        <f t="shared" si="99"/>
        <v>0.24819470446643488</v>
      </c>
      <c r="I1300" s="4">
        <f t="shared" si="100"/>
        <v>0</v>
      </c>
      <c r="J1300" s="10">
        <f t="shared" si="98"/>
        <v>0</v>
      </c>
    </row>
    <row r="1301" spans="1:10" x14ac:dyDescent="0.2">
      <c r="A1301" s="20"/>
      <c r="B1301" s="6" t="s">
        <v>21</v>
      </c>
      <c r="C1301" s="23"/>
      <c r="D1301">
        <v>817</v>
      </c>
      <c r="E1301">
        <v>2.4380000000000002</v>
      </c>
      <c r="F1301">
        <v>3.2509999999999999</v>
      </c>
      <c r="G1301">
        <v>5.0890000000000004</v>
      </c>
      <c r="H1301">
        <f t="shared" si="99"/>
        <v>0.18455859735466001</v>
      </c>
      <c r="I1301">
        <f t="shared" si="100"/>
        <v>666.21562596124272</v>
      </c>
      <c r="J1301" s="11" t="e">
        <f t="shared" si="98"/>
        <v>#DIV/0!</v>
      </c>
    </row>
    <row r="1302" spans="1:10" x14ac:dyDescent="0.2">
      <c r="A1302" s="25"/>
      <c r="B1302" s="8" t="s">
        <v>22</v>
      </c>
      <c r="C1302" s="26"/>
      <c r="D1302" s="7"/>
      <c r="E1302" s="7">
        <v>2.44</v>
      </c>
      <c r="F1302" s="7">
        <v>3.3159999999999998</v>
      </c>
      <c r="G1302" s="7">
        <v>5.1459999999999999</v>
      </c>
      <c r="H1302" s="7">
        <f t="shared" si="99"/>
        <v>0.18395657418576594</v>
      </c>
      <c r="I1302" s="7">
        <f t="shared" si="100"/>
        <v>0</v>
      </c>
      <c r="J1302" s="12" t="e">
        <f t="shared" si="98"/>
        <v>#DIV/0!</v>
      </c>
    </row>
    <row r="1303" spans="1:10" x14ac:dyDescent="0.2">
      <c r="A1303" s="19" t="s">
        <v>9</v>
      </c>
      <c r="B1303" s="5" t="s">
        <v>20</v>
      </c>
      <c r="C1303" s="22">
        <v>10</v>
      </c>
      <c r="D1303" s="4"/>
      <c r="E1303" s="4">
        <v>2.4329999999999998</v>
      </c>
      <c r="F1303" s="4">
        <v>3.8490000000000002</v>
      </c>
      <c r="G1303" s="4">
        <v>5.5460000000000003</v>
      </c>
      <c r="H1303" s="4">
        <f t="shared" si="99"/>
        <v>0.1912184983112496</v>
      </c>
      <c r="I1303" s="4">
        <f t="shared" si="100"/>
        <v>0</v>
      </c>
      <c r="J1303" s="10">
        <f t="shared" si="98"/>
        <v>0</v>
      </c>
    </row>
    <row r="1304" spans="1:10" x14ac:dyDescent="0.2">
      <c r="A1304" s="20"/>
      <c r="B1304" s="6" t="s">
        <v>21</v>
      </c>
      <c r="C1304" s="23"/>
      <c r="D1304">
        <v>837</v>
      </c>
      <c r="E1304">
        <v>2.4449999999999998</v>
      </c>
      <c r="F1304">
        <v>3.16</v>
      </c>
      <c r="G1304">
        <v>5</v>
      </c>
      <c r="H1304">
        <f t="shared" si="99"/>
        <v>0.19145569620253164</v>
      </c>
      <c r="I1304">
        <f t="shared" si="100"/>
        <v>676.75158227848101</v>
      </c>
      <c r="J1304" s="11" t="e">
        <f t="shared" si="98"/>
        <v>#DIV/0!</v>
      </c>
    </row>
    <row r="1305" spans="1:10" x14ac:dyDescent="0.2">
      <c r="A1305" s="25"/>
      <c r="B1305" s="8" t="s">
        <v>22</v>
      </c>
      <c r="C1305" s="26"/>
      <c r="D1305" s="7"/>
      <c r="E1305" s="7">
        <v>2.403</v>
      </c>
      <c r="F1305" s="7">
        <v>3.7160000000000002</v>
      </c>
      <c r="G1305" s="7">
        <v>5.4649999999999999</v>
      </c>
      <c r="H1305" s="7">
        <f t="shared" si="99"/>
        <v>0.17599569429494089</v>
      </c>
      <c r="I1305" s="7">
        <f t="shared" si="100"/>
        <v>0</v>
      </c>
      <c r="J1305" s="12" t="e">
        <f t="shared" si="98"/>
        <v>#DIV/0!</v>
      </c>
    </row>
    <row r="1306" spans="1:10" x14ac:dyDescent="0.2">
      <c r="A1306" s="19" t="s">
        <v>10</v>
      </c>
      <c r="B1306" s="5" t="s">
        <v>20</v>
      </c>
      <c r="C1306" s="22">
        <v>10</v>
      </c>
      <c r="D1306" s="4"/>
      <c r="E1306" s="4">
        <v>2.452</v>
      </c>
      <c r="F1306" s="4">
        <v>3.4780000000000002</v>
      </c>
      <c r="G1306" s="4">
        <v>5.3109999999999999</v>
      </c>
      <c r="H1306" s="4">
        <f t="shared" si="99"/>
        <v>0.1779758481886142</v>
      </c>
      <c r="I1306" s="4">
        <f t="shared" si="100"/>
        <v>0</v>
      </c>
      <c r="J1306" s="10">
        <f t="shared" si="98"/>
        <v>0</v>
      </c>
    </row>
    <row r="1307" spans="1:10" x14ac:dyDescent="0.2">
      <c r="A1307" s="20"/>
      <c r="B1307" s="6" t="s">
        <v>21</v>
      </c>
      <c r="C1307" s="23"/>
      <c r="D1307">
        <v>759</v>
      </c>
      <c r="E1307">
        <v>2.456</v>
      </c>
      <c r="F1307">
        <v>3.871</v>
      </c>
      <c r="G1307">
        <v>3.726</v>
      </c>
      <c r="H1307">
        <f t="shared" si="99"/>
        <v>0.67191940067166112</v>
      </c>
      <c r="I1307">
        <f t="shared" si="100"/>
        <v>249.0131748902092</v>
      </c>
      <c r="J1307" s="11" t="e">
        <f t="shared" si="98"/>
        <v>#DIV/0!</v>
      </c>
    </row>
    <row r="1308" spans="1:10" x14ac:dyDescent="0.2">
      <c r="A1308" s="25"/>
      <c r="B1308" s="8" t="s">
        <v>22</v>
      </c>
      <c r="C1308" s="26"/>
      <c r="D1308" s="7"/>
      <c r="E1308" s="7">
        <v>2.4510000000000001</v>
      </c>
      <c r="F1308" s="7">
        <v>3.8740000000000001</v>
      </c>
      <c r="G1308" s="7">
        <v>3.6960000000000002</v>
      </c>
      <c r="H1308" s="7">
        <f t="shared" si="99"/>
        <v>0.67862674238513165</v>
      </c>
      <c r="I1308" s="7">
        <f t="shared" si="100"/>
        <v>0</v>
      </c>
      <c r="J1308" s="12" t="e">
        <f t="shared" si="98"/>
        <v>#DIV/0!</v>
      </c>
    </row>
    <row r="1309" spans="1:10" x14ac:dyDescent="0.2">
      <c r="A1309" s="19" t="s">
        <v>11</v>
      </c>
      <c r="B1309" s="5" t="s">
        <v>20</v>
      </c>
      <c r="C1309" s="22">
        <v>10</v>
      </c>
      <c r="D1309" s="4"/>
      <c r="E1309" s="4">
        <v>2.407</v>
      </c>
      <c r="F1309" s="4">
        <v>3.1880000000000002</v>
      </c>
      <c r="G1309" s="4">
        <v>5.1280000000000001</v>
      </c>
      <c r="H1309" s="4">
        <f t="shared" si="99"/>
        <v>0.14648682559598497</v>
      </c>
      <c r="I1309" s="4">
        <f t="shared" si="100"/>
        <v>0</v>
      </c>
      <c r="J1309" s="10">
        <f t="shared" si="98"/>
        <v>0</v>
      </c>
    </row>
    <row r="1310" spans="1:10" x14ac:dyDescent="0.2">
      <c r="A1310" s="20"/>
      <c r="B1310" s="6" t="s">
        <v>21</v>
      </c>
      <c r="C1310" s="23"/>
      <c r="D1310">
        <v>778</v>
      </c>
      <c r="E1310">
        <v>2.4340000000000002</v>
      </c>
      <c r="F1310">
        <v>3.1339999999999999</v>
      </c>
      <c r="G1310">
        <v>5.0860000000000003</v>
      </c>
      <c r="H1310">
        <f t="shared" si="99"/>
        <v>0.15379706445437133</v>
      </c>
      <c r="I1310">
        <f t="shared" si="100"/>
        <v>658.34588385449911</v>
      </c>
      <c r="J1310" s="11" t="e">
        <f t="shared" si="98"/>
        <v>#DIV/0!</v>
      </c>
    </row>
    <row r="1311" spans="1:10" x14ac:dyDescent="0.2">
      <c r="A1311" s="25"/>
      <c r="B1311" s="8" t="s">
        <v>22</v>
      </c>
      <c r="C1311" s="26"/>
      <c r="D1311" s="7"/>
      <c r="E1311" s="7">
        <v>2.4340000000000002</v>
      </c>
      <c r="F1311" s="7">
        <v>3.3180000000000001</v>
      </c>
      <c r="G1311" s="7">
        <v>5.2720000000000002</v>
      </c>
      <c r="H1311" s="7">
        <f t="shared" si="99"/>
        <v>0.14466546112115733</v>
      </c>
      <c r="I1311" s="7">
        <f t="shared" si="100"/>
        <v>0</v>
      </c>
      <c r="J1311" s="12" t="e">
        <f t="shared" si="98"/>
        <v>#DIV/0!</v>
      </c>
    </row>
    <row r="1312" spans="1:10" x14ac:dyDescent="0.2">
      <c r="A1312" s="19" t="s">
        <v>12</v>
      </c>
      <c r="B1312" s="5" t="s">
        <v>20</v>
      </c>
      <c r="C1312" s="22">
        <v>10</v>
      </c>
      <c r="D1312" s="4"/>
      <c r="E1312" s="4">
        <v>2.484</v>
      </c>
      <c r="F1312" s="4">
        <v>3.097</v>
      </c>
      <c r="G1312" s="4">
        <v>5.2089999999999996</v>
      </c>
      <c r="H1312" s="4">
        <f t="shared" si="99"/>
        <v>0.12011624152405564</v>
      </c>
      <c r="I1312" s="4">
        <f t="shared" si="100"/>
        <v>0</v>
      </c>
      <c r="J1312" s="10">
        <f t="shared" si="98"/>
        <v>0</v>
      </c>
    </row>
    <row r="1313" spans="1:10" x14ac:dyDescent="0.2">
      <c r="A1313" s="20"/>
      <c r="B1313" s="6" t="s">
        <v>21</v>
      </c>
      <c r="C1313" s="23"/>
      <c r="D1313">
        <v>742</v>
      </c>
      <c r="E1313">
        <v>2.4380000000000002</v>
      </c>
      <c r="F1313">
        <v>3.0640000000000001</v>
      </c>
      <c r="G1313">
        <v>4.9669999999999996</v>
      </c>
      <c r="H1313">
        <f t="shared" si="99"/>
        <v>0.174608355091384</v>
      </c>
      <c r="I1313">
        <f t="shared" si="100"/>
        <v>612.44060052219311</v>
      </c>
      <c r="J1313" s="11" t="e">
        <f t="shared" si="98"/>
        <v>#DIV/0!</v>
      </c>
    </row>
    <row r="1314" spans="1:10" x14ac:dyDescent="0.2">
      <c r="A1314" s="25"/>
      <c r="B1314" s="8" t="s">
        <v>22</v>
      </c>
      <c r="C1314" s="26"/>
      <c r="D1314" s="7"/>
      <c r="E1314" s="7">
        <v>2.44</v>
      </c>
      <c r="F1314" s="7">
        <v>3.254</v>
      </c>
      <c r="G1314" s="7">
        <v>5.1219999999999999</v>
      </c>
      <c r="H1314" s="7">
        <f t="shared" si="99"/>
        <v>0.17578365089121084</v>
      </c>
      <c r="I1314" s="7">
        <f t="shared" si="100"/>
        <v>0</v>
      </c>
      <c r="J1314" s="12" t="e">
        <f t="shared" si="98"/>
        <v>#DIV/0!</v>
      </c>
    </row>
    <row r="1315" spans="1:10" x14ac:dyDescent="0.2">
      <c r="A1315" s="19" t="s">
        <v>13</v>
      </c>
      <c r="B1315" s="5" t="s">
        <v>20</v>
      </c>
      <c r="C1315" s="22">
        <v>10</v>
      </c>
      <c r="D1315" s="4"/>
      <c r="E1315" s="4"/>
      <c r="F1315" s="4"/>
      <c r="G1315" s="4"/>
      <c r="H1315" s="4" t="e">
        <f t="shared" si="99"/>
        <v>#DIV/0!</v>
      </c>
      <c r="I1315" s="4" t="e">
        <f t="shared" si="100"/>
        <v>#DIV/0!</v>
      </c>
      <c r="J1315" s="10" t="e">
        <f t="shared" si="98"/>
        <v>#DIV/0!</v>
      </c>
    </row>
    <row r="1316" spans="1:10" x14ac:dyDescent="0.2">
      <c r="A1316" s="20"/>
      <c r="B1316" s="6" t="s">
        <v>21</v>
      </c>
      <c r="C1316" s="23"/>
      <c r="H1316" t="e">
        <f t="shared" si="99"/>
        <v>#DIV/0!</v>
      </c>
      <c r="I1316" t="e">
        <f t="shared" si="100"/>
        <v>#DIV/0!</v>
      </c>
      <c r="J1316" s="11" t="e">
        <f t="shared" si="98"/>
        <v>#DIV/0!</v>
      </c>
    </row>
    <row r="1317" spans="1:10" x14ac:dyDescent="0.2">
      <c r="A1317" s="25"/>
      <c r="B1317" s="8" t="s">
        <v>22</v>
      </c>
      <c r="C1317" s="26"/>
      <c r="D1317" s="7"/>
      <c r="E1317" s="7"/>
      <c r="F1317" s="7"/>
      <c r="G1317" s="7"/>
      <c r="H1317" s="7" t="e">
        <f t="shared" si="99"/>
        <v>#DIV/0!</v>
      </c>
      <c r="I1317" s="7" t="e">
        <f t="shared" si="100"/>
        <v>#DIV/0!</v>
      </c>
      <c r="J1317" s="12" t="e">
        <f t="shared" si="98"/>
        <v>#DIV/0!</v>
      </c>
    </row>
    <row r="1318" spans="1:10" x14ac:dyDescent="0.2">
      <c r="A1318" s="19" t="s">
        <v>14</v>
      </c>
      <c r="B1318" s="5" t="s">
        <v>20</v>
      </c>
      <c r="C1318" s="22">
        <v>10</v>
      </c>
      <c r="D1318" s="4"/>
      <c r="E1318" s="4"/>
      <c r="F1318" s="4"/>
      <c r="G1318" s="4"/>
      <c r="H1318" s="4" t="e">
        <f t="shared" si="99"/>
        <v>#DIV/0!</v>
      </c>
      <c r="I1318" s="4" t="e">
        <f t="shared" si="100"/>
        <v>#DIV/0!</v>
      </c>
      <c r="J1318" s="10" t="e">
        <f t="shared" si="98"/>
        <v>#DIV/0!</v>
      </c>
    </row>
    <row r="1319" spans="1:10" x14ac:dyDescent="0.2">
      <c r="A1319" s="20"/>
      <c r="B1319" s="6" t="s">
        <v>21</v>
      </c>
      <c r="C1319" s="23"/>
      <c r="H1319" t="e">
        <f t="shared" si="99"/>
        <v>#DIV/0!</v>
      </c>
      <c r="I1319" t="e">
        <f t="shared" si="100"/>
        <v>#DIV/0!</v>
      </c>
      <c r="J1319" s="11" t="e">
        <f t="shared" si="98"/>
        <v>#DIV/0!</v>
      </c>
    </row>
    <row r="1320" spans="1:10" ht="16" thickBot="1" x14ac:dyDescent="0.25">
      <c r="A1320" s="21"/>
      <c r="B1320" s="15" t="s">
        <v>22</v>
      </c>
      <c r="C1320" s="24"/>
      <c r="D1320" s="13"/>
      <c r="E1320" s="13"/>
      <c r="F1320" s="13"/>
      <c r="G1320" s="13"/>
      <c r="H1320" s="13" t="e">
        <f t="shared" si="99"/>
        <v>#DIV/0!</v>
      </c>
      <c r="I1320" s="13" t="e">
        <f t="shared" si="100"/>
        <v>#DIV/0!</v>
      </c>
      <c r="J1320" s="14" t="e">
        <f t="shared" si="98"/>
        <v>#DIV/0!</v>
      </c>
    </row>
    <row r="1321" spans="1:10" ht="16" thickBot="1" x14ac:dyDescent="0.25">
      <c r="A1321" s="44" t="s">
        <v>1</v>
      </c>
      <c r="B1321" s="33"/>
      <c r="C1321" s="33"/>
      <c r="D1321" s="33" t="s">
        <v>49</v>
      </c>
      <c r="E1321" s="34"/>
      <c r="F1321" s="9" t="s">
        <v>0</v>
      </c>
      <c r="G1321" s="18">
        <v>44156</v>
      </c>
      <c r="H1321" s="35" t="s">
        <v>24</v>
      </c>
      <c r="I1321" s="36"/>
      <c r="J1321" s="1">
        <v>110</v>
      </c>
    </row>
    <row r="1322" spans="1:10" ht="16" thickBot="1" x14ac:dyDescent="0.25">
      <c r="A1322" s="37" t="s">
        <v>2</v>
      </c>
      <c r="B1322" s="38"/>
      <c r="C1322" s="38"/>
      <c r="D1322" s="38"/>
      <c r="E1322" s="39"/>
      <c r="F1322" s="40"/>
      <c r="G1322" s="41"/>
      <c r="H1322" s="42" t="s">
        <v>25</v>
      </c>
      <c r="I1322" s="43"/>
      <c r="J1322" s="2">
        <v>25</v>
      </c>
    </row>
    <row r="1323" spans="1:10" ht="16" thickBot="1" x14ac:dyDescent="0.25">
      <c r="A1323" s="45" t="s">
        <v>27</v>
      </c>
      <c r="B1323" s="27"/>
      <c r="C1323" s="27"/>
      <c r="D1323" s="27" t="s">
        <v>33</v>
      </c>
      <c r="E1323" s="28"/>
      <c r="F1323" s="16" t="s">
        <v>30</v>
      </c>
      <c r="G1323" s="16">
        <v>3.81</v>
      </c>
      <c r="H1323" s="29" t="s">
        <v>26</v>
      </c>
      <c r="I1323" s="30"/>
      <c r="J1323" s="3">
        <v>40</v>
      </c>
    </row>
    <row r="1324" spans="1:10" x14ac:dyDescent="0.2">
      <c r="A1324" s="31"/>
      <c r="B1324" s="32"/>
      <c r="C1324" s="16" t="s">
        <v>29</v>
      </c>
      <c r="D1324" s="16" t="s">
        <v>19</v>
      </c>
      <c r="E1324" s="16" t="s">
        <v>15</v>
      </c>
      <c r="F1324" s="16" t="s">
        <v>18</v>
      </c>
      <c r="G1324" s="16" t="s">
        <v>17</v>
      </c>
      <c r="H1324" s="16" t="s">
        <v>28</v>
      </c>
      <c r="I1324" s="16" t="s">
        <v>16</v>
      </c>
      <c r="J1324" s="17" t="s">
        <v>23</v>
      </c>
    </row>
    <row r="1325" spans="1:10" x14ac:dyDescent="0.2">
      <c r="A1325" s="19" t="s">
        <v>3</v>
      </c>
      <c r="B1325" s="5" t="s">
        <v>20</v>
      </c>
      <c r="C1325" s="22">
        <v>10</v>
      </c>
      <c r="D1325" s="4">
        <v>2.4380000000000002</v>
      </c>
      <c r="E1325" s="4">
        <v>3.161</v>
      </c>
      <c r="F1325" s="4">
        <v>4.8550000000000004</v>
      </c>
      <c r="G1325" s="4"/>
      <c r="H1325" s="4">
        <f>(F1325-(G1325-E1325))/F1325</f>
        <v>1.6510813594232749</v>
      </c>
      <c r="I1325" s="4">
        <f>D1325-H1325*D1325</f>
        <v>-1.5873363542739445</v>
      </c>
      <c r="J1325" s="10">
        <f t="shared" ref="J1325:J1360" si="101">I1325/($G$3^2*C1325*PI())</f>
        <v>-3.4807204019284277E-3</v>
      </c>
    </row>
    <row r="1326" spans="1:10" x14ac:dyDescent="0.2">
      <c r="A1326" s="20"/>
      <c r="B1326" s="6" t="s">
        <v>21</v>
      </c>
      <c r="C1326" s="23"/>
      <c r="D1326">
        <v>2.4300000000000002</v>
      </c>
      <c r="E1326">
        <v>3.367</v>
      </c>
      <c r="F1326">
        <v>5.0199999999999996</v>
      </c>
      <c r="H1326">
        <f t="shared" ref="H1326:H1360" si="102">(F1326-(G1326-E1326))/F1326</f>
        <v>1.6707171314741038</v>
      </c>
      <c r="I1326">
        <f t="shared" ref="I1326:I1360" si="103">D1326-H1326*D1326</f>
        <v>-1.6298426294820723</v>
      </c>
      <c r="J1326" s="11" t="e">
        <f t="shared" si="101"/>
        <v>#DIV/0!</v>
      </c>
    </row>
    <row r="1327" spans="1:10" x14ac:dyDescent="0.2">
      <c r="A1327" s="25"/>
      <c r="B1327" s="8" t="s">
        <v>22</v>
      </c>
      <c r="C1327" s="26"/>
      <c r="D1327" s="7">
        <v>2.4430000000000001</v>
      </c>
      <c r="E1327" s="7">
        <v>3.3220000000000001</v>
      </c>
      <c r="F1327" s="7">
        <v>5.03</v>
      </c>
      <c r="G1327" s="7"/>
      <c r="H1327" s="7">
        <f t="shared" si="102"/>
        <v>1.6604373757455269</v>
      </c>
      <c r="I1327" s="7">
        <f t="shared" si="103"/>
        <v>-1.613448508946322</v>
      </c>
      <c r="J1327" s="12" t="e">
        <f t="shared" si="101"/>
        <v>#DIV/0!</v>
      </c>
    </row>
    <row r="1328" spans="1:10" x14ac:dyDescent="0.2">
      <c r="A1328" s="19" t="s">
        <v>4</v>
      </c>
      <c r="B1328" s="5" t="s">
        <v>20</v>
      </c>
      <c r="C1328" s="23">
        <v>10</v>
      </c>
      <c r="D1328">
        <v>2.468</v>
      </c>
      <c r="E1328">
        <v>3.7029999999999998</v>
      </c>
      <c r="F1328">
        <v>5.4409999999999998</v>
      </c>
      <c r="H1328" s="4">
        <f t="shared" si="102"/>
        <v>1.6805734240029406</v>
      </c>
      <c r="I1328" s="4">
        <f t="shared" si="103"/>
        <v>-1.6796552104392575</v>
      </c>
      <c r="J1328" s="10">
        <f t="shared" si="101"/>
        <v>-3.6831577273712017E-3</v>
      </c>
    </row>
    <row r="1329" spans="1:10" x14ac:dyDescent="0.2">
      <c r="A1329" s="20"/>
      <c r="B1329" s="6" t="s">
        <v>21</v>
      </c>
      <c r="C1329" s="23"/>
      <c r="D1329">
        <v>2.4329999999999998</v>
      </c>
      <c r="E1329">
        <v>3.3479999999999999</v>
      </c>
      <c r="F1329">
        <v>5.1109999999999998</v>
      </c>
      <c r="H1329">
        <f t="shared" si="102"/>
        <v>1.6550577186460576</v>
      </c>
      <c r="I1329">
        <f t="shared" si="103"/>
        <v>-1.5937554294658582</v>
      </c>
      <c r="J1329" s="11" t="e">
        <f t="shared" si="101"/>
        <v>#DIV/0!</v>
      </c>
    </row>
    <row r="1330" spans="1:10" x14ac:dyDescent="0.2">
      <c r="A1330" s="25"/>
      <c r="B1330" s="8" t="s">
        <v>22</v>
      </c>
      <c r="C1330" s="26"/>
      <c r="D1330" s="7">
        <v>2.4489999999999998</v>
      </c>
      <c r="E1330" s="7">
        <v>3.4790000000000001</v>
      </c>
      <c r="F1330" s="7">
        <v>5.2409999999999997</v>
      </c>
      <c r="G1330" s="7"/>
      <c r="H1330" s="7">
        <f t="shared" si="102"/>
        <v>1.6638046174394199</v>
      </c>
      <c r="I1330" s="7">
        <f t="shared" si="103"/>
        <v>-1.6256575081091391</v>
      </c>
      <c r="J1330" s="12" t="e">
        <f t="shared" si="101"/>
        <v>#DIV/0!</v>
      </c>
    </row>
    <row r="1331" spans="1:10" x14ac:dyDescent="0.2">
      <c r="A1331" s="19" t="s">
        <v>5</v>
      </c>
      <c r="B1331" s="5" t="s">
        <v>20</v>
      </c>
      <c r="C1331" s="22">
        <v>10</v>
      </c>
      <c r="D1331" s="4">
        <v>2.4620000000000002</v>
      </c>
      <c r="E1331" s="4">
        <v>3.383</v>
      </c>
      <c r="F1331" s="4">
        <v>5.2519999999999998</v>
      </c>
      <c r="G1331" s="4"/>
      <c r="H1331" s="4">
        <f t="shared" si="102"/>
        <v>1.6441355674028941</v>
      </c>
      <c r="I1331" s="4">
        <f t="shared" si="103"/>
        <v>-1.5858617669459254</v>
      </c>
      <c r="J1331" s="10">
        <f t="shared" si="101"/>
        <v>-3.4774869182478949E-3</v>
      </c>
    </row>
    <row r="1332" spans="1:10" x14ac:dyDescent="0.2">
      <c r="A1332" s="20"/>
      <c r="B1332" s="6" t="s">
        <v>21</v>
      </c>
      <c r="C1332" s="23"/>
      <c r="D1332">
        <v>2.448</v>
      </c>
      <c r="E1332">
        <v>3.121</v>
      </c>
      <c r="F1332">
        <v>5.0979999999999999</v>
      </c>
      <c r="H1332">
        <f t="shared" si="102"/>
        <v>1.612200863083562</v>
      </c>
      <c r="I1332">
        <f t="shared" si="103"/>
        <v>-1.4986677128285599</v>
      </c>
      <c r="J1332" s="11" t="e">
        <f t="shared" si="101"/>
        <v>#DIV/0!</v>
      </c>
    </row>
    <row r="1333" spans="1:10" x14ac:dyDescent="0.2">
      <c r="A1333" s="25"/>
      <c r="B1333" s="8" t="s">
        <v>22</v>
      </c>
      <c r="C1333" s="26"/>
      <c r="D1333" s="7">
        <v>2.4390000000000001</v>
      </c>
      <c r="E1333" s="7">
        <v>3.5830000000000002</v>
      </c>
      <c r="F1333" s="7">
        <v>5.4169999999999998</v>
      </c>
      <c r="G1333" s="7"/>
      <c r="H1333" s="7">
        <f t="shared" si="102"/>
        <v>1.6614362193095811</v>
      </c>
      <c r="I1333" s="7">
        <f t="shared" si="103"/>
        <v>-1.6132429388960681</v>
      </c>
      <c r="J1333" s="12" t="e">
        <f t="shared" si="101"/>
        <v>#DIV/0!</v>
      </c>
    </row>
    <row r="1334" spans="1:10" x14ac:dyDescent="0.2">
      <c r="A1334" s="19" t="s">
        <v>6</v>
      </c>
      <c r="B1334" s="5" t="s">
        <v>20</v>
      </c>
      <c r="C1334" s="22">
        <v>10</v>
      </c>
      <c r="D1334" s="4">
        <v>2.4260000000000002</v>
      </c>
      <c r="E1334" s="4">
        <v>3.2160000000000002</v>
      </c>
      <c r="F1334" s="4">
        <v>5.0919999999999996</v>
      </c>
      <c r="G1334" s="4"/>
      <c r="H1334" s="4">
        <f t="shared" si="102"/>
        <v>1.6315789473684212</v>
      </c>
      <c r="I1334" s="4">
        <f t="shared" si="103"/>
        <v>-1.5322105263157901</v>
      </c>
      <c r="J1334" s="10">
        <f t="shared" si="101"/>
        <v>-3.3598401653418286E-3</v>
      </c>
    </row>
    <row r="1335" spans="1:10" x14ac:dyDescent="0.2">
      <c r="A1335" s="20"/>
      <c r="B1335" s="6" t="s">
        <v>21</v>
      </c>
      <c r="C1335" s="23"/>
      <c r="D1335">
        <v>2.4329999999999998</v>
      </c>
      <c r="E1335">
        <v>3.0830000000000002</v>
      </c>
      <c r="F1335">
        <v>5.0570000000000004</v>
      </c>
      <c r="H1335">
        <f t="shared" si="102"/>
        <v>1.609649990112715</v>
      </c>
      <c r="I1335">
        <f t="shared" si="103"/>
        <v>-1.4832784259442358</v>
      </c>
      <c r="J1335" s="11" t="e">
        <f t="shared" si="101"/>
        <v>#DIV/0!</v>
      </c>
    </row>
    <row r="1336" spans="1:10" x14ac:dyDescent="0.2">
      <c r="A1336" s="25"/>
      <c r="B1336" s="8" t="s">
        <v>22</v>
      </c>
      <c r="C1336" s="26"/>
      <c r="D1336" s="7">
        <v>2.4009999999999998</v>
      </c>
      <c r="E1336" s="7">
        <v>3.032</v>
      </c>
      <c r="F1336" s="7">
        <v>5.9649999999999999</v>
      </c>
      <c r="G1336" s="7"/>
      <c r="H1336" s="7">
        <f t="shared" si="102"/>
        <v>1.5082984073763621</v>
      </c>
      <c r="I1336" s="7">
        <f t="shared" si="103"/>
        <v>-1.2204244761106455</v>
      </c>
      <c r="J1336" s="12" t="e">
        <f t="shared" si="101"/>
        <v>#DIV/0!</v>
      </c>
    </row>
    <row r="1337" spans="1:10" x14ac:dyDescent="0.2">
      <c r="A1337" s="19" t="s">
        <v>7</v>
      </c>
      <c r="B1337" s="5" t="s">
        <v>20</v>
      </c>
      <c r="C1337" s="22">
        <v>10</v>
      </c>
      <c r="D1337" s="4">
        <v>2.4769999999999999</v>
      </c>
      <c r="E1337" s="4">
        <v>3.2370000000000001</v>
      </c>
      <c r="F1337" s="4">
        <v>5.0739999999999998</v>
      </c>
      <c r="G1337" s="4"/>
      <c r="H1337" s="4">
        <f t="shared" si="102"/>
        <v>1.6379582183681514</v>
      </c>
      <c r="I1337" s="4">
        <f t="shared" si="103"/>
        <v>-1.5802225068979108</v>
      </c>
      <c r="J1337" s="10">
        <f t="shared" si="101"/>
        <v>-3.4651211159728739E-3</v>
      </c>
    </row>
    <row r="1338" spans="1:10" x14ac:dyDescent="0.2">
      <c r="A1338" s="20"/>
      <c r="B1338" s="6" t="s">
        <v>21</v>
      </c>
      <c r="C1338" s="23"/>
      <c r="D1338">
        <v>2.4689999999999999</v>
      </c>
      <c r="E1338">
        <v>3.19</v>
      </c>
      <c r="F1338">
        <v>5.0439999999999996</v>
      </c>
      <c r="H1338">
        <f t="shared" si="102"/>
        <v>1.632434575733545</v>
      </c>
      <c r="I1338">
        <f t="shared" si="103"/>
        <v>-1.5614809674861223</v>
      </c>
      <c r="J1338" s="11" t="e">
        <f t="shared" si="101"/>
        <v>#DIV/0!</v>
      </c>
    </row>
    <row r="1339" spans="1:10" x14ac:dyDescent="0.2">
      <c r="A1339" s="25"/>
      <c r="B1339" s="8" t="s">
        <v>22</v>
      </c>
      <c r="C1339" s="26"/>
      <c r="D1339" s="7">
        <v>2.4350000000000001</v>
      </c>
      <c r="E1339" s="7">
        <v>3.177</v>
      </c>
      <c r="F1339" s="7">
        <v>5.0170000000000003</v>
      </c>
      <c r="G1339" s="7"/>
      <c r="H1339" s="7">
        <f t="shared" si="102"/>
        <v>1.6332469603348616</v>
      </c>
      <c r="I1339" s="7">
        <f t="shared" si="103"/>
        <v>-1.541956348415388</v>
      </c>
      <c r="J1339" s="12" t="e">
        <f t="shared" si="101"/>
        <v>#DIV/0!</v>
      </c>
    </row>
    <row r="1340" spans="1:10" x14ac:dyDescent="0.2">
      <c r="A1340" s="19" t="s">
        <v>8</v>
      </c>
      <c r="B1340" s="5" t="s">
        <v>20</v>
      </c>
      <c r="C1340" s="22">
        <v>10</v>
      </c>
      <c r="D1340" s="4">
        <v>2.448</v>
      </c>
      <c r="E1340" s="4">
        <v>3.7949999999999999</v>
      </c>
      <c r="F1340" s="4">
        <v>5.5019999999999998</v>
      </c>
      <c r="G1340" s="4"/>
      <c r="H1340" s="4">
        <f t="shared" si="102"/>
        <v>1.6897491821155946</v>
      </c>
      <c r="I1340" s="4">
        <f t="shared" si="103"/>
        <v>-1.6885059978189756</v>
      </c>
      <c r="J1340" s="10">
        <f t="shared" si="101"/>
        <v>-3.7025657854823681E-3</v>
      </c>
    </row>
    <row r="1341" spans="1:10" x14ac:dyDescent="0.2">
      <c r="A1341" s="20"/>
      <c r="B1341" s="6" t="s">
        <v>21</v>
      </c>
      <c r="C1341" s="23"/>
      <c r="D1341">
        <v>2.4420000000000002</v>
      </c>
      <c r="E1341">
        <v>3.0350000000000001</v>
      </c>
      <c r="F1341">
        <v>4.907</v>
      </c>
      <c r="H1341">
        <f t="shared" si="102"/>
        <v>1.6185041777053188</v>
      </c>
      <c r="I1341">
        <f t="shared" si="103"/>
        <v>-1.5103872019563886</v>
      </c>
      <c r="J1341" s="11" t="e">
        <f t="shared" si="101"/>
        <v>#DIV/0!</v>
      </c>
    </row>
    <row r="1342" spans="1:10" x14ac:dyDescent="0.2">
      <c r="A1342" s="25"/>
      <c r="B1342" s="8" t="s">
        <v>22</v>
      </c>
      <c r="C1342" s="26"/>
      <c r="D1342" s="7">
        <v>2.4359999999999999</v>
      </c>
      <c r="E1342" s="7">
        <v>3.0840000000000001</v>
      </c>
      <c r="F1342" s="7">
        <v>4.9530000000000003</v>
      </c>
      <c r="G1342" s="7"/>
      <c r="H1342" s="7">
        <f t="shared" si="102"/>
        <v>1.6226529376135677</v>
      </c>
      <c r="I1342" s="7">
        <f t="shared" si="103"/>
        <v>-1.5167825560266506</v>
      </c>
      <c r="J1342" s="12" t="e">
        <f t="shared" si="101"/>
        <v>#DIV/0!</v>
      </c>
    </row>
    <row r="1343" spans="1:10" x14ac:dyDescent="0.2">
      <c r="A1343" s="19" t="s">
        <v>9</v>
      </c>
      <c r="B1343" s="5" t="s">
        <v>20</v>
      </c>
      <c r="C1343" s="22">
        <v>10</v>
      </c>
      <c r="D1343" s="4">
        <v>2.4500000000000002</v>
      </c>
      <c r="E1343" s="4">
        <v>3.8490000000000002</v>
      </c>
      <c r="F1343" s="4">
        <v>5.6040000000000001</v>
      </c>
      <c r="G1343" s="4"/>
      <c r="H1343" s="4">
        <f t="shared" si="102"/>
        <v>1.686830835117773</v>
      </c>
      <c r="I1343" s="4">
        <f t="shared" si="103"/>
        <v>-1.6827355460385442</v>
      </c>
      <c r="J1343" s="10">
        <f t="shared" si="101"/>
        <v>-3.6899123052124734E-3</v>
      </c>
    </row>
    <row r="1344" spans="1:10" x14ac:dyDescent="0.2">
      <c r="A1344" s="20"/>
      <c r="B1344" s="6" t="s">
        <v>21</v>
      </c>
      <c r="C1344" s="23"/>
      <c r="D1344">
        <v>2.4689999999999999</v>
      </c>
      <c r="E1344">
        <v>3.085</v>
      </c>
      <c r="F1344">
        <v>4.9630000000000001</v>
      </c>
      <c r="H1344">
        <f t="shared" si="102"/>
        <v>1.6215998388071731</v>
      </c>
      <c r="I1344">
        <f t="shared" si="103"/>
        <v>-1.5347300020149102</v>
      </c>
      <c r="J1344" s="11" t="e">
        <f t="shared" si="101"/>
        <v>#DIV/0!</v>
      </c>
    </row>
    <row r="1345" spans="1:10" x14ac:dyDescent="0.2">
      <c r="A1345" s="25"/>
      <c r="B1345" s="8" t="s">
        <v>22</v>
      </c>
      <c r="C1345" s="26"/>
      <c r="D1345" s="7">
        <v>2.4649999999999999</v>
      </c>
      <c r="E1345" s="7">
        <v>3.4580000000000002</v>
      </c>
      <c r="F1345" s="7">
        <v>5.3609999999999998</v>
      </c>
      <c r="G1345" s="7"/>
      <c r="H1345" s="7">
        <f t="shared" si="102"/>
        <v>1.6450289125163216</v>
      </c>
      <c r="I1345" s="7">
        <f t="shared" si="103"/>
        <v>-1.5899962693527323</v>
      </c>
      <c r="J1345" s="12" t="e">
        <f t="shared" si="101"/>
        <v>#DIV/0!</v>
      </c>
    </row>
    <row r="1346" spans="1:10" x14ac:dyDescent="0.2">
      <c r="A1346" s="19" t="s">
        <v>10</v>
      </c>
      <c r="B1346" s="5" t="s">
        <v>20</v>
      </c>
      <c r="C1346" s="22">
        <v>10</v>
      </c>
      <c r="D1346" s="4">
        <v>2.4409999999999998</v>
      </c>
      <c r="E1346" s="4">
        <v>3.1480000000000001</v>
      </c>
      <c r="F1346" s="4">
        <v>4.91</v>
      </c>
      <c r="G1346" s="4"/>
      <c r="H1346" s="4">
        <f t="shared" si="102"/>
        <v>1.6411405295315682</v>
      </c>
      <c r="I1346" s="4">
        <f t="shared" si="103"/>
        <v>-1.5650240325865576</v>
      </c>
      <c r="J1346" s="10">
        <f t="shared" si="101"/>
        <v>-3.431793812990571E-3</v>
      </c>
    </row>
    <row r="1347" spans="1:10" x14ac:dyDescent="0.2">
      <c r="A1347" s="20"/>
      <c r="B1347" s="6" t="s">
        <v>21</v>
      </c>
      <c r="C1347" s="23"/>
      <c r="D1347">
        <v>2.44</v>
      </c>
      <c r="E1347">
        <v>3.097</v>
      </c>
      <c r="F1347">
        <v>4.8899999999999997</v>
      </c>
      <c r="H1347">
        <f t="shared" si="102"/>
        <v>1.6333333333333335</v>
      </c>
      <c r="I1347">
        <f t="shared" si="103"/>
        <v>-1.5453333333333337</v>
      </c>
      <c r="J1347" s="11" t="e">
        <f t="shared" si="101"/>
        <v>#DIV/0!</v>
      </c>
    </row>
    <row r="1348" spans="1:10" x14ac:dyDescent="0.2">
      <c r="A1348" s="25"/>
      <c r="B1348" s="8" t="s">
        <v>22</v>
      </c>
      <c r="C1348" s="26"/>
      <c r="D1348" s="7">
        <v>2.4390000000000001</v>
      </c>
      <c r="E1348" s="7">
        <v>3.0070000000000001</v>
      </c>
      <c r="F1348" s="7">
        <v>4.8029999999999999</v>
      </c>
      <c r="G1348" s="7"/>
      <c r="H1348" s="7">
        <f t="shared" si="102"/>
        <v>1.6260670414324381</v>
      </c>
      <c r="I1348" s="7">
        <f t="shared" si="103"/>
        <v>-1.5269775140537165</v>
      </c>
      <c r="J1348" s="12" t="e">
        <f t="shared" si="101"/>
        <v>#DIV/0!</v>
      </c>
    </row>
    <row r="1349" spans="1:10" x14ac:dyDescent="0.2">
      <c r="A1349" s="19" t="s">
        <v>11</v>
      </c>
      <c r="B1349" s="5" t="s">
        <v>20</v>
      </c>
      <c r="C1349" s="22">
        <v>10</v>
      </c>
      <c r="D1349" s="4">
        <v>2.4039999999999999</v>
      </c>
      <c r="E1349" s="4">
        <v>3.6389999999999998</v>
      </c>
      <c r="F1349" s="4">
        <v>5.4379999999999997</v>
      </c>
      <c r="G1349" s="4"/>
      <c r="H1349" s="4">
        <f t="shared" si="102"/>
        <v>1.6691798455314455</v>
      </c>
      <c r="I1349" s="4">
        <f t="shared" si="103"/>
        <v>-1.6087083486575953</v>
      </c>
      <c r="J1349" s="10">
        <f t="shared" si="101"/>
        <v>-3.5275850356784053E-3</v>
      </c>
    </row>
    <row r="1350" spans="1:10" x14ac:dyDescent="0.2">
      <c r="A1350" s="20"/>
      <c r="B1350" s="6" t="s">
        <v>21</v>
      </c>
      <c r="C1350" s="23"/>
      <c r="D1350">
        <v>2.4889999999999999</v>
      </c>
      <c r="E1350">
        <v>3.4710000000000001</v>
      </c>
      <c r="F1350">
        <v>5.2750000000000004</v>
      </c>
      <c r="H1350">
        <f t="shared" si="102"/>
        <v>1.6580094786729858</v>
      </c>
      <c r="I1350">
        <f t="shared" si="103"/>
        <v>-1.6377855924170612</v>
      </c>
      <c r="J1350" s="11" t="e">
        <f t="shared" si="101"/>
        <v>#DIV/0!</v>
      </c>
    </row>
    <row r="1351" spans="1:10" x14ac:dyDescent="0.2">
      <c r="A1351" s="25"/>
      <c r="B1351" s="8" t="s">
        <v>22</v>
      </c>
      <c r="C1351" s="26"/>
      <c r="D1351" s="7">
        <v>2.415</v>
      </c>
      <c r="E1351" s="7">
        <v>3.101</v>
      </c>
      <c r="F1351" s="7">
        <v>4.9489999999999998</v>
      </c>
      <c r="G1351" s="7"/>
      <c r="H1351" s="7">
        <f t="shared" si="102"/>
        <v>1.6265912305516268</v>
      </c>
      <c r="I1351" s="7">
        <f t="shared" si="103"/>
        <v>-1.5132178217821788</v>
      </c>
      <c r="J1351" s="12" t="e">
        <f t="shared" si="101"/>
        <v>#DIV/0!</v>
      </c>
    </row>
    <row r="1352" spans="1:10" x14ac:dyDescent="0.2">
      <c r="A1352" s="19" t="s">
        <v>12</v>
      </c>
      <c r="B1352" s="5" t="s">
        <v>20</v>
      </c>
      <c r="C1352" s="22">
        <v>10</v>
      </c>
      <c r="D1352" s="4">
        <v>2.456</v>
      </c>
      <c r="E1352" s="4">
        <v>3.3969999999999998</v>
      </c>
      <c r="F1352" s="4">
        <v>5.2240000000000002</v>
      </c>
      <c r="G1352" s="4"/>
      <c r="H1352" s="4">
        <f t="shared" si="102"/>
        <v>1.6502679938744258</v>
      </c>
      <c r="I1352" s="4">
        <f t="shared" si="103"/>
        <v>-1.5970581929555894</v>
      </c>
      <c r="J1352" s="10">
        <f t="shared" si="101"/>
        <v>-3.5020385064072584E-3</v>
      </c>
    </row>
    <row r="1353" spans="1:10" x14ac:dyDescent="0.2">
      <c r="A1353" s="20"/>
      <c r="B1353" s="6" t="s">
        <v>21</v>
      </c>
      <c r="C1353" s="23"/>
      <c r="D1353">
        <v>2.4590000000000001</v>
      </c>
      <c r="E1353">
        <v>3.0790000000000002</v>
      </c>
      <c r="F1353">
        <v>4.9800000000000004</v>
      </c>
      <c r="H1353">
        <f t="shared" si="102"/>
        <v>1.6182730923694779</v>
      </c>
      <c r="I1353">
        <f t="shared" si="103"/>
        <v>-1.520333534136546</v>
      </c>
      <c r="J1353" s="11" t="e">
        <f t="shared" si="101"/>
        <v>#DIV/0!</v>
      </c>
    </row>
    <row r="1354" spans="1:10" x14ac:dyDescent="0.2">
      <c r="A1354" s="25"/>
      <c r="B1354" s="8" t="s">
        <v>22</v>
      </c>
      <c r="C1354" s="26"/>
      <c r="D1354" s="7">
        <v>2.4300000000000002</v>
      </c>
      <c r="E1354" s="7">
        <v>3.3679999999999999</v>
      </c>
      <c r="F1354" s="7">
        <v>5.2030000000000003</v>
      </c>
      <c r="G1354" s="7"/>
      <c r="H1354" s="7">
        <f t="shared" si="102"/>
        <v>1.647318854507015</v>
      </c>
      <c r="I1354" s="7">
        <f t="shared" si="103"/>
        <v>-1.5729848164520468</v>
      </c>
      <c r="J1354" s="12" t="e">
        <f t="shared" si="101"/>
        <v>#DIV/0!</v>
      </c>
    </row>
    <row r="1355" spans="1:10" x14ac:dyDescent="0.2">
      <c r="A1355" s="19" t="s">
        <v>13</v>
      </c>
      <c r="B1355" s="5" t="s">
        <v>20</v>
      </c>
      <c r="C1355" s="22">
        <v>10</v>
      </c>
      <c r="D1355" s="4">
        <v>2.4060000000000001</v>
      </c>
      <c r="E1355" s="4">
        <v>3.7109999999999999</v>
      </c>
      <c r="F1355" s="4">
        <v>3.4809999999999999</v>
      </c>
      <c r="G1355" s="4"/>
      <c r="H1355" s="4">
        <f t="shared" si="102"/>
        <v>2.066072967538064</v>
      </c>
      <c r="I1355" s="4">
        <f t="shared" si="103"/>
        <v>-2.5649715598965819</v>
      </c>
      <c r="J1355" s="10">
        <f t="shared" si="101"/>
        <v>-5.6244845743370535E-3</v>
      </c>
    </row>
    <row r="1356" spans="1:10" x14ac:dyDescent="0.2">
      <c r="A1356" s="20"/>
      <c r="B1356" s="6" t="s">
        <v>21</v>
      </c>
      <c r="C1356" s="23"/>
      <c r="D1356">
        <v>2.4300000000000002</v>
      </c>
      <c r="E1356">
        <v>3.1320000000000001</v>
      </c>
      <c r="F1356">
        <v>4.7539999999999996</v>
      </c>
      <c r="H1356">
        <f t="shared" si="102"/>
        <v>1.6588136306268406</v>
      </c>
      <c r="I1356">
        <f t="shared" si="103"/>
        <v>-1.600917122423223</v>
      </c>
      <c r="J1356" s="11" t="e">
        <f t="shared" si="101"/>
        <v>#DIV/0!</v>
      </c>
    </row>
    <row r="1357" spans="1:10" x14ac:dyDescent="0.2">
      <c r="A1357" s="25"/>
      <c r="B1357" s="8" t="s">
        <v>22</v>
      </c>
      <c r="C1357" s="26"/>
      <c r="D1357" s="7">
        <v>2.4049999999999998</v>
      </c>
      <c r="E1357" s="7">
        <v>3.0670000000000002</v>
      </c>
      <c r="F1357" s="7">
        <v>4.78</v>
      </c>
      <c r="G1357" s="7"/>
      <c r="H1357" s="7">
        <f t="shared" si="102"/>
        <v>1.6416317991631799</v>
      </c>
      <c r="I1357" s="7">
        <f t="shared" si="103"/>
        <v>-1.5431244769874475</v>
      </c>
      <c r="J1357" s="12" t="e">
        <f t="shared" si="101"/>
        <v>#DIV/0!</v>
      </c>
    </row>
    <row r="1358" spans="1:10" x14ac:dyDescent="0.2">
      <c r="A1358" s="19" t="s">
        <v>14</v>
      </c>
      <c r="B1358" s="5" t="s">
        <v>20</v>
      </c>
      <c r="C1358" s="22">
        <v>10</v>
      </c>
      <c r="D1358" s="4"/>
      <c r="E1358" s="4"/>
      <c r="F1358" s="4"/>
      <c r="G1358" s="4"/>
      <c r="H1358" s="4" t="e">
        <f t="shared" si="102"/>
        <v>#DIV/0!</v>
      </c>
      <c r="I1358" s="4" t="e">
        <f t="shared" si="103"/>
        <v>#DIV/0!</v>
      </c>
      <c r="J1358" s="10" t="e">
        <f t="shared" si="101"/>
        <v>#DIV/0!</v>
      </c>
    </row>
    <row r="1359" spans="1:10" x14ac:dyDescent="0.2">
      <c r="A1359" s="20"/>
      <c r="B1359" s="6" t="s">
        <v>21</v>
      </c>
      <c r="C1359" s="23"/>
      <c r="H1359" t="e">
        <f t="shared" si="102"/>
        <v>#DIV/0!</v>
      </c>
      <c r="I1359" t="e">
        <f t="shared" si="103"/>
        <v>#DIV/0!</v>
      </c>
      <c r="J1359" s="11" t="e">
        <f t="shared" si="101"/>
        <v>#DIV/0!</v>
      </c>
    </row>
    <row r="1360" spans="1:10" ht="16" thickBot="1" x14ac:dyDescent="0.25">
      <c r="A1360" s="21"/>
      <c r="B1360" s="15" t="s">
        <v>22</v>
      </c>
      <c r="C1360" s="24"/>
      <c r="D1360" s="13"/>
      <c r="E1360" s="13"/>
      <c r="F1360" s="13"/>
      <c r="G1360" s="13"/>
      <c r="H1360" s="13" t="e">
        <f t="shared" si="102"/>
        <v>#DIV/0!</v>
      </c>
      <c r="I1360" s="13" t="e">
        <f t="shared" si="103"/>
        <v>#DIV/0!</v>
      </c>
      <c r="J1360" s="14" t="e">
        <f t="shared" si="101"/>
        <v>#DIV/0!</v>
      </c>
    </row>
    <row r="1361" spans="1:10" ht="16" thickBot="1" x14ac:dyDescent="0.25">
      <c r="A1361" s="44" t="s">
        <v>1</v>
      </c>
      <c r="B1361" s="33"/>
      <c r="C1361" s="33"/>
      <c r="D1361" s="33" t="s">
        <v>50</v>
      </c>
      <c r="E1361" s="34"/>
      <c r="F1361" s="9" t="s">
        <v>0</v>
      </c>
      <c r="G1361" s="18">
        <v>44157</v>
      </c>
      <c r="H1361" s="35" t="s">
        <v>24</v>
      </c>
      <c r="I1361" s="36"/>
      <c r="J1361" s="1">
        <v>90</v>
      </c>
    </row>
    <row r="1362" spans="1:10" ht="16" thickBot="1" x14ac:dyDescent="0.25">
      <c r="A1362" s="37" t="s">
        <v>2</v>
      </c>
      <c r="B1362" s="38"/>
      <c r="C1362" s="38"/>
      <c r="D1362" s="38"/>
      <c r="E1362" s="39"/>
      <c r="F1362" s="40"/>
      <c r="G1362" s="41"/>
      <c r="H1362" s="42" t="s">
        <v>25</v>
      </c>
      <c r="I1362" s="43"/>
      <c r="J1362" s="2">
        <v>30</v>
      </c>
    </row>
    <row r="1363" spans="1:10" ht="16" thickBot="1" x14ac:dyDescent="0.25">
      <c r="A1363" s="45" t="s">
        <v>27</v>
      </c>
      <c r="B1363" s="27"/>
      <c r="C1363" s="27"/>
      <c r="D1363" s="27" t="s">
        <v>36</v>
      </c>
      <c r="E1363" s="28"/>
      <c r="F1363" s="16" t="s">
        <v>30</v>
      </c>
      <c r="G1363" s="16">
        <v>3.81</v>
      </c>
      <c r="H1363" s="29" t="s">
        <v>26</v>
      </c>
      <c r="I1363" s="30"/>
      <c r="J1363" s="3">
        <v>50</v>
      </c>
    </row>
    <row r="1364" spans="1:10" x14ac:dyDescent="0.2">
      <c r="A1364" s="31"/>
      <c r="B1364" s="32"/>
      <c r="C1364" s="16" t="s">
        <v>29</v>
      </c>
      <c r="D1364" s="16" t="s">
        <v>19</v>
      </c>
      <c r="E1364" s="16" t="s">
        <v>15</v>
      </c>
      <c r="F1364" s="16" t="s">
        <v>18</v>
      </c>
      <c r="G1364" s="16" t="s">
        <v>17</v>
      </c>
      <c r="H1364" s="16" t="s">
        <v>28</v>
      </c>
      <c r="I1364" s="16" t="s">
        <v>16</v>
      </c>
      <c r="J1364" s="17" t="s">
        <v>23</v>
      </c>
    </row>
    <row r="1365" spans="1:10" x14ac:dyDescent="0.2">
      <c r="A1365" s="19" t="s">
        <v>3</v>
      </c>
      <c r="B1365" s="5" t="s">
        <v>20</v>
      </c>
      <c r="C1365" s="22">
        <v>10</v>
      </c>
      <c r="D1365" s="4"/>
      <c r="E1365" s="4">
        <v>2.4359999999999999</v>
      </c>
      <c r="F1365" s="4">
        <v>3.2120000000000002</v>
      </c>
      <c r="G1365" s="4">
        <v>5.2329999999999997</v>
      </c>
      <c r="H1365" s="4">
        <f>(F1365-(G1365-E1365))/F1365</f>
        <v>0.12920298879203004</v>
      </c>
      <c r="I1365" s="4">
        <f>D1365-H1365*D1365</f>
        <v>0</v>
      </c>
      <c r="J1365" s="10">
        <f t="shared" ref="J1365:J1400" si="104">I1365/($G$3^2*C1365*PI())</f>
        <v>0</v>
      </c>
    </row>
    <row r="1366" spans="1:10" x14ac:dyDescent="0.2">
      <c r="A1366" s="20"/>
      <c r="B1366" s="6" t="s">
        <v>21</v>
      </c>
      <c r="C1366" s="23"/>
      <c r="D1366">
        <v>444</v>
      </c>
      <c r="E1366">
        <v>2.2320000000000002</v>
      </c>
      <c r="F1366">
        <v>3.073</v>
      </c>
      <c r="G1366">
        <v>5.0549999999999997</v>
      </c>
      <c r="H1366">
        <f t="shared" ref="H1366:H1400" si="105">(F1366-(G1366-E1366))/F1366</f>
        <v>8.135372600065098E-2</v>
      </c>
      <c r="I1366">
        <f t="shared" ref="I1366:I1400" si="106">D1366-H1366*D1366</f>
        <v>407.87894565571094</v>
      </c>
      <c r="J1366" s="11" t="e">
        <f t="shared" si="104"/>
        <v>#DIV/0!</v>
      </c>
    </row>
    <row r="1367" spans="1:10" x14ac:dyDescent="0.2">
      <c r="A1367" s="25"/>
      <c r="B1367" s="8" t="s">
        <v>22</v>
      </c>
      <c r="C1367" s="26"/>
      <c r="D1367" s="7"/>
      <c r="E1367" s="7">
        <v>2.4359999999999999</v>
      </c>
      <c r="F1367" s="7">
        <v>3.0209999999999999</v>
      </c>
      <c r="G1367" s="7">
        <v>5.0620000000000003</v>
      </c>
      <c r="H1367" s="7">
        <f t="shared" si="105"/>
        <v>0.13075140681893399</v>
      </c>
      <c r="I1367" s="7">
        <f t="shared" si="106"/>
        <v>0</v>
      </c>
      <c r="J1367" s="12" t="e">
        <f t="shared" si="104"/>
        <v>#DIV/0!</v>
      </c>
    </row>
    <row r="1368" spans="1:10" x14ac:dyDescent="0.2">
      <c r="A1368" s="19" t="s">
        <v>4</v>
      </c>
      <c r="B1368" s="5" t="s">
        <v>20</v>
      </c>
      <c r="C1368" s="23">
        <v>10</v>
      </c>
      <c r="E1368">
        <v>2.4409999999999998</v>
      </c>
      <c r="F1368">
        <v>3.6219999999999999</v>
      </c>
      <c r="G1368">
        <v>5.5250000000000004</v>
      </c>
      <c r="H1368" s="4">
        <f t="shared" si="105"/>
        <v>0.14853672004417431</v>
      </c>
      <c r="I1368" s="4">
        <f t="shared" si="106"/>
        <v>0</v>
      </c>
      <c r="J1368" s="10">
        <f t="shared" si="104"/>
        <v>0</v>
      </c>
    </row>
    <row r="1369" spans="1:10" x14ac:dyDescent="0.2">
      <c r="A1369" s="20"/>
      <c r="B1369" s="6" t="s">
        <v>21</v>
      </c>
      <c r="C1369" s="23"/>
      <c r="D1369">
        <v>688</v>
      </c>
      <c r="E1369">
        <v>2.4369999999999998</v>
      </c>
      <c r="F1369">
        <v>3.093</v>
      </c>
      <c r="G1369">
        <v>5.0869999999999997</v>
      </c>
      <c r="H1369">
        <f t="shared" si="105"/>
        <v>0.14322664080181055</v>
      </c>
      <c r="I1369">
        <f t="shared" si="106"/>
        <v>589.46007112835434</v>
      </c>
      <c r="J1369" s="11" t="e">
        <f t="shared" si="104"/>
        <v>#DIV/0!</v>
      </c>
    </row>
    <row r="1370" spans="1:10" x14ac:dyDescent="0.2">
      <c r="A1370" s="25"/>
      <c r="B1370" s="8" t="s">
        <v>22</v>
      </c>
      <c r="C1370" s="26"/>
      <c r="D1370" s="7"/>
      <c r="E1370" s="7">
        <v>2.4470000000000001</v>
      </c>
      <c r="F1370" s="7">
        <v>3.0579999999999998</v>
      </c>
      <c r="G1370" s="7">
        <v>5.0030000000000001</v>
      </c>
      <c r="H1370" s="7">
        <f t="shared" si="105"/>
        <v>0.16415958142576842</v>
      </c>
      <c r="I1370" s="7">
        <f t="shared" si="106"/>
        <v>0</v>
      </c>
      <c r="J1370" s="12" t="e">
        <f t="shared" si="104"/>
        <v>#DIV/0!</v>
      </c>
    </row>
    <row r="1371" spans="1:10" x14ac:dyDescent="0.2">
      <c r="A1371" s="19" t="s">
        <v>5</v>
      </c>
      <c r="B1371" s="5" t="s">
        <v>20</v>
      </c>
      <c r="C1371" s="22">
        <v>10</v>
      </c>
      <c r="D1371" s="4"/>
      <c r="E1371" s="4">
        <v>2.4470000000000001</v>
      </c>
      <c r="F1371" s="4">
        <v>3.5129999999999999</v>
      </c>
      <c r="G1371" s="4">
        <v>5.4729999999999999</v>
      </c>
      <c r="H1371" s="4">
        <f t="shared" si="105"/>
        <v>0.13862795331625394</v>
      </c>
      <c r="I1371" s="4">
        <f t="shared" si="106"/>
        <v>0</v>
      </c>
      <c r="J1371" s="10">
        <f t="shared" si="104"/>
        <v>0</v>
      </c>
    </row>
    <row r="1372" spans="1:10" x14ac:dyDescent="0.2">
      <c r="A1372" s="20"/>
      <c r="B1372" s="6" t="s">
        <v>21</v>
      </c>
      <c r="C1372" s="23"/>
      <c r="D1372">
        <v>706</v>
      </c>
      <c r="E1372">
        <v>2.4609999999999999</v>
      </c>
      <c r="F1372">
        <v>3.5939999999999999</v>
      </c>
      <c r="G1372">
        <v>5.6449999999999996</v>
      </c>
      <c r="H1372">
        <f t="shared" si="105"/>
        <v>0.11407902058987206</v>
      </c>
      <c r="I1372">
        <f t="shared" si="106"/>
        <v>625.46021146355031</v>
      </c>
      <c r="J1372" s="11" t="e">
        <f t="shared" si="104"/>
        <v>#DIV/0!</v>
      </c>
    </row>
    <row r="1373" spans="1:10" x14ac:dyDescent="0.2">
      <c r="A1373" s="25"/>
      <c r="B1373" s="8" t="s">
        <v>22</v>
      </c>
      <c r="C1373" s="26"/>
      <c r="D1373" s="7"/>
      <c r="E1373" s="7">
        <v>2.4260000000000002</v>
      </c>
      <c r="F1373" s="7">
        <v>3.0630000000000002</v>
      </c>
      <c r="G1373" s="7">
        <v>5.077</v>
      </c>
      <c r="H1373" s="7">
        <f t="shared" si="105"/>
        <v>0.13450865164871054</v>
      </c>
      <c r="I1373" s="7">
        <f t="shared" si="106"/>
        <v>0</v>
      </c>
      <c r="J1373" s="12" t="e">
        <f t="shared" si="104"/>
        <v>#DIV/0!</v>
      </c>
    </row>
    <row r="1374" spans="1:10" x14ac:dyDescent="0.2">
      <c r="A1374" s="19" t="s">
        <v>6</v>
      </c>
      <c r="B1374" s="5" t="s">
        <v>20</v>
      </c>
      <c r="C1374" s="22">
        <v>10</v>
      </c>
      <c r="D1374" s="4"/>
      <c r="E1374" s="4">
        <v>2.4609999999999999</v>
      </c>
      <c r="F1374" s="4">
        <v>3.3279999999999998</v>
      </c>
      <c r="G1374" s="4">
        <v>5.4969999999999999</v>
      </c>
      <c r="H1374" s="4">
        <f t="shared" si="105"/>
        <v>8.7740384615384567E-2</v>
      </c>
      <c r="I1374" s="4">
        <f t="shared" si="106"/>
        <v>0</v>
      </c>
      <c r="J1374" s="10">
        <f t="shared" si="104"/>
        <v>0</v>
      </c>
    </row>
    <row r="1375" spans="1:10" x14ac:dyDescent="0.2">
      <c r="A1375" s="20"/>
      <c r="B1375" s="6" t="s">
        <v>21</v>
      </c>
      <c r="C1375" s="23"/>
      <c r="D1375">
        <v>797</v>
      </c>
      <c r="E1375">
        <v>2.4780000000000002</v>
      </c>
      <c r="F1375">
        <v>3.1890000000000001</v>
      </c>
      <c r="G1375">
        <v>5.3540000000000001</v>
      </c>
      <c r="H1375">
        <f t="shared" si="105"/>
        <v>9.8149890247726607E-2</v>
      </c>
      <c r="I1375">
        <f t="shared" si="106"/>
        <v>718.77453747256186</v>
      </c>
      <c r="J1375" s="11" t="e">
        <f t="shared" si="104"/>
        <v>#DIV/0!</v>
      </c>
    </row>
    <row r="1376" spans="1:10" x14ac:dyDescent="0.2">
      <c r="A1376" s="25"/>
      <c r="B1376" s="8" t="s">
        <v>22</v>
      </c>
      <c r="C1376" s="26"/>
      <c r="D1376" s="7"/>
      <c r="E1376" s="7">
        <v>2.4500000000000002</v>
      </c>
      <c r="F1376" s="7">
        <v>3.2559999999999998</v>
      </c>
      <c r="G1376" s="7">
        <v>5.38</v>
      </c>
      <c r="H1376" s="7">
        <f t="shared" si="105"/>
        <v>0.10012285012285015</v>
      </c>
      <c r="I1376" s="7">
        <f t="shared" si="106"/>
        <v>0</v>
      </c>
      <c r="J1376" s="12" t="e">
        <f t="shared" si="104"/>
        <v>#DIV/0!</v>
      </c>
    </row>
    <row r="1377" spans="1:10" x14ac:dyDescent="0.2">
      <c r="A1377" s="19" t="s">
        <v>7</v>
      </c>
      <c r="B1377" s="5" t="s">
        <v>20</v>
      </c>
      <c r="C1377" s="22">
        <v>10</v>
      </c>
      <c r="D1377" s="4"/>
      <c r="E1377" s="4">
        <v>2.4119999999999999</v>
      </c>
      <c r="F1377" s="4">
        <v>3.7189999999999999</v>
      </c>
      <c r="G1377" s="4">
        <v>5.8529999999999998</v>
      </c>
      <c r="H1377" s="4">
        <f t="shared" si="105"/>
        <v>7.4751277225060503E-2</v>
      </c>
      <c r="I1377" s="4">
        <f t="shared" si="106"/>
        <v>0</v>
      </c>
      <c r="J1377" s="10">
        <f t="shared" si="104"/>
        <v>0</v>
      </c>
    </row>
    <row r="1378" spans="1:10" x14ac:dyDescent="0.2">
      <c r="A1378" s="20"/>
      <c r="B1378" s="6" t="s">
        <v>21</v>
      </c>
      <c r="C1378" s="23"/>
      <c r="D1378">
        <v>859</v>
      </c>
      <c r="E1378">
        <v>2.4550000000000001</v>
      </c>
      <c r="F1378">
        <v>3.2650000000000001</v>
      </c>
      <c r="G1378">
        <v>5.4720000000000004</v>
      </c>
      <c r="H1378">
        <f t="shared" si="105"/>
        <v>7.5957120980091816E-2</v>
      </c>
      <c r="I1378">
        <f t="shared" si="106"/>
        <v>793.75283307810116</v>
      </c>
      <c r="J1378" s="11" t="e">
        <f t="shared" si="104"/>
        <v>#DIV/0!</v>
      </c>
    </row>
    <row r="1379" spans="1:10" x14ac:dyDescent="0.2">
      <c r="A1379" s="25"/>
      <c r="B1379" s="8" t="s">
        <v>22</v>
      </c>
      <c r="C1379" s="26"/>
      <c r="D1379" s="7"/>
      <c r="E1379" s="7">
        <v>2.4289999999999998</v>
      </c>
      <c r="F1379" s="7">
        <v>3.4550000000000001</v>
      </c>
      <c r="G1379" s="7">
        <v>5.6230000000000002</v>
      </c>
      <c r="H1379" s="7">
        <f t="shared" si="105"/>
        <v>7.5542691751085286E-2</v>
      </c>
      <c r="I1379" s="7">
        <f t="shared" si="106"/>
        <v>0</v>
      </c>
      <c r="J1379" s="12" t="e">
        <f t="shared" si="104"/>
        <v>#DIV/0!</v>
      </c>
    </row>
    <row r="1380" spans="1:10" x14ac:dyDescent="0.2">
      <c r="A1380" s="19" t="s">
        <v>8</v>
      </c>
      <c r="B1380" s="5" t="s">
        <v>20</v>
      </c>
      <c r="C1380" s="22">
        <v>10</v>
      </c>
      <c r="D1380" s="4"/>
      <c r="E1380" s="4">
        <v>2.4390000000000001</v>
      </c>
      <c r="F1380" s="4">
        <v>3.0640000000000001</v>
      </c>
      <c r="G1380" s="4">
        <v>5.3380000000000001</v>
      </c>
      <c r="H1380" s="4">
        <f t="shared" si="105"/>
        <v>5.3851174934725861E-2</v>
      </c>
      <c r="I1380" s="4">
        <f t="shared" si="106"/>
        <v>0</v>
      </c>
      <c r="J1380" s="10">
        <f t="shared" si="104"/>
        <v>0</v>
      </c>
    </row>
    <row r="1381" spans="1:10" x14ac:dyDescent="0.2">
      <c r="A1381" s="20"/>
      <c r="B1381" s="6" t="s">
        <v>21</v>
      </c>
      <c r="C1381" s="23"/>
      <c r="D1381">
        <v>718</v>
      </c>
      <c r="E1381">
        <v>2.4319999999999999</v>
      </c>
      <c r="F1381">
        <v>3.0089999999999999</v>
      </c>
      <c r="G1381">
        <v>5.2629999999999999</v>
      </c>
      <c r="H1381">
        <f t="shared" si="105"/>
        <v>5.9155865736124941E-2</v>
      </c>
      <c r="I1381">
        <f t="shared" si="106"/>
        <v>675.52608840146229</v>
      </c>
      <c r="J1381" s="11" t="e">
        <f t="shared" si="104"/>
        <v>#DIV/0!</v>
      </c>
    </row>
    <row r="1382" spans="1:10" x14ac:dyDescent="0.2">
      <c r="A1382" s="25"/>
      <c r="B1382" s="8" t="s">
        <v>22</v>
      </c>
      <c r="C1382" s="26"/>
      <c r="D1382" s="7"/>
      <c r="E1382" s="7">
        <v>2.4279999999999999</v>
      </c>
      <c r="F1382" s="7">
        <v>3.1219999999999999</v>
      </c>
      <c r="G1382" s="7">
        <v>5.3680000000000003</v>
      </c>
      <c r="H1382" s="7">
        <f t="shared" si="105"/>
        <v>5.829596412556038E-2</v>
      </c>
      <c r="I1382" s="7">
        <f t="shared" si="106"/>
        <v>0</v>
      </c>
      <c r="J1382" s="12" t="e">
        <f t="shared" si="104"/>
        <v>#DIV/0!</v>
      </c>
    </row>
    <row r="1383" spans="1:10" x14ac:dyDescent="0.2">
      <c r="A1383" s="19" t="s">
        <v>9</v>
      </c>
      <c r="B1383" s="5" t="s">
        <v>20</v>
      </c>
      <c r="C1383" s="22">
        <v>10</v>
      </c>
      <c r="D1383" s="4"/>
      <c r="E1383" s="4">
        <v>2.4340000000000002</v>
      </c>
      <c r="F1383" s="4">
        <v>3.0659999999999998</v>
      </c>
      <c r="G1383" s="4">
        <v>5.298</v>
      </c>
      <c r="H1383" s="4">
        <f t="shared" si="105"/>
        <v>6.5883887801696017E-2</v>
      </c>
      <c r="I1383" s="4">
        <f t="shared" si="106"/>
        <v>0</v>
      </c>
      <c r="J1383" s="10">
        <f t="shared" si="104"/>
        <v>0</v>
      </c>
    </row>
    <row r="1384" spans="1:10" x14ac:dyDescent="0.2">
      <c r="A1384" s="20"/>
      <c r="B1384" s="6" t="s">
        <v>21</v>
      </c>
      <c r="C1384" s="23"/>
      <c r="D1384">
        <v>837</v>
      </c>
      <c r="E1384">
        <v>2.4359999999999999</v>
      </c>
      <c r="F1384">
        <v>3.5329999999999999</v>
      </c>
      <c r="G1384">
        <v>5.7610000000000001</v>
      </c>
      <c r="H1384">
        <f t="shared" si="105"/>
        <v>5.8873478630059366E-2</v>
      </c>
      <c r="I1384">
        <f t="shared" si="106"/>
        <v>787.72289838664028</v>
      </c>
      <c r="J1384" s="11" t="e">
        <f t="shared" si="104"/>
        <v>#DIV/0!</v>
      </c>
    </row>
    <row r="1385" spans="1:10" x14ac:dyDescent="0.2">
      <c r="A1385" s="25"/>
      <c r="B1385" s="8" t="s">
        <v>22</v>
      </c>
      <c r="C1385" s="26"/>
      <c r="D1385" s="7"/>
      <c r="E1385" s="7">
        <v>2.4409999999999998</v>
      </c>
      <c r="F1385" s="7">
        <v>3.0150000000000001</v>
      </c>
      <c r="G1385" s="7">
        <v>5.27</v>
      </c>
      <c r="H1385" s="7">
        <f t="shared" si="105"/>
        <v>6.169154228855734E-2</v>
      </c>
      <c r="I1385" s="7">
        <f t="shared" si="106"/>
        <v>0</v>
      </c>
      <c r="J1385" s="12" t="e">
        <f t="shared" si="104"/>
        <v>#DIV/0!</v>
      </c>
    </row>
    <row r="1386" spans="1:10" x14ac:dyDescent="0.2">
      <c r="A1386" s="19" t="s">
        <v>10</v>
      </c>
      <c r="B1386" s="5" t="s">
        <v>20</v>
      </c>
      <c r="C1386" s="22">
        <v>10</v>
      </c>
      <c r="D1386" s="4"/>
      <c r="E1386" s="4">
        <v>2.4279999999999999</v>
      </c>
      <c r="F1386" s="4">
        <v>3.0750000000000002</v>
      </c>
      <c r="G1386" s="4">
        <v>5.3079999999999998</v>
      </c>
      <c r="H1386" s="4">
        <f t="shared" si="105"/>
        <v>6.3414634146341547E-2</v>
      </c>
      <c r="I1386" s="4">
        <f t="shared" si="106"/>
        <v>0</v>
      </c>
      <c r="J1386" s="10">
        <f t="shared" si="104"/>
        <v>0</v>
      </c>
    </row>
    <row r="1387" spans="1:10" x14ac:dyDescent="0.2">
      <c r="A1387" s="20"/>
      <c r="B1387" s="6" t="s">
        <v>21</v>
      </c>
      <c r="C1387" s="23"/>
      <c r="D1387">
        <v>967</v>
      </c>
      <c r="E1387">
        <v>2.4449999999999998</v>
      </c>
      <c r="F1387">
        <v>3.1549999999999998</v>
      </c>
      <c r="G1387">
        <v>5.3860000000000001</v>
      </c>
      <c r="H1387">
        <f t="shared" si="105"/>
        <v>6.7828843106180522E-2</v>
      </c>
      <c r="I1387">
        <f t="shared" si="106"/>
        <v>901.40950871632344</v>
      </c>
      <c r="J1387" s="11" t="e">
        <f t="shared" si="104"/>
        <v>#DIV/0!</v>
      </c>
    </row>
    <row r="1388" spans="1:10" x14ac:dyDescent="0.2">
      <c r="A1388" s="25"/>
      <c r="B1388" s="8" t="s">
        <v>22</v>
      </c>
      <c r="C1388" s="26"/>
      <c r="D1388" s="7"/>
      <c r="E1388" s="7">
        <v>2.4529999999999998</v>
      </c>
      <c r="F1388" s="7">
        <v>3.3679999999999999</v>
      </c>
      <c r="G1388" s="7">
        <v>5.6020000000000003</v>
      </c>
      <c r="H1388" s="7">
        <f t="shared" si="105"/>
        <v>6.5023752969120968E-2</v>
      </c>
      <c r="I1388" s="7">
        <f t="shared" si="106"/>
        <v>0</v>
      </c>
      <c r="J1388" s="12" t="e">
        <f t="shared" si="104"/>
        <v>#DIV/0!</v>
      </c>
    </row>
    <row r="1389" spans="1:10" x14ac:dyDescent="0.2">
      <c r="A1389" s="19" t="s">
        <v>11</v>
      </c>
      <c r="B1389" s="5" t="s">
        <v>20</v>
      </c>
      <c r="C1389" s="22">
        <v>10</v>
      </c>
      <c r="D1389" s="4"/>
      <c r="E1389" s="4">
        <v>2.4830000000000001</v>
      </c>
      <c r="F1389" s="4">
        <v>3.746</v>
      </c>
      <c r="G1389" s="4">
        <v>5.9749999999999996</v>
      </c>
      <c r="H1389" s="4">
        <f t="shared" si="105"/>
        <v>6.7805659369994775E-2</v>
      </c>
      <c r="I1389" s="4">
        <f t="shared" si="106"/>
        <v>0</v>
      </c>
      <c r="J1389" s="10">
        <f t="shared" si="104"/>
        <v>0</v>
      </c>
    </row>
    <row r="1390" spans="1:10" x14ac:dyDescent="0.2">
      <c r="A1390" s="20"/>
      <c r="B1390" s="6" t="s">
        <v>21</v>
      </c>
      <c r="C1390" s="23"/>
      <c r="D1390">
        <v>743</v>
      </c>
      <c r="E1390">
        <v>2.4860000000000002</v>
      </c>
      <c r="F1390">
        <v>3.74</v>
      </c>
      <c r="G1390">
        <v>5.9790000000000001</v>
      </c>
      <c r="H1390">
        <f t="shared" si="105"/>
        <v>6.6042780748663182E-2</v>
      </c>
      <c r="I1390">
        <f t="shared" si="106"/>
        <v>693.93021390374327</v>
      </c>
      <c r="J1390" s="11" t="e">
        <f t="shared" si="104"/>
        <v>#DIV/0!</v>
      </c>
    </row>
    <row r="1391" spans="1:10" x14ac:dyDescent="0.2">
      <c r="A1391" s="25"/>
      <c r="B1391" s="8" t="s">
        <v>22</v>
      </c>
      <c r="C1391" s="26"/>
      <c r="D1391" s="7"/>
      <c r="E1391" s="7">
        <v>2.4809999999999999</v>
      </c>
      <c r="F1391" s="7">
        <v>3.1850000000000001</v>
      </c>
      <c r="G1391" s="7">
        <v>5.4480000000000004</v>
      </c>
      <c r="H1391" s="7">
        <f t="shared" si="105"/>
        <v>6.8445839874411149E-2</v>
      </c>
      <c r="I1391" s="7">
        <f t="shared" si="106"/>
        <v>0</v>
      </c>
      <c r="J1391" s="12" t="e">
        <f t="shared" si="104"/>
        <v>#DIV/0!</v>
      </c>
    </row>
    <row r="1392" spans="1:10" x14ac:dyDescent="0.2">
      <c r="A1392" s="19" t="s">
        <v>12</v>
      </c>
      <c r="B1392" s="5" t="s">
        <v>20</v>
      </c>
      <c r="C1392" s="22">
        <v>10</v>
      </c>
      <c r="D1392" s="4"/>
      <c r="E1392" s="4"/>
      <c r="F1392" s="4"/>
      <c r="G1392" s="4"/>
      <c r="H1392" s="4" t="e">
        <f t="shared" si="105"/>
        <v>#DIV/0!</v>
      </c>
      <c r="I1392" s="4" t="e">
        <f t="shared" si="106"/>
        <v>#DIV/0!</v>
      </c>
      <c r="J1392" s="10" t="e">
        <f t="shared" si="104"/>
        <v>#DIV/0!</v>
      </c>
    </row>
    <row r="1393" spans="1:10" x14ac:dyDescent="0.2">
      <c r="A1393" s="20"/>
      <c r="B1393" s="6" t="s">
        <v>21</v>
      </c>
      <c r="C1393" s="23"/>
      <c r="H1393" t="e">
        <f t="shared" si="105"/>
        <v>#DIV/0!</v>
      </c>
      <c r="I1393" t="e">
        <f t="shared" si="106"/>
        <v>#DIV/0!</v>
      </c>
      <c r="J1393" s="11" t="e">
        <f t="shared" si="104"/>
        <v>#DIV/0!</v>
      </c>
    </row>
    <row r="1394" spans="1:10" x14ac:dyDescent="0.2">
      <c r="A1394" s="25"/>
      <c r="B1394" s="8" t="s">
        <v>22</v>
      </c>
      <c r="C1394" s="26"/>
      <c r="D1394" s="7"/>
      <c r="E1394" s="7"/>
      <c r="F1394" s="7"/>
      <c r="G1394" s="7"/>
      <c r="H1394" s="7" t="e">
        <f t="shared" si="105"/>
        <v>#DIV/0!</v>
      </c>
      <c r="I1394" s="7" t="e">
        <f t="shared" si="106"/>
        <v>#DIV/0!</v>
      </c>
      <c r="J1394" s="12" t="e">
        <f t="shared" si="104"/>
        <v>#DIV/0!</v>
      </c>
    </row>
    <row r="1395" spans="1:10" x14ac:dyDescent="0.2">
      <c r="A1395" s="19" t="s">
        <v>13</v>
      </c>
      <c r="B1395" s="5" t="s">
        <v>20</v>
      </c>
      <c r="C1395" s="22">
        <v>10</v>
      </c>
      <c r="D1395" s="4"/>
      <c r="E1395" s="4"/>
      <c r="F1395" s="4"/>
      <c r="G1395" s="4"/>
      <c r="H1395" s="4" t="e">
        <f t="shared" si="105"/>
        <v>#DIV/0!</v>
      </c>
      <c r="I1395" s="4" t="e">
        <f t="shared" si="106"/>
        <v>#DIV/0!</v>
      </c>
      <c r="J1395" s="10" t="e">
        <f t="shared" si="104"/>
        <v>#DIV/0!</v>
      </c>
    </row>
    <row r="1396" spans="1:10" x14ac:dyDescent="0.2">
      <c r="A1396" s="20"/>
      <c r="B1396" s="6" t="s">
        <v>21</v>
      </c>
      <c r="C1396" s="23"/>
      <c r="H1396" t="e">
        <f t="shared" si="105"/>
        <v>#DIV/0!</v>
      </c>
      <c r="I1396" t="e">
        <f t="shared" si="106"/>
        <v>#DIV/0!</v>
      </c>
      <c r="J1396" s="11" t="e">
        <f t="shared" si="104"/>
        <v>#DIV/0!</v>
      </c>
    </row>
    <row r="1397" spans="1:10" x14ac:dyDescent="0.2">
      <c r="A1397" s="25"/>
      <c r="B1397" s="8" t="s">
        <v>22</v>
      </c>
      <c r="C1397" s="26"/>
      <c r="D1397" s="7"/>
      <c r="E1397" s="7"/>
      <c r="F1397" s="7"/>
      <c r="G1397" s="7"/>
      <c r="H1397" s="7" t="e">
        <f t="shared" si="105"/>
        <v>#DIV/0!</v>
      </c>
      <c r="I1397" s="7" t="e">
        <f t="shared" si="106"/>
        <v>#DIV/0!</v>
      </c>
      <c r="J1397" s="12" t="e">
        <f t="shared" si="104"/>
        <v>#DIV/0!</v>
      </c>
    </row>
    <row r="1398" spans="1:10" x14ac:dyDescent="0.2">
      <c r="A1398" s="19" t="s">
        <v>14</v>
      </c>
      <c r="B1398" s="5" t="s">
        <v>20</v>
      </c>
      <c r="C1398" s="22">
        <v>10</v>
      </c>
      <c r="D1398" s="4"/>
      <c r="E1398" s="4"/>
      <c r="F1398" s="4"/>
      <c r="G1398" s="4"/>
      <c r="H1398" s="4" t="e">
        <f t="shared" si="105"/>
        <v>#DIV/0!</v>
      </c>
      <c r="I1398" s="4" t="e">
        <f t="shared" si="106"/>
        <v>#DIV/0!</v>
      </c>
      <c r="J1398" s="10" t="e">
        <f t="shared" si="104"/>
        <v>#DIV/0!</v>
      </c>
    </row>
    <row r="1399" spans="1:10" x14ac:dyDescent="0.2">
      <c r="A1399" s="20"/>
      <c r="B1399" s="6" t="s">
        <v>21</v>
      </c>
      <c r="C1399" s="23"/>
      <c r="H1399" t="e">
        <f t="shared" si="105"/>
        <v>#DIV/0!</v>
      </c>
      <c r="I1399" t="e">
        <f t="shared" si="106"/>
        <v>#DIV/0!</v>
      </c>
      <c r="J1399" s="11" t="e">
        <f t="shared" si="104"/>
        <v>#DIV/0!</v>
      </c>
    </row>
    <row r="1400" spans="1:10" ht="16" thickBot="1" x14ac:dyDescent="0.25">
      <c r="A1400" s="21"/>
      <c r="B1400" s="15" t="s">
        <v>22</v>
      </c>
      <c r="C1400" s="24"/>
      <c r="D1400" s="13"/>
      <c r="E1400" s="13"/>
      <c r="F1400" s="13"/>
      <c r="G1400" s="13"/>
      <c r="H1400" s="13" t="e">
        <f t="shared" si="105"/>
        <v>#DIV/0!</v>
      </c>
      <c r="I1400" s="13" t="e">
        <f t="shared" si="106"/>
        <v>#DIV/0!</v>
      </c>
      <c r="J1400" s="14" t="e">
        <f t="shared" si="104"/>
        <v>#DIV/0!</v>
      </c>
    </row>
    <row r="1401" spans="1:10" ht="16" thickBot="1" x14ac:dyDescent="0.25">
      <c r="A1401" s="44" t="s">
        <v>1</v>
      </c>
      <c r="B1401" s="33"/>
      <c r="C1401" s="33"/>
      <c r="D1401" s="33" t="s">
        <v>50</v>
      </c>
      <c r="E1401" s="34"/>
      <c r="F1401" s="9" t="s">
        <v>0</v>
      </c>
      <c r="G1401" s="18">
        <v>44157</v>
      </c>
      <c r="H1401" s="35" t="s">
        <v>24</v>
      </c>
      <c r="I1401" s="36"/>
      <c r="J1401" s="1">
        <v>80</v>
      </c>
    </row>
    <row r="1402" spans="1:10" ht="16" thickBot="1" x14ac:dyDescent="0.25">
      <c r="A1402" s="37" t="s">
        <v>2</v>
      </c>
      <c r="B1402" s="38"/>
      <c r="C1402" s="38"/>
      <c r="D1402" s="38"/>
      <c r="E1402" s="39"/>
      <c r="F1402" s="40"/>
      <c r="G1402" s="41"/>
      <c r="H1402" s="42" t="s">
        <v>25</v>
      </c>
      <c r="I1402" s="43"/>
      <c r="J1402" s="2">
        <v>30</v>
      </c>
    </row>
    <row r="1403" spans="1:10" ht="16" thickBot="1" x14ac:dyDescent="0.25">
      <c r="A1403" s="45" t="s">
        <v>27</v>
      </c>
      <c r="B1403" s="27"/>
      <c r="C1403" s="27"/>
      <c r="D1403" s="27" t="s">
        <v>32</v>
      </c>
      <c r="E1403" s="28"/>
      <c r="F1403" s="16" t="s">
        <v>30</v>
      </c>
      <c r="G1403" s="16">
        <v>3.81</v>
      </c>
      <c r="H1403" s="29" t="s">
        <v>26</v>
      </c>
      <c r="I1403" s="30"/>
      <c r="J1403" s="3">
        <v>60</v>
      </c>
    </row>
    <row r="1404" spans="1:10" x14ac:dyDescent="0.2">
      <c r="A1404" s="31"/>
      <c r="B1404" s="32"/>
      <c r="C1404" s="16" t="s">
        <v>29</v>
      </c>
      <c r="D1404" s="16" t="s">
        <v>19</v>
      </c>
      <c r="E1404" s="16" t="s">
        <v>15</v>
      </c>
      <c r="F1404" s="16" t="s">
        <v>18</v>
      </c>
      <c r="G1404" s="16" t="s">
        <v>17</v>
      </c>
      <c r="H1404" s="16" t="s">
        <v>28</v>
      </c>
      <c r="I1404" s="16" t="s">
        <v>16</v>
      </c>
      <c r="J1404" s="17" t="s">
        <v>23</v>
      </c>
    </row>
    <row r="1405" spans="1:10" x14ac:dyDescent="0.2">
      <c r="A1405" s="19" t="s">
        <v>3</v>
      </c>
      <c r="B1405" s="5" t="s">
        <v>20</v>
      </c>
      <c r="C1405" s="22">
        <v>10</v>
      </c>
      <c r="D1405" s="4"/>
      <c r="E1405" s="4">
        <v>2.4350000000000001</v>
      </c>
      <c r="F1405" s="4">
        <v>3.7160000000000002</v>
      </c>
      <c r="G1405" s="4">
        <v>5.5279999999999996</v>
      </c>
      <c r="H1405" s="4">
        <f>(F1405-(G1405-E1405))/F1405</f>
        <v>0.1676533907427343</v>
      </c>
      <c r="I1405" s="4">
        <f>D1405-H1405*D1405</f>
        <v>0</v>
      </c>
      <c r="J1405" s="10">
        <f t="shared" ref="J1405:J1440" si="107">I1405/($G$3^2*C1405*PI())</f>
        <v>0</v>
      </c>
    </row>
    <row r="1406" spans="1:10" x14ac:dyDescent="0.2">
      <c r="A1406" s="20"/>
      <c r="B1406" s="6" t="s">
        <v>21</v>
      </c>
      <c r="C1406" s="23"/>
      <c r="D1406">
        <v>535</v>
      </c>
      <c r="E1406">
        <v>2.4319999999999999</v>
      </c>
      <c r="F1406">
        <v>3.028</v>
      </c>
      <c r="G1406">
        <v>4.9649999999999999</v>
      </c>
      <c r="H1406">
        <f t="shared" ref="H1406:H1440" si="108">(F1406-(G1406-E1406))/F1406</f>
        <v>0.1634742404227213</v>
      </c>
      <c r="I1406">
        <f t="shared" ref="I1406:I1440" si="109">D1406-H1406*D1406</f>
        <v>447.54128137384407</v>
      </c>
      <c r="J1406" s="11" t="e">
        <f t="shared" si="107"/>
        <v>#DIV/0!</v>
      </c>
    </row>
    <row r="1407" spans="1:10" x14ac:dyDescent="0.2">
      <c r="A1407" s="25"/>
      <c r="B1407" s="8" t="s">
        <v>22</v>
      </c>
      <c r="C1407" s="26"/>
      <c r="D1407" s="7"/>
      <c r="E1407" s="7">
        <v>2.4300000000000002</v>
      </c>
      <c r="F1407" s="7">
        <v>3.5529999999999999</v>
      </c>
      <c r="G1407" s="7">
        <v>5.4249999999999998</v>
      </c>
      <c r="H1407" s="7">
        <f t="shared" si="108"/>
        <v>0.15705037996059676</v>
      </c>
      <c r="I1407" s="7">
        <f t="shared" si="109"/>
        <v>0</v>
      </c>
      <c r="J1407" s="12" t="e">
        <f t="shared" si="107"/>
        <v>#DIV/0!</v>
      </c>
    </row>
    <row r="1408" spans="1:10" x14ac:dyDescent="0.2">
      <c r="A1408" s="19" t="s">
        <v>4</v>
      </c>
      <c r="B1408" s="5" t="s">
        <v>20</v>
      </c>
      <c r="C1408" s="23">
        <v>10</v>
      </c>
      <c r="E1408">
        <v>2.4289999999999998</v>
      </c>
      <c r="F1408">
        <v>3.073</v>
      </c>
      <c r="G1408">
        <v>5.0359999999999996</v>
      </c>
      <c r="H1408" s="4">
        <f t="shared" si="108"/>
        <v>0.15164334526521323</v>
      </c>
      <c r="I1408" s="4">
        <f t="shared" si="109"/>
        <v>0</v>
      </c>
      <c r="J1408" s="10">
        <f t="shared" si="107"/>
        <v>0</v>
      </c>
    </row>
    <row r="1409" spans="1:10" x14ac:dyDescent="0.2">
      <c r="A1409" s="20"/>
      <c r="B1409" s="6" t="s">
        <v>21</v>
      </c>
      <c r="C1409" s="23"/>
      <c r="D1409">
        <v>5.82</v>
      </c>
      <c r="E1409">
        <v>2.4460000000000002</v>
      </c>
      <c r="F1409">
        <v>3.028</v>
      </c>
      <c r="G1409">
        <v>4.992</v>
      </c>
      <c r="H1409">
        <f t="shared" si="108"/>
        <v>0.1591809775429327</v>
      </c>
      <c r="I1409">
        <f t="shared" si="109"/>
        <v>4.8935667107001315</v>
      </c>
      <c r="J1409" s="11" t="e">
        <f t="shared" si="107"/>
        <v>#DIV/0!</v>
      </c>
    </row>
    <row r="1410" spans="1:10" x14ac:dyDescent="0.2">
      <c r="A1410" s="25"/>
      <c r="B1410" s="8" t="s">
        <v>22</v>
      </c>
      <c r="C1410" s="26"/>
      <c r="D1410" s="7"/>
      <c r="E1410" s="7">
        <v>2.4289999999999998</v>
      </c>
      <c r="F1410" s="7">
        <v>3.5630000000000002</v>
      </c>
      <c r="G1410" s="7">
        <v>5.4409999999999998</v>
      </c>
      <c r="H1410" s="7">
        <f t="shared" si="108"/>
        <v>0.15464496211058101</v>
      </c>
      <c r="I1410" s="7">
        <f t="shared" si="109"/>
        <v>0</v>
      </c>
      <c r="J1410" s="12" t="e">
        <f t="shared" si="107"/>
        <v>#DIV/0!</v>
      </c>
    </row>
    <row r="1411" spans="1:10" x14ac:dyDescent="0.2">
      <c r="A1411" s="19" t="s">
        <v>5</v>
      </c>
      <c r="B1411" s="5" t="s">
        <v>20</v>
      </c>
      <c r="C1411" s="22">
        <v>10</v>
      </c>
      <c r="D1411" s="4"/>
      <c r="E1411" s="4">
        <v>2.4569999999999999</v>
      </c>
      <c r="F1411" s="4">
        <v>3.6749999999999998</v>
      </c>
      <c r="G1411" s="4">
        <v>5.6059999999999999</v>
      </c>
      <c r="H1411" s="4">
        <f t="shared" si="108"/>
        <v>0.14312925170068022</v>
      </c>
      <c r="I1411" s="4">
        <f t="shared" si="109"/>
        <v>0</v>
      </c>
      <c r="J1411" s="10">
        <f t="shared" si="107"/>
        <v>0</v>
      </c>
    </row>
    <row r="1412" spans="1:10" x14ac:dyDescent="0.2">
      <c r="A1412" s="20"/>
      <c r="B1412" s="6" t="s">
        <v>21</v>
      </c>
      <c r="C1412" s="23"/>
      <c r="D1412">
        <v>780</v>
      </c>
      <c r="E1412">
        <v>2.4420000000000002</v>
      </c>
      <c r="F1412">
        <v>3.2749999999999999</v>
      </c>
      <c r="G1412">
        <v>5.2729999999999997</v>
      </c>
      <c r="H1412">
        <f t="shared" si="108"/>
        <v>0.13557251908396958</v>
      </c>
      <c r="I1412">
        <f t="shared" si="109"/>
        <v>674.25343511450376</v>
      </c>
      <c r="J1412" s="11" t="e">
        <f t="shared" si="107"/>
        <v>#DIV/0!</v>
      </c>
    </row>
    <row r="1413" spans="1:10" x14ac:dyDescent="0.2">
      <c r="A1413" s="25"/>
      <c r="B1413" s="8" t="s">
        <v>22</v>
      </c>
      <c r="C1413" s="26"/>
      <c r="D1413" s="7"/>
      <c r="E1413" s="7">
        <v>2.4350000000000001</v>
      </c>
      <c r="F1413" s="7">
        <v>3.1120000000000001</v>
      </c>
      <c r="G1413" s="7">
        <v>5.1269999999999998</v>
      </c>
      <c r="H1413" s="7">
        <f t="shared" si="108"/>
        <v>0.13496143958868906</v>
      </c>
      <c r="I1413" s="7">
        <f t="shared" si="109"/>
        <v>0</v>
      </c>
      <c r="J1413" s="12" t="e">
        <f t="shared" si="107"/>
        <v>#DIV/0!</v>
      </c>
    </row>
    <row r="1414" spans="1:10" x14ac:dyDescent="0.2">
      <c r="A1414" s="19" t="s">
        <v>6</v>
      </c>
      <c r="B1414" s="5" t="s">
        <v>20</v>
      </c>
      <c r="C1414" s="22">
        <v>10</v>
      </c>
      <c r="D1414" s="4"/>
      <c r="E1414" s="4">
        <v>2.4529999999999998</v>
      </c>
      <c r="F1414" s="4">
        <v>3.0070000000000001</v>
      </c>
      <c r="G1414" s="4">
        <v>5.0529999999999999</v>
      </c>
      <c r="H1414" s="4">
        <f t="shared" si="108"/>
        <v>0.13535084802128367</v>
      </c>
      <c r="I1414" s="4">
        <f t="shared" si="109"/>
        <v>0</v>
      </c>
      <c r="J1414" s="10">
        <f t="shared" si="107"/>
        <v>0</v>
      </c>
    </row>
    <row r="1415" spans="1:10" x14ac:dyDescent="0.2">
      <c r="A1415" s="20"/>
      <c r="B1415" s="6" t="s">
        <v>21</v>
      </c>
      <c r="C1415" s="23"/>
      <c r="D1415">
        <v>869</v>
      </c>
      <c r="E1415">
        <v>2.4369999999999998</v>
      </c>
      <c r="F1415">
        <v>3.2839999999999998</v>
      </c>
      <c r="G1415">
        <v>5.2859999999999996</v>
      </c>
      <c r="H1415">
        <f t="shared" si="108"/>
        <v>0.13246041412911086</v>
      </c>
      <c r="I1415">
        <f t="shared" si="109"/>
        <v>753.89190012180268</v>
      </c>
      <c r="J1415" s="11" t="e">
        <f t="shared" si="107"/>
        <v>#DIV/0!</v>
      </c>
    </row>
    <row r="1416" spans="1:10" x14ac:dyDescent="0.2">
      <c r="A1416" s="25"/>
      <c r="B1416" s="8" t="s">
        <v>22</v>
      </c>
      <c r="C1416" s="26"/>
      <c r="D1416" s="7"/>
      <c r="E1416" s="7">
        <v>2.431</v>
      </c>
      <c r="F1416" s="7">
        <v>3.4780000000000002</v>
      </c>
      <c r="G1416" s="7">
        <v>5.4409999999999998</v>
      </c>
      <c r="H1416" s="7">
        <f t="shared" si="108"/>
        <v>0.13456009200690064</v>
      </c>
      <c r="I1416" s="7">
        <f t="shared" si="109"/>
        <v>0</v>
      </c>
      <c r="J1416" s="12" t="e">
        <f t="shared" si="107"/>
        <v>#DIV/0!</v>
      </c>
    </row>
    <row r="1417" spans="1:10" x14ac:dyDescent="0.2">
      <c r="A1417" s="19" t="s">
        <v>7</v>
      </c>
      <c r="B1417" s="5" t="s">
        <v>20</v>
      </c>
      <c r="C1417" s="22">
        <v>10</v>
      </c>
      <c r="D1417" s="4"/>
      <c r="E1417" s="4">
        <v>2.4489999999999998</v>
      </c>
      <c r="F1417" s="4">
        <v>3.294</v>
      </c>
      <c r="G1417" s="4">
        <v>5.4569999999999999</v>
      </c>
      <c r="H1417" s="4">
        <f t="shared" si="108"/>
        <v>8.6824529447480273E-2</v>
      </c>
      <c r="I1417" s="4">
        <f t="shared" si="109"/>
        <v>0</v>
      </c>
      <c r="J1417" s="10">
        <f t="shared" si="107"/>
        <v>0</v>
      </c>
    </row>
    <row r="1418" spans="1:10" x14ac:dyDescent="0.2">
      <c r="A1418" s="20"/>
      <c r="B1418" s="6" t="s">
        <v>21</v>
      </c>
      <c r="C1418" s="23"/>
      <c r="D1418">
        <v>871</v>
      </c>
      <c r="E1418">
        <v>2.456</v>
      </c>
      <c r="F1418">
        <v>3.306</v>
      </c>
      <c r="G1418">
        <v>5.4279999999999999</v>
      </c>
      <c r="H1418">
        <f t="shared" si="108"/>
        <v>0.10102843315184515</v>
      </c>
      <c r="I1418">
        <f t="shared" si="109"/>
        <v>783.0042347247429</v>
      </c>
      <c r="J1418" s="11" t="e">
        <f t="shared" si="107"/>
        <v>#DIV/0!</v>
      </c>
    </row>
    <row r="1419" spans="1:10" x14ac:dyDescent="0.2">
      <c r="A1419" s="25"/>
      <c r="B1419" s="8" t="s">
        <v>22</v>
      </c>
      <c r="C1419" s="26"/>
      <c r="D1419" s="7"/>
      <c r="E1419" s="7">
        <v>2.431</v>
      </c>
      <c r="F1419" s="7">
        <v>3.0859999999999999</v>
      </c>
      <c r="G1419" s="7">
        <v>5.2140000000000004</v>
      </c>
      <c r="H1419" s="7">
        <f t="shared" si="108"/>
        <v>9.8185353208036133E-2</v>
      </c>
      <c r="I1419" s="7">
        <f t="shared" si="109"/>
        <v>0</v>
      </c>
      <c r="J1419" s="12" t="e">
        <f t="shared" si="107"/>
        <v>#DIV/0!</v>
      </c>
    </row>
    <row r="1420" spans="1:10" x14ac:dyDescent="0.2">
      <c r="A1420" s="19" t="s">
        <v>8</v>
      </c>
      <c r="B1420" s="5" t="s">
        <v>20</v>
      </c>
      <c r="C1420" s="22">
        <v>10</v>
      </c>
      <c r="D1420" s="4"/>
      <c r="E1420" s="4">
        <v>2.4580000000000002</v>
      </c>
      <c r="F1420" s="4">
        <v>3.4449999999999998</v>
      </c>
      <c r="G1420" s="4">
        <v>5.6529999999999996</v>
      </c>
      <c r="H1420" s="4">
        <f t="shared" si="108"/>
        <v>7.2568940493468931E-2</v>
      </c>
      <c r="I1420" s="4">
        <f t="shared" si="109"/>
        <v>0</v>
      </c>
      <c r="J1420" s="10">
        <f t="shared" si="107"/>
        <v>0</v>
      </c>
    </row>
    <row r="1421" spans="1:10" x14ac:dyDescent="0.2">
      <c r="A1421" s="20"/>
      <c r="B1421" s="6" t="s">
        <v>21</v>
      </c>
      <c r="C1421" s="23"/>
      <c r="D1421">
        <v>966</v>
      </c>
      <c r="E1421">
        <v>2.4009999999999998</v>
      </c>
      <c r="F1421">
        <v>3.649</v>
      </c>
      <c r="G1421">
        <v>5.74</v>
      </c>
      <c r="H1421">
        <f t="shared" si="108"/>
        <v>8.4954782132090872E-2</v>
      </c>
      <c r="I1421">
        <f t="shared" si="109"/>
        <v>883.93368046040018</v>
      </c>
      <c r="J1421" s="11" t="e">
        <f t="shared" si="107"/>
        <v>#DIV/0!</v>
      </c>
    </row>
    <row r="1422" spans="1:10" x14ac:dyDescent="0.2">
      <c r="A1422" s="25"/>
      <c r="B1422" s="8" t="s">
        <v>22</v>
      </c>
      <c r="C1422" s="26"/>
      <c r="D1422" s="7"/>
      <c r="E1422" s="7">
        <v>2.423</v>
      </c>
      <c r="F1422" s="7">
        <v>3.363</v>
      </c>
      <c r="G1422" s="7">
        <v>5.42</v>
      </c>
      <c r="H1422" s="7">
        <f t="shared" si="108"/>
        <v>0.10883140053523643</v>
      </c>
      <c r="I1422" s="7">
        <f t="shared" si="109"/>
        <v>0</v>
      </c>
      <c r="J1422" s="12" t="e">
        <f t="shared" si="107"/>
        <v>#DIV/0!</v>
      </c>
    </row>
    <row r="1423" spans="1:10" x14ac:dyDescent="0.2">
      <c r="A1423" s="19" t="s">
        <v>9</v>
      </c>
      <c r="B1423" s="5" t="s">
        <v>20</v>
      </c>
      <c r="C1423" s="22">
        <v>10</v>
      </c>
      <c r="D1423" s="4"/>
      <c r="E1423" s="4">
        <v>2.4340000000000002</v>
      </c>
      <c r="F1423" s="4">
        <v>3.774</v>
      </c>
      <c r="G1423" s="4">
        <v>5.952</v>
      </c>
      <c r="H1423" s="4">
        <f t="shared" si="108"/>
        <v>6.7832538420773775E-2</v>
      </c>
      <c r="I1423" s="4">
        <f t="shared" si="109"/>
        <v>0</v>
      </c>
      <c r="J1423" s="10">
        <f t="shared" si="107"/>
        <v>0</v>
      </c>
    </row>
    <row r="1424" spans="1:10" x14ac:dyDescent="0.2">
      <c r="A1424" s="20"/>
      <c r="B1424" s="6" t="s">
        <v>21</v>
      </c>
      <c r="C1424" s="23"/>
      <c r="D1424">
        <v>797</v>
      </c>
      <c r="E1424">
        <v>2.452</v>
      </c>
      <c r="F1424">
        <v>3.2370000000000001</v>
      </c>
      <c r="G1424">
        <v>5.4710000000000001</v>
      </c>
      <c r="H1424">
        <f t="shared" si="108"/>
        <v>6.7346308310163722E-2</v>
      </c>
      <c r="I1424">
        <f t="shared" si="109"/>
        <v>743.32499227679955</v>
      </c>
      <c r="J1424" s="11" t="e">
        <f t="shared" si="107"/>
        <v>#DIV/0!</v>
      </c>
    </row>
    <row r="1425" spans="1:10" x14ac:dyDescent="0.2">
      <c r="A1425" s="25"/>
      <c r="B1425" s="8" t="s">
        <v>22</v>
      </c>
      <c r="C1425" s="26"/>
      <c r="D1425" s="7"/>
      <c r="E1425" s="7">
        <v>2.4660000000000002</v>
      </c>
      <c r="F1425" s="7">
        <v>3.214</v>
      </c>
      <c r="G1425" s="7">
        <v>5.4649999999999999</v>
      </c>
      <c r="H1425" s="7">
        <f t="shared" si="108"/>
        <v>6.6894835096453109E-2</v>
      </c>
      <c r="I1425" s="7">
        <f t="shared" si="109"/>
        <v>0</v>
      </c>
      <c r="J1425" s="12" t="e">
        <f t="shared" si="107"/>
        <v>#DIV/0!</v>
      </c>
    </row>
    <row r="1426" spans="1:10" x14ac:dyDescent="0.2">
      <c r="A1426" s="19" t="s">
        <v>10</v>
      </c>
      <c r="B1426" s="5" t="s">
        <v>20</v>
      </c>
      <c r="C1426" s="22">
        <v>10</v>
      </c>
      <c r="D1426" s="4"/>
      <c r="E1426" s="4">
        <v>2.44</v>
      </c>
      <c r="F1426" s="4">
        <v>3.0230000000000001</v>
      </c>
      <c r="G1426" s="4">
        <v>5.2839999999999998</v>
      </c>
      <c r="H1426" s="4">
        <f t="shared" si="108"/>
        <v>5.9212702613298134E-2</v>
      </c>
      <c r="I1426" s="4">
        <f t="shared" si="109"/>
        <v>0</v>
      </c>
      <c r="J1426" s="10">
        <f t="shared" si="107"/>
        <v>0</v>
      </c>
    </row>
    <row r="1427" spans="1:10" x14ac:dyDescent="0.2">
      <c r="A1427" s="20"/>
      <c r="B1427" s="6" t="s">
        <v>21</v>
      </c>
      <c r="C1427" s="23"/>
      <c r="D1427">
        <v>768</v>
      </c>
      <c r="E1427">
        <v>2.4340000000000002</v>
      </c>
      <c r="F1427">
        <v>3.173</v>
      </c>
      <c r="G1427">
        <v>5.4180000000000001</v>
      </c>
      <c r="H1427">
        <f t="shared" si="108"/>
        <v>5.9565080365584638E-2</v>
      </c>
      <c r="I1427">
        <f t="shared" si="109"/>
        <v>722.25401827923099</v>
      </c>
      <c r="J1427" s="11" t="e">
        <f t="shared" si="107"/>
        <v>#DIV/0!</v>
      </c>
    </row>
    <row r="1428" spans="1:10" x14ac:dyDescent="0.2">
      <c r="A1428" s="25"/>
      <c r="B1428" s="8" t="s">
        <v>22</v>
      </c>
      <c r="C1428" s="26"/>
      <c r="D1428" s="7"/>
      <c r="E1428" s="7">
        <v>2.456</v>
      </c>
      <c r="F1428" s="7">
        <v>3.214</v>
      </c>
      <c r="G1428" s="7">
        <v>5.4770000000000003</v>
      </c>
      <c r="H1428" s="7">
        <f t="shared" si="108"/>
        <v>6.0049782202862355E-2</v>
      </c>
      <c r="I1428" s="7">
        <f t="shared" si="109"/>
        <v>0</v>
      </c>
      <c r="J1428" s="12" t="e">
        <f t="shared" si="107"/>
        <v>#DIV/0!</v>
      </c>
    </row>
    <row r="1429" spans="1:10" x14ac:dyDescent="0.2">
      <c r="A1429" s="19" t="s">
        <v>11</v>
      </c>
      <c r="B1429" s="5" t="s">
        <v>20</v>
      </c>
      <c r="C1429" s="22">
        <v>10</v>
      </c>
      <c r="D1429" s="4"/>
      <c r="E1429" s="4"/>
      <c r="F1429" s="4"/>
      <c r="G1429" s="4"/>
      <c r="H1429" s="4" t="e">
        <f t="shared" si="108"/>
        <v>#DIV/0!</v>
      </c>
      <c r="I1429" s="4" t="e">
        <f t="shared" si="109"/>
        <v>#DIV/0!</v>
      </c>
      <c r="J1429" s="10" t="e">
        <f t="shared" si="107"/>
        <v>#DIV/0!</v>
      </c>
    </row>
    <row r="1430" spans="1:10" x14ac:dyDescent="0.2">
      <c r="A1430" s="20"/>
      <c r="B1430" s="6" t="s">
        <v>21</v>
      </c>
      <c r="C1430" s="23"/>
      <c r="H1430" t="e">
        <f t="shared" si="108"/>
        <v>#DIV/0!</v>
      </c>
      <c r="I1430" t="e">
        <f t="shared" si="109"/>
        <v>#DIV/0!</v>
      </c>
      <c r="J1430" s="11" t="e">
        <f t="shared" si="107"/>
        <v>#DIV/0!</v>
      </c>
    </row>
    <row r="1431" spans="1:10" x14ac:dyDescent="0.2">
      <c r="A1431" s="25"/>
      <c r="B1431" s="8" t="s">
        <v>22</v>
      </c>
      <c r="C1431" s="26"/>
      <c r="D1431" s="7"/>
      <c r="E1431" s="7"/>
      <c r="F1431" s="7"/>
      <c r="G1431" s="7"/>
      <c r="H1431" s="7" t="e">
        <f t="shared" si="108"/>
        <v>#DIV/0!</v>
      </c>
      <c r="I1431" s="7" t="e">
        <f t="shared" si="109"/>
        <v>#DIV/0!</v>
      </c>
      <c r="J1431" s="12" t="e">
        <f t="shared" si="107"/>
        <v>#DIV/0!</v>
      </c>
    </row>
    <row r="1432" spans="1:10" x14ac:dyDescent="0.2">
      <c r="A1432" s="19" t="s">
        <v>12</v>
      </c>
      <c r="B1432" s="5" t="s">
        <v>20</v>
      </c>
      <c r="C1432" s="22">
        <v>10</v>
      </c>
      <c r="D1432" s="4"/>
      <c r="E1432" s="4"/>
      <c r="F1432" s="4"/>
      <c r="G1432" s="4"/>
      <c r="H1432" s="4" t="e">
        <f t="shared" si="108"/>
        <v>#DIV/0!</v>
      </c>
      <c r="I1432" s="4" t="e">
        <f t="shared" si="109"/>
        <v>#DIV/0!</v>
      </c>
      <c r="J1432" s="10" t="e">
        <f t="shared" si="107"/>
        <v>#DIV/0!</v>
      </c>
    </row>
    <row r="1433" spans="1:10" x14ac:dyDescent="0.2">
      <c r="A1433" s="20"/>
      <c r="B1433" s="6" t="s">
        <v>21</v>
      </c>
      <c r="C1433" s="23"/>
      <c r="H1433" t="e">
        <f t="shared" si="108"/>
        <v>#DIV/0!</v>
      </c>
      <c r="I1433" t="e">
        <f t="shared" si="109"/>
        <v>#DIV/0!</v>
      </c>
      <c r="J1433" s="11" t="e">
        <f t="shared" si="107"/>
        <v>#DIV/0!</v>
      </c>
    </row>
    <row r="1434" spans="1:10" x14ac:dyDescent="0.2">
      <c r="A1434" s="25"/>
      <c r="B1434" s="8" t="s">
        <v>22</v>
      </c>
      <c r="C1434" s="26"/>
      <c r="D1434" s="7"/>
      <c r="E1434" s="7"/>
      <c r="F1434" s="7"/>
      <c r="G1434" s="7"/>
      <c r="H1434" s="7" t="e">
        <f t="shared" si="108"/>
        <v>#DIV/0!</v>
      </c>
      <c r="I1434" s="7" t="e">
        <f t="shared" si="109"/>
        <v>#DIV/0!</v>
      </c>
      <c r="J1434" s="12" t="e">
        <f t="shared" si="107"/>
        <v>#DIV/0!</v>
      </c>
    </row>
    <row r="1435" spans="1:10" x14ac:dyDescent="0.2">
      <c r="A1435" s="19" t="s">
        <v>13</v>
      </c>
      <c r="B1435" s="5" t="s">
        <v>20</v>
      </c>
      <c r="C1435" s="22">
        <v>10</v>
      </c>
      <c r="D1435" s="4"/>
      <c r="E1435" s="4"/>
      <c r="F1435" s="4"/>
      <c r="G1435" s="4"/>
      <c r="H1435" s="4" t="e">
        <f t="shared" si="108"/>
        <v>#DIV/0!</v>
      </c>
      <c r="I1435" s="4" t="e">
        <f t="shared" si="109"/>
        <v>#DIV/0!</v>
      </c>
      <c r="J1435" s="10" t="e">
        <f t="shared" si="107"/>
        <v>#DIV/0!</v>
      </c>
    </row>
    <row r="1436" spans="1:10" x14ac:dyDescent="0.2">
      <c r="A1436" s="20"/>
      <c r="B1436" s="6" t="s">
        <v>21</v>
      </c>
      <c r="C1436" s="23"/>
      <c r="H1436" t="e">
        <f t="shared" si="108"/>
        <v>#DIV/0!</v>
      </c>
      <c r="I1436" t="e">
        <f t="shared" si="109"/>
        <v>#DIV/0!</v>
      </c>
      <c r="J1436" s="11" t="e">
        <f t="shared" si="107"/>
        <v>#DIV/0!</v>
      </c>
    </row>
    <row r="1437" spans="1:10" x14ac:dyDescent="0.2">
      <c r="A1437" s="25"/>
      <c r="B1437" s="8" t="s">
        <v>22</v>
      </c>
      <c r="C1437" s="26"/>
      <c r="D1437" s="7"/>
      <c r="E1437" s="7"/>
      <c r="F1437" s="7"/>
      <c r="G1437" s="7"/>
      <c r="H1437" s="7" t="e">
        <f t="shared" si="108"/>
        <v>#DIV/0!</v>
      </c>
      <c r="I1437" s="7" t="e">
        <f t="shared" si="109"/>
        <v>#DIV/0!</v>
      </c>
      <c r="J1437" s="12" t="e">
        <f t="shared" si="107"/>
        <v>#DIV/0!</v>
      </c>
    </row>
    <row r="1438" spans="1:10" x14ac:dyDescent="0.2">
      <c r="A1438" s="19" t="s">
        <v>14</v>
      </c>
      <c r="B1438" s="5" t="s">
        <v>20</v>
      </c>
      <c r="C1438" s="22">
        <v>10</v>
      </c>
      <c r="D1438" s="4"/>
      <c r="E1438" s="4"/>
      <c r="F1438" s="4"/>
      <c r="G1438" s="4"/>
      <c r="H1438" s="4" t="e">
        <f t="shared" si="108"/>
        <v>#DIV/0!</v>
      </c>
      <c r="I1438" s="4" t="e">
        <f t="shared" si="109"/>
        <v>#DIV/0!</v>
      </c>
      <c r="J1438" s="10" t="e">
        <f t="shared" si="107"/>
        <v>#DIV/0!</v>
      </c>
    </row>
    <row r="1439" spans="1:10" x14ac:dyDescent="0.2">
      <c r="A1439" s="20"/>
      <c r="B1439" s="6" t="s">
        <v>21</v>
      </c>
      <c r="C1439" s="23"/>
      <c r="H1439" t="e">
        <f t="shared" si="108"/>
        <v>#DIV/0!</v>
      </c>
      <c r="I1439" t="e">
        <f t="shared" si="109"/>
        <v>#DIV/0!</v>
      </c>
      <c r="J1439" s="11" t="e">
        <f t="shared" si="107"/>
        <v>#DIV/0!</v>
      </c>
    </row>
    <row r="1440" spans="1:10" ht="16" thickBot="1" x14ac:dyDescent="0.25">
      <c r="A1440" s="21"/>
      <c r="B1440" s="15" t="s">
        <v>22</v>
      </c>
      <c r="C1440" s="24"/>
      <c r="D1440" s="13"/>
      <c r="E1440" s="13"/>
      <c r="F1440" s="13"/>
      <c r="G1440" s="13"/>
      <c r="H1440" s="13" t="e">
        <f t="shared" si="108"/>
        <v>#DIV/0!</v>
      </c>
      <c r="I1440" s="13" t="e">
        <f t="shared" si="109"/>
        <v>#DIV/0!</v>
      </c>
      <c r="J1440" s="14" t="e">
        <f t="shared" si="107"/>
        <v>#DIV/0!</v>
      </c>
    </row>
    <row r="1441" spans="1:10" ht="16" thickBot="1" x14ac:dyDescent="0.25">
      <c r="A1441" s="44" t="s">
        <v>1</v>
      </c>
      <c r="B1441" s="33"/>
      <c r="C1441" s="33"/>
      <c r="D1441" s="33" t="s">
        <v>50</v>
      </c>
      <c r="E1441" s="34"/>
      <c r="F1441" s="9" t="s">
        <v>0</v>
      </c>
      <c r="G1441" s="18">
        <v>44157</v>
      </c>
      <c r="H1441" s="35" t="s">
        <v>24</v>
      </c>
      <c r="I1441" s="36"/>
      <c r="J1441" s="1">
        <v>81.5</v>
      </c>
    </row>
    <row r="1442" spans="1:10" ht="16" thickBot="1" x14ac:dyDescent="0.25">
      <c r="A1442" s="37" t="s">
        <v>2</v>
      </c>
      <c r="B1442" s="38"/>
      <c r="C1442" s="38"/>
      <c r="D1442" s="38"/>
      <c r="E1442" s="39"/>
      <c r="F1442" s="40"/>
      <c r="G1442" s="41"/>
      <c r="H1442" s="42" t="s">
        <v>25</v>
      </c>
      <c r="I1442" s="43"/>
      <c r="J1442" s="2">
        <v>36.5</v>
      </c>
    </row>
    <row r="1443" spans="1:10" ht="16" thickBot="1" x14ac:dyDescent="0.25">
      <c r="A1443" s="45" t="s">
        <v>27</v>
      </c>
      <c r="B1443" s="27"/>
      <c r="C1443" s="27"/>
      <c r="D1443" s="27" t="s">
        <v>33</v>
      </c>
      <c r="E1443" s="28"/>
      <c r="F1443" s="16" t="s">
        <v>30</v>
      </c>
      <c r="G1443" s="16">
        <v>3.81</v>
      </c>
      <c r="H1443" s="29" t="s">
        <v>26</v>
      </c>
      <c r="I1443" s="30"/>
      <c r="J1443" s="3">
        <v>58</v>
      </c>
    </row>
    <row r="1444" spans="1:10" x14ac:dyDescent="0.2">
      <c r="A1444" s="31"/>
      <c r="B1444" s="32"/>
      <c r="C1444" s="16" t="s">
        <v>29</v>
      </c>
      <c r="D1444" s="16" t="s">
        <v>19</v>
      </c>
      <c r="E1444" s="16" t="s">
        <v>15</v>
      </c>
      <c r="F1444" s="16" t="s">
        <v>18</v>
      </c>
      <c r="G1444" s="16" t="s">
        <v>17</v>
      </c>
      <c r="H1444" s="16" t="s">
        <v>28</v>
      </c>
      <c r="I1444" s="16" t="s">
        <v>16</v>
      </c>
      <c r="J1444" s="17" t="s">
        <v>23</v>
      </c>
    </row>
    <row r="1445" spans="1:10" x14ac:dyDescent="0.2">
      <c r="A1445" s="19" t="s">
        <v>3</v>
      </c>
      <c r="B1445" s="5" t="s">
        <v>20</v>
      </c>
      <c r="C1445" s="22">
        <v>10</v>
      </c>
      <c r="D1445" s="4"/>
      <c r="E1445" s="4">
        <v>2.4390000000000001</v>
      </c>
      <c r="F1445" s="4">
        <v>3.4590000000000001</v>
      </c>
      <c r="G1445" s="4">
        <v>5.3170000000000002</v>
      </c>
      <c r="H1445" s="4">
        <f>(F1445-(G1445-E1445))/F1445</f>
        <v>0.16796762069962415</v>
      </c>
      <c r="I1445" s="4">
        <f>D1445-H1445*D1445</f>
        <v>0</v>
      </c>
      <c r="J1445" s="10">
        <f t="shared" ref="J1445:J1480" si="110">I1445/($G$3^2*C1445*PI())</f>
        <v>0</v>
      </c>
    </row>
    <row r="1446" spans="1:10" x14ac:dyDescent="0.2">
      <c r="A1446" s="20"/>
      <c r="B1446" s="6" t="s">
        <v>21</v>
      </c>
      <c r="C1446" s="23"/>
      <c r="D1446">
        <v>451</v>
      </c>
      <c r="E1446">
        <v>2.4390000000000001</v>
      </c>
      <c r="F1446">
        <v>3.375</v>
      </c>
      <c r="G1446">
        <v>5.3550000000000004</v>
      </c>
      <c r="H1446">
        <f t="shared" ref="H1446:H1480" si="111">(F1446-(G1446-E1446))/F1446</f>
        <v>0.1359999999999999</v>
      </c>
      <c r="I1446">
        <f t="shared" ref="I1446:I1480" si="112">D1446-H1446*D1446</f>
        <v>389.66400000000004</v>
      </c>
      <c r="J1446" s="11" t="e">
        <f t="shared" si="110"/>
        <v>#DIV/0!</v>
      </c>
    </row>
    <row r="1447" spans="1:10" x14ac:dyDescent="0.2">
      <c r="A1447" s="25"/>
      <c r="B1447" s="8" t="s">
        <v>22</v>
      </c>
      <c r="C1447" s="26"/>
      <c r="D1447" s="7"/>
      <c r="E1447" s="7">
        <v>2.4279999999999999</v>
      </c>
      <c r="F1447" s="7">
        <v>3.5739999999999998</v>
      </c>
      <c r="G1447" s="7">
        <v>5.3079999999999998</v>
      </c>
      <c r="H1447" s="7">
        <f t="shared" si="111"/>
        <v>0.19418019026301062</v>
      </c>
      <c r="I1447" s="7">
        <f t="shared" si="112"/>
        <v>0</v>
      </c>
      <c r="J1447" s="12" t="e">
        <f t="shared" si="110"/>
        <v>#DIV/0!</v>
      </c>
    </row>
    <row r="1448" spans="1:10" x14ac:dyDescent="0.2">
      <c r="A1448" s="19" t="s">
        <v>4</v>
      </c>
      <c r="B1448" s="5" t="s">
        <v>20</v>
      </c>
      <c r="C1448" s="23">
        <v>10</v>
      </c>
      <c r="E1448">
        <v>2.4420000000000002</v>
      </c>
      <c r="F1448">
        <v>3.2959999999999998</v>
      </c>
      <c r="G1448">
        <v>5.258</v>
      </c>
      <c r="H1448" s="4">
        <f t="shared" si="111"/>
        <v>0.14563106796116504</v>
      </c>
      <c r="I1448" s="4">
        <f t="shared" si="112"/>
        <v>0</v>
      </c>
      <c r="J1448" s="10">
        <f t="shared" si="110"/>
        <v>0</v>
      </c>
    </row>
    <row r="1449" spans="1:10" x14ac:dyDescent="0.2">
      <c r="A1449" s="20"/>
      <c r="B1449" s="6" t="s">
        <v>21</v>
      </c>
      <c r="C1449" s="23"/>
      <c r="D1449">
        <v>732</v>
      </c>
      <c r="E1449">
        <v>2.4359999999999999</v>
      </c>
      <c r="F1449">
        <v>3.0859999999999999</v>
      </c>
      <c r="G1449">
        <v>5.056</v>
      </c>
      <c r="H1449">
        <f t="shared" si="111"/>
        <v>0.15100453661697982</v>
      </c>
      <c r="I1449">
        <f t="shared" si="112"/>
        <v>621.46467919637075</v>
      </c>
      <c r="J1449" s="11" t="e">
        <f t="shared" si="110"/>
        <v>#DIV/0!</v>
      </c>
    </row>
    <row r="1450" spans="1:10" x14ac:dyDescent="0.2">
      <c r="A1450" s="25"/>
      <c r="B1450" s="8" t="s">
        <v>22</v>
      </c>
      <c r="C1450" s="26"/>
      <c r="D1450" s="7"/>
      <c r="E1450" s="7">
        <v>2.4569999999999999</v>
      </c>
      <c r="F1450" s="7">
        <v>3.06</v>
      </c>
      <c r="G1450" s="7">
        <v>5.0940000000000003</v>
      </c>
      <c r="H1450" s="7">
        <f t="shared" si="111"/>
        <v>0.13823529411764693</v>
      </c>
      <c r="I1450" s="7">
        <f t="shared" si="112"/>
        <v>0</v>
      </c>
      <c r="J1450" s="12" t="e">
        <f t="shared" si="110"/>
        <v>#DIV/0!</v>
      </c>
    </row>
    <row r="1451" spans="1:10" x14ac:dyDescent="0.2">
      <c r="A1451" s="19" t="s">
        <v>5</v>
      </c>
      <c r="B1451" s="5" t="s">
        <v>20</v>
      </c>
      <c r="C1451" s="22">
        <v>10</v>
      </c>
      <c r="D1451" s="4"/>
      <c r="E1451" s="4">
        <v>2.4340000000000002</v>
      </c>
      <c r="F1451" s="4">
        <v>3.1230000000000002</v>
      </c>
      <c r="G1451" s="4">
        <v>5.1630000000000003</v>
      </c>
      <c r="H1451" s="4">
        <f t="shared" si="111"/>
        <v>0.12616074287544032</v>
      </c>
      <c r="I1451" s="4">
        <f t="shared" si="112"/>
        <v>0</v>
      </c>
      <c r="J1451" s="10">
        <f t="shared" si="110"/>
        <v>0</v>
      </c>
    </row>
    <row r="1452" spans="1:10" x14ac:dyDescent="0.2">
      <c r="A1452" s="20"/>
      <c r="B1452" s="6" t="s">
        <v>21</v>
      </c>
      <c r="C1452" s="23"/>
      <c r="D1452">
        <v>736</v>
      </c>
      <c r="E1452">
        <v>2.4510000000000001</v>
      </c>
      <c r="F1452">
        <v>3.5840000000000001</v>
      </c>
      <c r="G1452">
        <v>5.5780000000000003</v>
      </c>
      <c r="H1452">
        <f t="shared" si="111"/>
        <v>0.12751116071428567</v>
      </c>
      <c r="I1452">
        <f t="shared" si="112"/>
        <v>642.15178571428578</v>
      </c>
      <c r="J1452" s="11" t="e">
        <f t="shared" si="110"/>
        <v>#DIV/0!</v>
      </c>
    </row>
    <row r="1453" spans="1:10" x14ac:dyDescent="0.2">
      <c r="A1453" s="25"/>
      <c r="B1453" s="8" t="s">
        <v>22</v>
      </c>
      <c r="C1453" s="26"/>
      <c r="D1453" s="7"/>
      <c r="E1453" s="7">
        <v>2.4969999999999999</v>
      </c>
      <c r="F1453" s="7">
        <v>3.4910000000000001</v>
      </c>
      <c r="G1453" s="7">
        <v>5.5060000000000002</v>
      </c>
      <c r="H1453" s="7">
        <f t="shared" si="111"/>
        <v>0.13806932111142931</v>
      </c>
      <c r="I1453" s="7">
        <f t="shared" si="112"/>
        <v>0</v>
      </c>
      <c r="J1453" s="12" t="e">
        <f t="shared" si="110"/>
        <v>#DIV/0!</v>
      </c>
    </row>
    <row r="1454" spans="1:10" x14ac:dyDescent="0.2">
      <c r="A1454" s="19" t="s">
        <v>6</v>
      </c>
      <c r="B1454" s="5" t="s">
        <v>20</v>
      </c>
      <c r="C1454" s="22">
        <v>10</v>
      </c>
      <c r="D1454" s="4"/>
      <c r="E1454" s="4">
        <v>2.4340000000000002</v>
      </c>
      <c r="F1454" s="4">
        <v>3.0070000000000001</v>
      </c>
      <c r="G1454" s="4">
        <v>5.03</v>
      </c>
      <c r="H1454" s="4">
        <f t="shared" si="111"/>
        <v>0.1366810774858663</v>
      </c>
      <c r="I1454" s="4">
        <f t="shared" si="112"/>
        <v>0</v>
      </c>
      <c r="J1454" s="10">
        <f t="shared" si="110"/>
        <v>0</v>
      </c>
    </row>
    <row r="1455" spans="1:10" x14ac:dyDescent="0.2">
      <c r="A1455" s="20"/>
      <c r="B1455" s="6" t="s">
        <v>21</v>
      </c>
      <c r="C1455" s="23"/>
      <c r="D1455">
        <v>754</v>
      </c>
      <c r="E1455">
        <v>2.4620000000000002</v>
      </c>
      <c r="F1455">
        <v>3.89</v>
      </c>
      <c r="G1455">
        <v>5.8410000000000002</v>
      </c>
      <c r="H1455">
        <f t="shared" si="111"/>
        <v>0.13136246786632394</v>
      </c>
      <c r="I1455">
        <f t="shared" si="112"/>
        <v>654.95269922879174</v>
      </c>
      <c r="J1455" s="11" t="e">
        <f t="shared" si="110"/>
        <v>#DIV/0!</v>
      </c>
    </row>
    <row r="1456" spans="1:10" x14ac:dyDescent="0.2">
      <c r="A1456" s="25"/>
      <c r="B1456" s="8" t="s">
        <v>22</v>
      </c>
      <c r="C1456" s="26"/>
      <c r="D1456" s="7"/>
      <c r="E1456" s="7">
        <v>2.4369999999999998</v>
      </c>
      <c r="F1456" s="7">
        <v>3.1179999999999999</v>
      </c>
      <c r="G1456" s="7">
        <v>5.1550000000000002</v>
      </c>
      <c r="H1456" s="7">
        <f t="shared" si="111"/>
        <v>0.12828736369467592</v>
      </c>
      <c r="I1456" s="7">
        <f t="shared" si="112"/>
        <v>0</v>
      </c>
      <c r="J1456" s="12" t="e">
        <f t="shared" si="110"/>
        <v>#DIV/0!</v>
      </c>
    </row>
    <row r="1457" spans="1:10" x14ac:dyDescent="0.2">
      <c r="A1457" s="19" t="s">
        <v>7</v>
      </c>
      <c r="B1457" s="5" t="s">
        <v>20</v>
      </c>
      <c r="C1457" s="22">
        <v>10</v>
      </c>
      <c r="D1457" s="4"/>
      <c r="E1457" s="4">
        <v>2.4409999999999998</v>
      </c>
      <c r="F1457" s="4">
        <v>3.8290000000000002</v>
      </c>
      <c r="G1457" s="4">
        <v>5.9009999999999998</v>
      </c>
      <c r="H1457" s="4">
        <f t="shared" si="111"/>
        <v>9.6369809349699714E-2</v>
      </c>
      <c r="I1457" s="4">
        <f t="shared" si="112"/>
        <v>0</v>
      </c>
      <c r="J1457" s="10">
        <f t="shared" si="110"/>
        <v>0</v>
      </c>
    </row>
    <row r="1458" spans="1:10" x14ac:dyDescent="0.2">
      <c r="A1458" s="20"/>
      <c r="B1458" s="6" t="s">
        <v>21</v>
      </c>
      <c r="C1458" s="23"/>
      <c r="D1458">
        <v>890</v>
      </c>
      <c r="E1458">
        <v>2.4849999999999999</v>
      </c>
      <c r="F1458">
        <v>3.1949999999999998</v>
      </c>
      <c r="G1458">
        <v>5.3860000000000001</v>
      </c>
      <c r="H1458">
        <f t="shared" si="111"/>
        <v>9.2018779342722887E-2</v>
      </c>
      <c r="I1458">
        <f t="shared" si="112"/>
        <v>808.10328638497663</v>
      </c>
      <c r="J1458" s="11" t="e">
        <f t="shared" si="110"/>
        <v>#DIV/0!</v>
      </c>
    </row>
    <row r="1459" spans="1:10" x14ac:dyDescent="0.2">
      <c r="A1459" s="25"/>
      <c r="B1459" s="8" t="s">
        <v>22</v>
      </c>
      <c r="C1459" s="26"/>
      <c r="D1459" s="7"/>
      <c r="E1459" s="7">
        <v>2.4159999999999999</v>
      </c>
      <c r="F1459" s="7">
        <v>3.105</v>
      </c>
      <c r="G1459" s="7">
        <v>5.2460000000000004</v>
      </c>
      <c r="H1459" s="7">
        <f t="shared" si="111"/>
        <v>8.8566827697262304E-2</v>
      </c>
      <c r="I1459" s="7">
        <f t="shared" si="112"/>
        <v>0</v>
      </c>
      <c r="J1459" s="12" t="e">
        <f t="shared" si="110"/>
        <v>#DIV/0!</v>
      </c>
    </row>
    <row r="1460" spans="1:10" x14ac:dyDescent="0.2">
      <c r="A1460" s="19" t="s">
        <v>8</v>
      </c>
      <c r="B1460" s="5" t="s">
        <v>20</v>
      </c>
      <c r="C1460" s="22">
        <v>10</v>
      </c>
      <c r="D1460" s="4"/>
      <c r="E1460" s="4">
        <v>2.472</v>
      </c>
      <c r="F1460" s="4">
        <v>3.0950000000000002</v>
      </c>
      <c r="G1460" s="4">
        <v>5.3220000000000001</v>
      </c>
      <c r="H1460" s="4">
        <f t="shared" si="111"/>
        <v>7.9159935379644622E-2</v>
      </c>
      <c r="I1460" s="4">
        <f t="shared" si="112"/>
        <v>0</v>
      </c>
      <c r="J1460" s="10">
        <f t="shared" si="110"/>
        <v>0</v>
      </c>
    </row>
    <row r="1461" spans="1:10" x14ac:dyDescent="0.2">
      <c r="A1461" s="20"/>
      <c r="B1461" s="6" t="s">
        <v>21</v>
      </c>
      <c r="C1461" s="23"/>
      <c r="D1461">
        <v>750</v>
      </c>
      <c r="E1461">
        <v>2.4809999999999999</v>
      </c>
      <c r="F1461">
        <v>3.4340000000000002</v>
      </c>
      <c r="G1461">
        <v>5.665</v>
      </c>
      <c r="H1461">
        <f t="shared" si="111"/>
        <v>7.2801397786837502E-2</v>
      </c>
      <c r="I1461">
        <f t="shared" si="112"/>
        <v>695.39895165987184</v>
      </c>
      <c r="J1461" s="11" t="e">
        <f t="shared" si="110"/>
        <v>#DIV/0!</v>
      </c>
    </row>
    <row r="1462" spans="1:10" x14ac:dyDescent="0.2">
      <c r="A1462" s="25"/>
      <c r="B1462" s="8" t="s">
        <v>22</v>
      </c>
      <c r="C1462" s="26"/>
      <c r="D1462" s="7"/>
      <c r="E1462" s="7">
        <v>2.4620000000000002</v>
      </c>
      <c r="F1462" s="7">
        <v>3.133</v>
      </c>
      <c r="G1462" s="7">
        <v>5.3620000000000001</v>
      </c>
      <c r="H1462" s="7">
        <f t="shared" si="111"/>
        <v>7.4369613788700953E-2</v>
      </c>
      <c r="I1462" s="7">
        <f t="shared" si="112"/>
        <v>0</v>
      </c>
      <c r="J1462" s="12" t="e">
        <f t="shared" si="110"/>
        <v>#DIV/0!</v>
      </c>
    </row>
    <row r="1463" spans="1:10" x14ac:dyDescent="0.2">
      <c r="A1463" s="19" t="s">
        <v>9</v>
      </c>
      <c r="B1463" s="5" t="s">
        <v>20</v>
      </c>
      <c r="C1463" s="22">
        <v>10</v>
      </c>
      <c r="D1463" s="4"/>
      <c r="E1463" s="4">
        <v>2.4249999999999998</v>
      </c>
      <c r="F1463" s="4">
        <v>3.4950000000000001</v>
      </c>
      <c r="G1463" s="4">
        <v>5.6749999999999998</v>
      </c>
      <c r="H1463" s="4">
        <f t="shared" si="111"/>
        <v>7.0100143061516476E-2</v>
      </c>
      <c r="I1463" s="4">
        <f t="shared" si="112"/>
        <v>0</v>
      </c>
      <c r="J1463" s="10">
        <f t="shared" si="110"/>
        <v>0</v>
      </c>
    </row>
    <row r="1464" spans="1:10" x14ac:dyDescent="0.2">
      <c r="A1464" s="20"/>
      <c r="B1464" s="6" t="s">
        <v>21</v>
      </c>
      <c r="C1464" s="23"/>
      <c r="D1464">
        <v>878</v>
      </c>
      <c r="E1464">
        <v>2.4279999999999999</v>
      </c>
      <c r="F1464">
        <v>3.3159999999999998</v>
      </c>
      <c r="G1464">
        <v>5.5529999999999999</v>
      </c>
      <c r="H1464">
        <f t="shared" si="111"/>
        <v>5.7599517490952906E-2</v>
      </c>
      <c r="I1464">
        <f t="shared" si="112"/>
        <v>827.42762364294333</v>
      </c>
      <c r="J1464" s="11" t="e">
        <f t="shared" si="110"/>
        <v>#DIV/0!</v>
      </c>
    </row>
    <row r="1465" spans="1:10" x14ac:dyDescent="0.2">
      <c r="A1465" s="25"/>
      <c r="B1465" s="8" t="s">
        <v>22</v>
      </c>
      <c r="C1465" s="26"/>
      <c r="D1465" s="7"/>
      <c r="E1465" s="7">
        <v>2.46</v>
      </c>
      <c r="F1465" s="7">
        <v>3.6669999999999998</v>
      </c>
      <c r="G1465" s="7">
        <v>5.9050000000000002</v>
      </c>
      <c r="H1465" s="7">
        <f t="shared" si="111"/>
        <v>6.0539950913553187E-2</v>
      </c>
      <c r="I1465" s="7">
        <f t="shared" si="112"/>
        <v>0</v>
      </c>
      <c r="J1465" s="12" t="e">
        <f t="shared" si="110"/>
        <v>#DIV/0!</v>
      </c>
    </row>
    <row r="1466" spans="1:10" x14ac:dyDescent="0.2">
      <c r="A1466" s="19" t="s">
        <v>10</v>
      </c>
      <c r="B1466" s="5" t="s">
        <v>20</v>
      </c>
      <c r="C1466" s="22">
        <v>10</v>
      </c>
      <c r="D1466" s="4"/>
      <c r="E1466" s="4">
        <v>2.4279999999999999</v>
      </c>
      <c r="F1466" s="4">
        <v>3.758</v>
      </c>
      <c r="G1466" s="4">
        <v>5.9450000000000003</v>
      </c>
      <c r="H1466" s="4">
        <f t="shared" si="111"/>
        <v>6.412985630654594E-2</v>
      </c>
      <c r="I1466" s="4">
        <f t="shared" si="112"/>
        <v>0</v>
      </c>
      <c r="J1466" s="10">
        <f t="shared" si="110"/>
        <v>0</v>
      </c>
    </row>
    <row r="1467" spans="1:10" x14ac:dyDescent="0.2">
      <c r="A1467" s="20"/>
      <c r="B1467" s="6" t="s">
        <v>21</v>
      </c>
      <c r="C1467" s="23"/>
      <c r="D1467">
        <v>950</v>
      </c>
      <c r="E1467">
        <v>2.4500000000000002</v>
      </c>
      <c r="F1467">
        <v>3.2559999999999998</v>
      </c>
      <c r="G1467">
        <v>5.4909999999999997</v>
      </c>
      <c r="H1467">
        <f t="shared" si="111"/>
        <v>6.6031941031941127E-2</v>
      </c>
      <c r="I1467">
        <f t="shared" si="112"/>
        <v>887.26965601965594</v>
      </c>
      <c r="J1467" s="11" t="e">
        <f t="shared" si="110"/>
        <v>#DIV/0!</v>
      </c>
    </row>
    <row r="1468" spans="1:10" x14ac:dyDescent="0.2">
      <c r="A1468" s="25"/>
      <c r="B1468" s="8" t="s">
        <v>22</v>
      </c>
      <c r="C1468" s="26"/>
      <c r="D1468" s="7"/>
      <c r="E1468" s="7">
        <v>2.4489999999999998</v>
      </c>
      <c r="F1468" s="7">
        <v>3.7090000000000001</v>
      </c>
      <c r="G1468" s="7">
        <v>5.9429999999999996</v>
      </c>
      <c r="H1468" s="7">
        <f t="shared" si="111"/>
        <v>5.7967107036937263E-2</v>
      </c>
      <c r="I1468" s="7">
        <f t="shared" si="112"/>
        <v>0</v>
      </c>
      <c r="J1468" s="12" t="e">
        <f t="shared" si="110"/>
        <v>#DIV/0!</v>
      </c>
    </row>
    <row r="1469" spans="1:10" x14ac:dyDescent="0.2">
      <c r="A1469" s="19" t="s">
        <v>11</v>
      </c>
      <c r="B1469" s="5" t="s">
        <v>20</v>
      </c>
      <c r="C1469" s="22">
        <v>10</v>
      </c>
      <c r="D1469" s="4"/>
      <c r="E1469" s="4"/>
      <c r="F1469" s="4"/>
      <c r="G1469" s="4"/>
      <c r="H1469" s="4" t="e">
        <f t="shared" si="111"/>
        <v>#DIV/0!</v>
      </c>
      <c r="I1469" s="4" t="e">
        <f t="shared" si="112"/>
        <v>#DIV/0!</v>
      </c>
      <c r="J1469" s="10" t="e">
        <f t="shared" si="110"/>
        <v>#DIV/0!</v>
      </c>
    </row>
    <row r="1470" spans="1:10" x14ac:dyDescent="0.2">
      <c r="A1470" s="20"/>
      <c r="B1470" s="6" t="s">
        <v>21</v>
      </c>
      <c r="C1470" s="23"/>
      <c r="H1470" t="e">
        <f t="shared" si="111"/>
        <v>#DIV/0!</v>
      </c>
      <c r="I1470" t="e">
        <f t="shared" si="112"/>
        <v>#DIV/0!</v>
      </c>
      <c r="J1470" s="11" t="e">
        <f t="shared" si="110"/>
        <v>#DIV/0!</v>
      </c>
    </row>
    <row r="1471" spans="1:10" x14ac:dyDescent="0.2">
      <c r="A1471" s="25"/>
      <c r="B1471" s="8" t="s">
        <v>22</v>
      </c>
      <c r="C1471" s="26"/>
      <c r="D1471" s="7"/>
      <c r="E1471" s="7"/>
      <c r="F1471" s="7"/>
      <c r="G1471" s="7"/>
      <c r="H1471" s="7" t="e">
        <f t="shared" si="111"/>
        <v>#DIV/0!</v>
      </c>
      <c r="I1471" s="7" t="e">
        <f t="shared" si="112"/>
        <v>#DIV/0!</v>
      </c>
      <c r="J1471" s="12" t="e">
        <f t="shared" si="110"/>
        <v>#DIV/0!</v>
      </c>
    </row>
    <row r="1472" spans="1:10" x14ac:dyDescent="0.2">
      <c r="A1472" s="19" t="s">
        <v>12</v>
      </c>
      <c r="B1472" s="5" t="s">
        <v>20</v>
      </c>
      <c r="C1472" s="22">
        <v>10</v>
      </c>
      <c r="D1472" s="4"/>
      <c r="E1472" s="4"/>
      <c r="F1472" s="4"/>
      <c r="G1472" s="4"/>
      <c r="H1472" s="4" t="e">
        <f t="shared" si="111"/>
        <v>#DIV/0!</v>
      </c>
      <c r="I1472" s="4" t="e">
        <f t="shared" si="112"/>
        <v>#DIV/0!</v>
      </c>
      <c r="J1472" s="10" t="e">
        <f t="shared" si="110"/>
        <v>#DIV/0!</v>
      </c>
    </row>
    <row r="1473" spans="1:10" x14ac:dyDescent="0.2">
      <c r="A1473" s="20"/>
      <c r="B1473" s="6" t="s">
        <v>21</v>
      </c>
      <c r="C1473" s="23"/>
      <c r="H1473" t="e">
        <f t="shared" si="111"/>
        <v>#DIV/0!</v>
      </c>
      <c r="I1473" t="e">
        <f t="shared" si="112"/>
        <v>#DIV/0!</v>
      </c>
      <c r="J1473" s="11" t="e">
        <f t="shared" si="110"/>
        <v>#DIV/0!</v>
      </c>
    </row>
    <row r="1474" spans="1:10" x14ac:dyDescent="0.2">
      <c r="A1474" s="25"/>
      <c r="B1474" s="8" t="s">
        <v>22</v>
      </c>
      <c r="C1474" s="26"/>
      <c r="D1474" s="7"/>
      <c r="E1474" s="7"/>
      <c r="F1474" s="7"/>
      <c r="G1474" s="7"/>
      <c r="H1474" s="7" t="e">
        <f t="shared" si="111"/>
        <v>#DIV/0!</v>
      </c>
      <c r="I1474" s="7" t="e">
        <f t="shared" si="112"/>
        <v>#DIV/0!</v>
      </c>
      <c r="J1474" s="12" t="e">
        <f t="shared" si="110"/>
        <v>#DIV/0!</v>
      </c>
    </row>
    <row r="1475" spans="1:10" x14ac:dyDescent="0.2">
      <c r="A1475" s="19" t="s">
        <v>13</v>
      </c>
      <c r="B1475" s="5" t="s">
        <v>20</v>
      </c>
      <c r="C1475" s="22">
        <v>10</v>
      </c>
      <c r="D1475" s="4"/>
      <c r="E1475" s="4"/>
      <c r="F1475" s="4"/>
      <c r="G1475" s="4"/>
      <c r="H1475" s="4" t="e">
        <f t="shared" si="111"/>
        <v>#DIV/0!</v>
      </c>
      <c r="I1475" s="4" t="e">
        <f t="shared" si="112"/>
        <v>#DIV/0!</v>
      </c>
      <c r="J1475" s="10" t="e">
        <f t="shared" si="110"/>
        <v>#DIV/0!</v>
      </c>
    </row>
    <row r="1476" spans="1:10" x14ac:dyDescent="0.2">
      <c r="A1476" s="20"/>
      <c r="B1476" s="6" t="s">
        <v>21</v>
      </c>
      <c r="C1476" s="23"/>
      <c r="H1476" t="e">
        <f t="shared" si="111"/>
        <v>#DIV/0!</v>
      </c>
      <c r="I1476" t="e">
        <f t="shared" si="112"/>
        <v>#DIV/0!</v>
      </c>
      <c r="J1476" s="11" t="e">
        <f t="shared" si="110"/>
        <v>#DIV/0!</v>
      </c>
    </row>
    <row r="1477" spans="1:10" x14ac:dyDescent="0.2">
      <c r="A1477" s="25"/>
      <c r="B1477" s="8" t="s">
        <v>22</v>
      </c>
      <c r="C1477" s="26"/>
      <c r="D1477" s="7"/>
      <c r="E1477" s="7"/>
      <c r="F1477" s="7"/>
      <c r="G1477" s="7"/>
      <c r="H1477" s="7" t="e">
        <f t="shared" si="111"/>
        <v>#DIV/0!</v>
      </c>
      <c r="I1477" s="7" t="e">
        <f t="shared" si="112"/>
        <v>#DIV/0!</v>
      </c>
      <c r="J1477" s="12" t="e">
        <f t="shared" si="110"/>
        <v>#DIV/0!</v>
      </c>
    </row>
    <row r="1478" spans="1:10" x14ac:dyDescent="0.2">
      <c r="A1478" s="19" t="s">
        <v>14</v>
      </c>
      <c r="B1478" s="5" t="s">
        <v>20</v>
      </c>
      <c r="C1478" s="22">
        <v>10</v>
      </c>
      <c r="D1478" s="4"/>
      <c r="E1478" s="4"/>
      <c r="F1478" s="4"/>
      <c r="G1478" s="4"/>
      <c r="H1478" s="4" t="e">
        <f t="shared" si="111"/>
        <v>#DIV/0!</v>
      </c>
      <c r="I1478" s="4" t="e">
        <f t="shared" si="112"/>
        <v>#DIV/0!</v>
      </c>
      <c r="J1478" s="10" t="e">
        <f t="shared" si="110"/>
        <v>#DIV/0!</v>
      </c>
    </row>
    <row r="1479" spans="1:10" x14ac:dyDescent="0.2">
      <c r="A1479" s="20"/>
      <c r="B1479" s="6" t="s">
        <v>21</v>
      </c>
      <c r="C1479" s="23"/>
      <c r="H1479" t="e">
        <f t="shared" si="111"/>
        <v>#DIV/0!</v>
      </c>
      <c r="I1479" t="e">
        <f t="shared" si="112"/>
        <v>#DIV/0!</v>
      </c>
      <c r="J1479" s="11" t="e">
        <f t="shared" si="110"/>
        <v>#DIV/0!</v>
      </c>
    </row>
    <row r="1480" spans="1:10" ht="16" thickBot="1" x14ac:dyDescent="0.25">
      <c r="A1480" s="21"/>
      <c r="B1480" s="15" t="s">
        <v>22</v>
      </c>
      <c r="C1480" s="24"/>
      <c r="D1480" s="13"/>
      <c r="E1480" s="13"/>
      <c r="F1480" s="13"/>
      <c r="G1480" s="13"/>
      <c r="H1480" s="13" t="e">
        <f t="shared" si="111"/>
        <v>#DIV/0!</v>
      </c>
      <c r="I1480" s="13" t="e">
        <f t="shared" si="112"/>
        <v>#DIV/0!</v>
      </c>
      <c r="J1480" s="14" t="e">
        <f t="shared" si="110"/>
        <v>#DIV/0!</v>
      </c>
    </row>
    <row r="1481" spans="1:10" ht="16" thickBot="1" x14ac:dyDescent="0.25">
      <c r="A1481" s="44" t="s">
        <v>1</v>
      </c>
      <c r="B1481" s="33"/>
      <c r="C1481" s="33"/>
      <c r="D1481" s="33" t="s">
        <v>51</v>
      </c>
      <c r="E1481" s="34"/>
      <c r="F1481" s="9" t="s">
        <v>0</v>
      </c>
      <c r="G1481" s="18">
        <v>44157</v>
      </c>
      <c r="H1481" s="35" t="s">
        <v>24</v>
      </c>
      <c r="I1481" s="36"/>
      <c r="J1481" s="1">
        <v>120</v>
      </c>
    </row>
    <row r="1482" spans="1:10" ht="16" thickBot="1" x14ac:dyDescent="0.25">
      <c r="A1482" s="37" t="s">
        <v>2</v>
      </c>
      <c r="B1482" s="38"/>
      <c r="C1482" s="38"/>
      <c r="D1482" s="38"/>
      <c r="E1482" s="39"/>
      <c r="F1482" s="40"/>
      <c r="G1482" s="41"/>
      <c r="H1482" s="42" t="s">
        <v>25</v>
      </c>
      <c r="I1482" s="43"/>
      <c r="J1482" s="2">
        <v>27.5</v>
      </c>
    </row>
    <row r="1483" spans="1:10" ht="16" thickBot="1" x14ac:dyDescent="0.25">
      <c r="A1483" s="45" t="s">
        <v>27</v>
      </c>
      <c r="B1483" s="27"/>
      <c r="C1483" s="27"/>
      <c r="D1483" s="27" t="s">
        <v>36</v>
      </c>
      <c r="E1483" s="28"/>
      <c r="F1483" s="16" t="s">
        <v>30</v>
      </c>
      <c r="G1483" s="16">
        <v>3.81</v>
      </c>
      <c r="H1483" s="29" t="s">
        <v>26</v>
      </c>
      <c r="I1483" s="30"/>
      <c r="J1483" s="3">
        <v>53.5</v>
      </c>
    </row>
    <row r="1484" spans="1:10" x14ac:dyDescent="0.2">
      <c r="A1484" s="31"/>
      <c r="B1484" s="32"/>
      <c r="C1484" s="16" t="s">
        <v>29</v>
      </c>
      <c r="D1484" s="16" t="s">
        <v>19</v>
      </c>
      <c r="E1484" s="16" t="s">
        <v>15</v>
      </c>
      <c r="F1484" s="16" t="s">
        <v>18</v>
      </c>
      <c r="G1484" s="16" t="s">
        <v>17</v>
      </c>
      <c r="H1484" s="16" t="s">
        <v>28</v>
      </c>
      <c r="I1484" s="16" t="s">
        <v>16</v>
      </c>
      <c r="J1484" s="17" t="s">
        <v>23</v>
      </c>
    </row>
    <row r="1485" spans="1:10" x14ac:dyDescent="0.2">
      <c r="A1485" s="19" t="s">
        <v>3</v>
      </c>
      <c r="B1485" s="5" t="s">
        <v>20</v>
      </c>
      <c r="C1485" s="22">
        <v>10</v>
      </c>
      <c r="D1485" s="4"/>
      <c r="E1485" s="4">
        <v>2.431</v>
      </c>
      <c r="F1485" s="4">
        <v>3.4750000000000001</v>
      </c>
      <c r="G1485" s="4">
        <v>5.2119999999999997</v>
      </c>
      <c r="H1485" s="4">
        <f>(F1485-(G1485-E1485))/F1485</f>
        <v>0.19971223021582746</v>
      </c>
      <c r="I1485" s="4">
        <f>D1485-H1485*D1485</f>
        <v>0</v>
      </c>
      <c r="J1485" s="10">
        <f t="shared" ref="J1485:J1520" si="113">I1485/($G$3^2*C1485*PI())</f>
        <v>0</v>
      </c>
    </row>
    <row r="1486" spans="1:10" x14ac:dyDescent="0.2">
      <c r="A1486" s="20"/>
      <c r="B1486" s="6" t="s">
        <v>21</v>
      </c>
      <c r="C1486" s="23"/>
      <c r="D1486">
        <v>580</v>
      </c>
      <c r="E1486">
        <v>2.4239999999999999</v>
      </c>
      <c r="F1486">
        <v>3.27</v>
      </c>
      <c r="G1486">
        <v>5.0739999999999998</v>
      </c>
      <c r="H1486">
        <f t="shared" ref="H1486:H1520" si="114">(F1486-(G1486-E1486))/F1486</f>
        <v>0.18960244648318045</v>
      </c>
      <c r="I1486">
        <f t="shared" ref="I1486:I1520" si="115">D1486-H1486*D1486</f>
        <v>470.03058103975536</v>
      </c>
      <c r="J1486" s="11" t="e">
        <f t="shared" si="113"/>
        <v>#DIV/0!</v>
      </c>
    </row>
    <row r="1487" spans="1:10" x14ac:dyDescent="0.2">
      <c r="A1487" s="25"/>
      <c r="B1487" s="8" t="s">
        <v>22</v>
      </c>
      <c r="C1487" s="26"/>
      <c r="D1487" s="7"/>
      <c r="E1487" s="7">
        <v>2.4329999999999998</v>
      </c>
      <c r="F1487" s="7">
        <v>3.0630000000000002</v>
      </c>
      <c r="G1487" s="7">
        <v>4.9119999999999999</v>
      </c>
      <c r="H1487" s="7">
        <f t="shared" si="114"/>
        <v>0.19066274893894875</v>
      </c>
      <c r="I1487" s="7">
        <f t="shared" si="115"/>
        <v>0</v>
      </c>
      <c r="J1487" s="12" t="e">
        <f t="shared" si="113"/>
        <v>#DIV/0!</v>
      </c>
    </row>
    <row r="1488" spans="1:10" x14ac:dyDescent="0.2">
      <c r="A1488" s="19" t="s">
        <v>4</v>
      </c>
      <c r="B1488" s="5" t="s">
        <v>20</v>
      </c>
      <c r="C1488" s="23">
        <v>10</v>
      </c>
      <c r="E1488">
        <v>2.4350000000000001</v>
      </c>
      <c r="F1488">
        <v>3.15</v>
      </c>
      <c r="G1488">
        <v>5.008</v>
      </c>
      <c r="H1488" s="4">
        <f t="shared" si="114"/>
        <v>0.18317460317460316</v>
      </c>
      <c r="I1488" s="4">
        <f t="shared" si="115"/>
        <v>0</v>
      </c>
      <c r="J1488" s="10">
        <f t="shared" si="113"/>
        <v>0</v>
      </c>
    </row>
    <row r="1489" spans="1:10" x14ac:dyDescent="0.2">
      <c r="A1489" s="20"/>
      <c r="B1489" s="6" t="s">
        <v>21</v>
      </c>
      <c r="C1489" s="23"/>
      <c r="D1489">
        <v>763</v>
      </c>
      <c r="E1489">
        <v>2.4340000000000002</v>
      </c>
      <c r="F1489">
        <v>3.2080000000000002</v>
      </c>
      <c r="G1489">
        <v>5.141</v>
      </c>
      <c r="H1489">
        <f t="shared" si="114"/>
        <v>0.15617206982543649</v>
      </c>
      <c r="I1489">
        <f t="shared" si="115"/>
        <v>643.84071072319193</v>
      </c>
      <c r="J1489" s="11" t="e">
        <f t="shared" si="113"/>
        <v>#DIV/0!</v>
      </c>
    </row>
    <row r="1490" spans="1:10" x14ac:dyDescent="0.2">
      <c r="A1490" s="25"/>
      <c r="B1490" s="8" t="s">
        <v>22</v>
      </c>
      <c r="C1490" s="26"/>
      <c r="D1490" s="7"/>
      <c r="E1490" s="7">
        <v>2.4449999999999998</v>
      </c>
      <c r="F1490" s="7">
        <v>3.2930000000000001</v>
      </c>
      <c r="G1490" s="7">
        <v>5.133</v>
      </c>
      <c r="H1490" s="7">
        <f t="shared" si="114"/>
        <v>0.18372304889158819</v>
      </c>
      <c r="I1490" s="7">
        <f t="shared" si="115"/>
        <v>0</v>
      </c>
      <c r="J1490" s="12" t="e">
        <f t="shared" si="113"/>
        <v>#DIV/0!</v>
      </c>
    </row>
    <row r="1491" spans="1:10" x14ac:dyDescent="0.2">
      <c r="A1491" s="19" t="s">
        <v>5</v>
      </c>
      <c r="B1491" s="5" t="s">
        <v>20</v>
      </c>
      <c r="C1491" s="22">
        <v>10</v>
      </c>
      <c r="D1491" s="4"/>
      <c r="E1491" s="4">
        <v>2.4359999999999999</v>
      </c>
      <c r="F1491" s="4">
        <v>3.1859999999999999</v>
      </c>
      <c r="G1491" s="4">
        <v>5.101</v>
      </c>
      <c r="H1491" s="4">
        <f t="shared" si="114"/>
        <v>0.16352793471437538</v>
      </c>
      <c r="I1491" s="4">
        <f t="shared" si="115"/>
        <v>0</v>
      </c>
      <c r="J1491" s="10">
        <f t="shared" si="113"/>
        <v>0</v>
      </c>
    </row>
    <row r="1492" spans="1:10" x14ac:dyDescent="0.2">
      <c r="A1492" s="20"/>
      <c r="B1492" s="6" t="s">
        <v>21</v>
      </c>
      <c r="C1492" s="23"/>
      <c r="D1492">
        <v>745</v>
      </c>
      <c r="E1492">
        <v>2.4359999999999999</v>
      </c>
      <c r="F1492">
        <v>3.2189999999999999</v>
      </c>
      <c r="G1492">
        <v>5.0259999999999998</v>
      </c>
      <c r="H1492">
        <f t="shared" si="114"/>
        <v>0.19540229885057472</v>
      </c>
      <c r="I1492">
        <f t="shared" si="115"/>
        <v>599.42528735632186</v>
      </c>
      <c r="J1492" s="11" t="e">
        <f t="shared" si="113"/>
        <v>#DIV/0!</v>
      </c>
    </row>
    <row r="1493" spans="1:10" x14ac:dyDescent="0.2">
      <c r="A1493" s="25"/>
      <c r="B1493" s="8" t="s">
        <v>22</v>
      </c>
      <c r="C1493" s="26"/>
      <c r="D1493" s="7"/>
      <c r="E1493" s="7">
        <v>2.4239999999999999</v>
      </c>
      <c r="F1493" s="7">
        <v>3.5</v>
      </c>
      <c r="G1493" s="7">
        <v>5.2389999999999999</v>
      </c>
      <c r="H1493" s="7">
        <f t="shared" si="114"/>
        <v>0.19571428571428573</v>
      </c>
      <c r="I1493" s="7">
        <f t="shared" si="115"/>
        <v>0</v>
      </c>
      <c r="J1493" s="12" t="e">
        <f t="shared" si="113"/>
        <v>#DIV/0!</v>
      </c>
    </row>
    <row r="1494" spans="1:10" x14ac:dyDescent="0.2">
      <c r="A1494" s="19" t="s">
        <v>6</v>
      </c>
      <c r="B1494" s="5" t="s">
        <v>20</v>
      </c>
      <c r="C1494" s="22">
        <v>10</v>
      </c>
      <c r="D1494" s="4"/>
      <c r="E1494" s="4">
        <v>2.464</v>
      </c>
      <c r="F1494" s="4">
        <v>3.8660000000000001</v>
      </c>
      <c r="G1494" s="4">
        <v>5.6909999999999998</v>
      </c>
      <c r="H1494" s="4">
        <f t="shared" si="114"/>
        <v>0.16528711846870156</v>
      </c>
      <c r="I1494" s="4">
        <f t="shared" si="115"/>
        <v>0</v>
      </c>
      <c r="J1494" s="10">
        <f t="shared" si="113"/>
        <v>0</v>
      </c>
    </row>
    <row r="1495" spans="1:10" x14ac:dyDescent="0.2">
      <c r="A1495" s="20"/>
      <c r="B1495" s="6" t="s">
        <v>21</v>
      </c>
      <c r="C1495" s="23"/>
      <c r="D1495">
        <v>835</v>
      </c>
      <c r="E1495">
        <v>2.423</v>
      </c>
      <c r="F1495">
        <v>3.2229999999999999</v>
      </c>
      <c r="G1495">
        <v>5.1050000000000004</v>
      </c>
      <c r="H1495">
        <f t="shared" si="114"/>
        <v>0.16785603475023256</v>
      </c>
      <c r="I1495">
        <f t="shared" si="115"/>
        <v>694.84021098355583</v>
      </c>
      <c r="J1495" s="11" t="e">
        <f t="shared" si="113"/>
        <v>#DIV/0!</v>
      </c>
    </row>
    <row r="1496" spans="1:10" x14ac:dyDescent="0.2">
      <c r="A1496" s="25"/>
      <c r="B1496" s="8" t="s">
        <v>22</v>
      </c>
      <c r="C1496" s="26"/>
      <c r="D1496" s="7"/>
      <c r="E1496" s="7">
        <v>2.4369999999999998</v>
      </c>
      <c r="F1496" s="7">
        <v>3.4580000000000002</v>
      </c>
      <c r="G1496" s="7">
        <v>5.3129999999999997</v>
      </c>
      <c r="H1496" s="7">
        <f t="shared" si="114"/>
        <v>0.16830537883169469</v>
      </c>
      <c r="I1496" s="7">
        <f t="shared" si="115"/>
        <v>0</v>
      </c>
      <c r="J1496" s="12" t="e">
        <f t="shared" si="113"/>
        <v>#DIV/0!</v>
      </c>
    </row>
    <row r="1497" spans="1:10" x14ac:dyDescent="0.2">
      <c r="A1497" s="19" t="s">
        <v>7</v>
      </c>
      <c r="B1497" s="5" t="s">
        <v>20</v>
      </c>
      <c r="C1497" s="22">
        <v>10</v>
      </c>
      <c r="D1497" s="4"/>
      <c r="E1497" s="4">
        <v>2.4169999999999998</v>
      </c>
      <c r="F1497" s="4">
        <v>3.516</v>
      </c>
      <c r="G1497" s="4">
        <v>5.3540000000000001</v>
      </c>
      <c r="H1497" s="4">
        <f t="shared" si="114"/>
        <v>0.16467576791808866</v>
      </c>
      <c r="I1497" s="4">
        <f t="shared" si="115"/>
        <v>0</v>
      </c>
      <c r="J1497" s="10">
        <f t="shared" si="113"/>
        <v>0</v>
      </c>
    </row>
    <row r="1498" spans="1:10" x14ac:dyDescent="0.2">
      <c r="A1498" s="20"/>
      <c r="B1498" s="6" t="s">
        <v>21</v>
      </c>
      <c r="C1498" s="23"/>
      <c r="D1498">
        <v>847</v>
      </c>
      <c r="E1498">
        <v>2.4159999999999999</v>
      </c>
      <c r="F1498">
        <v>3.0790000000000002</v>
      </c>
      <c r="G1498">
        <v>4.9800000000000004</v>
      </c>
      <c r="H1498">
        <f t="shared" si="114"/>
        <v>0.16726209808379333</v>
      </c>
      <c r="I1498">
        <f t="shared" si="115"/>
        <v>705.32900292302702</v>
      </c>
      <c r="J1498" s="11" t="e">
        <f t="shared" si="113"/>
        <v>#DIV/0!</v>
      </c>
    </row>
    <row r="1499" spans="1:10" x14ac:dyDescent="0.2">
      <c r="A1499" s="25"/>
      <c r="B1499" s="8" t="s">
        <v>22</v>
      </c>
      <c r="C1499" s="26"/>
      <c r="D1499" s="7"/>
      <c r="E1499" s="7">
        <v>2.42</v>
      </c>
      <c r="F1499" s="7">
        <v>3.3940000000000001</v>
      </c>
      <c r="G1499" s="7">
        <v>5.2370000000000001</v>
      </c>
      <c r="H1499" s="7">
        <f t="shared" si="114"/>
        <v>0.17000589275191513</v>
      </c>
      <c r="I1499" s="7">
        <f t="shared" si="115"/>
        <v>0</v>
      </c>
      <c r="J1499" s="12" t="e">
        <f t="shared" si="113"/>
        <v>#DIV/0!</v>
      </c>
    </row>
    <row r="1500" spans="1:10" x14ac:dyDescent="0.2">
      <c r="A1500" s="19" t="s">
        <v>8</v>
      </c>
      <c r="B1500" s="5" t="s">
        <v>20</v>
      </c>
      <c r="C1500" s="22">
        <v>10</v>
      </c>
      <c r="D1500" s="4"/>
      <c r="E1500" s="4">
        <v>2.4279999999999999</v>
      </c>
      <c r="F1500" s="4">
        <v>3.0640000000000001</v>
      </c>
      <c r="G1500" s="4">
        <v>4.9710000000000001</v>
      </c>
      <c r="H1500" s="4">
        <f t="shared" si="114"/>
        <v>0.17003916449086159</v>
      </c>
      <c r="I1500" s="4">
        <f t="shared" si="115"/>
        <v>0</v>
      </c>
      <c r="J1500" s="10">
        <f t="shared" si="113"/>
        <v>0</v>
      </c>
    </row>
    <row r="1501" spans="1:10" x14ac:dyDescent="0.2">
      <c r="A1501" s="20"/>
      <c r="B1501" s="6" t="s">
        <v>21</v>
      </c>
      <c r="C1501" s="23"/>
      <c r="D1501">
        <v>786</v>
      </c>
      <c r="E1501">
        <v>2.4430000000000001</v>
      </c>
      <c r="F1501">
        <v>3.1629999999999998</v>
      </c>
      <c r="G1501">
        <v>5.09</v>
      </c>
      <c r="H1501">
        <f t="shared" si="114"/>
        <v>0.1631362630414164</v>
      </c>
      <c r="I1501">
        <f t="shared" si="115"/>
        <v>657.77489724944667</v>
      </c>
      <c r="J1501" s="11" t="e">
        <f t="shared" si="113"/>
        <v>#DIV/0!</v>
      </c>
    </row>
    <row r="1502" spans="1:10" x14ac:dyDescent="0.2">
      <c r="A1502" s="25"/>
      <c r="B1502" s="8" t="s">
        <v>22</v>
      </c>
      <c r="C1502" s="26"/>
      <c r="D1502" s="7"/>
      <c r="E1502" s="7">
        <v>2.4380000000000002</v>
      </c>
      <c r="F1502" s="7">
        <v>3.1419999999999999</v>
      </c>
      <c r="G1502" s="7">
        <v>5.0609999999999999</v>
      </c>
      <c r="H1502" s="7">
        <f t="shared" si="114"/>
        <v>0.16518141311266712</v>
      </c>
      <c r="I1502" s="7">
        <f t="shared" si="115"/>
        <v>0</v>
      </c>
      <c r="J1502" s="12" t="e">
        <f t="shared" si="113"/>
        <v>#DIV/0!</v>
      </c>
    </row>
    <row r="1503" spans="1:10" x14ac:dyDescent="0.2">
      <c r="A1503" s="19" t="s">
        <v>9</v>
      </c>
      <c r="B1503" s="5" t="s">
        <v>20</v>
      </c>
      <c r="C1503" s="22">
        <v>10</v>
      </c>
      <c r="D1503" s="4"/>
      <c r="E1503" s="4">
        <v>2.4119999999999999</v>
      </c>
      <c r="F1503" s="4">
        <v>3.2360000000000002</v>
      </c>
      <c r="G1503" s="4">
        <v>5.0869999999999997</v>
      </c>
      <c r="H1503" s="4">
        <f t="shared" si="114"/>
        <v>0.17336217552534003</v>
      </c>
      <c r="I1503" s="4">
        <f t="shared" si="115"/>
        <v>0</v>
      </c>
      <c r="J1503" s="10">
        <f t="shared" si="113"/>
        <v>0</v>
      </c>
    </row>
    <row r="1504" spans="1:10" x14ac:dyDescent="0.2">
      <c r="A1504" s="20"/>
      <c r="B1504" s="6" t="s">
        <v>21</v>
      </c>
      <c r="C1504" s="23"/>
      <c r="D1504">
        <v>780</v>
      </c>
      <c r="E1504">
        <v>2.4180000000000001</v>
      </c>
      <c r="F1504">
        <v>2.42</v>
      </c>
      <c r="G1504">
        <v>5.2350000000000003</v>
      </c>
      <c r="H1504">
        <f t="shared" si="114"/>
        <v>-0.1640495867768596</v>
      </c>
      <c r="I1504">
        <f t="shared" si="115"/>
        <v>907.95867768595053</v>
      </c>
      <c r="J1504" s="11" t="e">
        <f t="shared" si="113"/>
        <v>#DIV/0!</v>
      </c>
    </row>
    <row r="1505" spans="1:10" x14ac:dyDescent="0.2">
      <c r="A1505" s="25"/>
      <c r="B1505" s="8" t="s">
        <v>22</v>
      </c>
      <c r="C1505" s="26"/>
      <c r="D1505" s="7"/>
      <c r="E1505" s="7">
        <v>2.4129999999999998</v>
      </c>
      <c r="F1505" s="7">
        <v>3.7890000000000001</v>
      </c>
      <c r="G1505" s="7">
        <v>5.51</v>
      </c>
      <c r="H1505" s="7">
        <f t="shared" si="114"/>
        <v>0.18263394035365535</v>
      </c>
      <c r="I1505" s="7">
        <f t="shared" si="115"/>
        <v>0</v>
      </c>
      <c r="J1505" s="12" t="e">
        <f t="shared" si="113"/>
        <v>#DIV/0!</v>
      </c>
    </row>
    <row r="1506" spans="1:10" x14ac:dyDescent="0.2">
      <c r="A1506" s="19" t="s">
        <v>10</v>
      </c>
      <c r="B1506" s="5" t="s">
        <v>20</v>
      </c>
      <c r="C1506" s="22">
        <v>10</v>
      </c>
      <c r="D1506" s="4"/>
      <c r="E1506" s="4">
        <v>2.4529999999999998</v>
      </c>
      <c r="F1506" s="4">
        <v>3.0030000000000001</v>
      </c>
      <c r="G1506" s="4">
        <v>5.9029999999999996</v>
      </c>
      <c r="H1506" s="4">
        <f t="shared" si="114"/>
        <v>-0.14885114885114872</v>
      </c>
      <c r="I1506" s="4">
        <f t="shared" si="115"/>
        <v>0</v>
      </c>
      <c r="J1506" s="10">
        <f t="shared" si="113"/>
        <v>0</v>
      </c>
    </row>
    <row r="1507" spans="1:10" x14ac:dyDescent="0.2">
      <c r="A1507" s="20"/>
      <c r="B1507" s="6" t="s">
        <v>21</v>
      </c>
      <c r="C1507" s="23"/>
      <c r="D1507">
        <v>816</v>
      </c>
      <c r="E1507">
        <v>2.448</v>
      </c>
      <c r="F1507">
        <v>3.2010000000000001</v>
      </c>
      <c r="G1507">
        <v>5.0529999999999999</v>
      </c>
      <c r="H1507">
        <f t="shared" si="114"/>
        <v>0.18619181505779447</v>
      </c>
      <c r="I1507">
        <f t="shared" si="115"/>
        <v>664.06747891283976</v>
      </c>
      <c r="J1507" s="11" t="e">
        <f t="shared" si="113"/>
        <v>#DIV/0!</v>
      </c>
    </row>
    <row r="1508" spans="1:10" x14ac:dyDescent="0.2">
      <c r="A1508" s="25"/>
      <c r="B1508" s="8" t="s">
        <v>22</v>
      </c>
      <c r="C1508" s="26"/>
      <c r="D1508" s="7"/>
      <c r="E1508" s="7">
        <v>2.4460000000000002</v>
      </c>
      <c r="F1508" s="7">
        <v>3.1880000000000002</v>
      </c>
      <c r="G1508" s="7">
        <v>4.9729999999999999</v>
      </c>
      <c r="H1508" s="7">
        <f t="shared" si="114"/>
        <v>0.20734002509410301</v>
      </c>
      <c r="I1508" s="7">
        <f t="shared" si="115"/>
        <v>0</v>
      </c>
      <c r="J1508" s="12" t="e">
        <f t="shared" si="113"/>
        <v>#DIV/0!</v>
      </c>
    </row>
    <row r="1509" spans="1:10" x14ac:dyDescent="0.2">
      <c r="A1509" s="19" t="s">
        <v>11</v>
      </c>
      <c r="B1509" s="5" t="s">
        <v>20</v>
      </c>
      <c r="C1509" s="22">
        <v>10</v>
      </c>
      <c r="D1509" s="4"/>
      <c r="E1509" s="4">
        <v>2.42</v>
      </c>
      <c r="F1509" s="4">
        <v>3.77</v>
      </c>
      <c r="G1509" s="4">
        <v>5.4729999999999999</v>
      </c>
      <c r="H1509" s="4">
        <f t="shared" si="114"/>
        <v>0.19018567639257297</v>
      </c>
      <c r="I1509" s="4">
        <f t="shared" si="115"/>
        <v>0</v>
      </c>
      <c r="J1509" s="10">
        <f t="shared" si="113"/>
        <v>0</v>
      </c>
    </row>
    <row r="1510" spans="1:10" x14ac:dyDescent="0.2">
      <c r="A1510" s="20"/>
      <c r="B1510" s="6" t="s">
        <v>21</v>
      </c>
      <c r="C1510" s="23"/>
      <c r="D1510">
        <v>844</v>
      </c>
      <c r="E1510">
        <v>2.419</v>
      </c>
      <c r="F1510">
        <v>3.0190000000000001</v>
      </c>
      <c r="G1510">
        <v>4.8559999999999999</v>
      </c>
      <c r="H1510">
        <f t="shared" si="114"/>
        <v>0.19277906591586627</v>
      </c>
      <c r="I1510">
        <f t="shared" si="115"/>
        <v>681.2944683670089</v>
      </c>
      <c r="J1510" s="11" t="e">
        <f t="shared" si="113"/>
        <v>#DIV/0!</v>
      </c>
    </row>
    <row r="1511" spans="1:10" x14ac:dyDescent="0.2">
      <c r="A1511" s="25"/>
      <c r="B1511" s="8" t="s">
        <v>22</v>
      </c>
      <c r="C1511" s="26"/>
      <c r="D1511" s="7"/>
      <c r="E1511" s="7">
        <v>2.4529999999999998</v>
      </c>
      <c r="F1511" s="7">
        <v>3.242</v>
      </c>
      <c r="G1511" s="7">
        <v>5.09</v>
      </c>
      <c r="H1511" s="7">
        <f t="shared" si="114"/>
        <v>0.18661320172732881</v>
      </c>
      <c r="I1511" s="7">
        <f t="shared" si="115"/>
        <v>0</v>
      </c>
      <c r="J1511" s="12" t="e">
        <f t="shared" si="113"/>
        <v>#DIV/0!</v>
      </c>
    </row>
    <row r="1512" spans="1:10" x14ac:dyDescent="0.2">
      <c r="A1512" s="19" t="s">
        <v>12</v>
      </c>
      <c r="B1512" s="5" t="s">
        <v>20</v>
      </c>
      <c r="C1512" s="22">
        <v>10</v>
      </c>
      <c r="D1512" s="4"/>
      <c r="E1512" s="4">
        <v>2.4489999999999998</v>
      </c>
      <c r="F1512" s="4">
        <v>3.8490000000000002</v>
      </c>
      <c r="G1512" s="4">
        <v>5.5359999999999996</v>
      </c>
      <c r="H1512" s="4">
        <f t="shared" si="114"/>
        <v>0.19797349961028848</v>
      </c>
      <c r="I1512" s="4">
        <f t="shared" si="115"/>
        <v>0</v>
      </c>
      <c r="J1512" s="10">
        <f t="shared" si="113"/>
        <v>0</v>
      </c>
    </row>
    <row r="1513" spans="1:10" x14ac:dyDescent="0.2">
      <c r="A1513" s="20"/>
      <c r="B1513" s="6" t="s">
        <v>21</v>
      </c>
      <c r="C1513" s="23"/>
      <c r="D1513">
        <v>765</v>
      </c>
      <c r="E1513">
        <v>2.4140000000000001</v>
      </c>
      <c r="F1513">
        <v>3.069</v>
      </c>
      <c r="G1513">
        <v>4.883</v>
      </c>
      <c r="H1513">
        <f t="shared" si="114"/>
        <v>0.19550342130987294</v>
      </c>
      <c r="I1513">
        <f t="shared" si="115"/>
        <v>615.43988269794727</v>
      </c>
      <c r="J1513" s="11" t="e">
        <f t="shared" si="113"/>
        <v>#DIV/0!</v>
      </c>
    </row>
    <row r="1514" spans="1:10" x14ac:dyDescent="0.2">
      <c r="A1514" s="25"/>
      <c r="B1514" s="8" t="s">
        <v>22</v>
      </c>
      <c r="C1514" s="26"/>
      <c r="D1514" s="7"/>
      <c r="E1514" s="7">
        <v>2.4380000000000002</v>
      </c>
      <c r="F1514" s="7">
        <v>3.0779999999999998</v>
      </c>
      <c r="G1514" s="7">
        <v>4.9059999999999997</v>
      </c>
      <c r="H1514" s="7">
        <f t="shared" si="114"/>
        <v>0.19818063677712811</v>
      </c>
      <c r="I1514" s="7">
        <f t="shared" si="115"/>
        <v>0</v>
      </c>
      <c r="J1514" s="12" t="e">
        <f t="shared" si="113"/>
        <v>#DIV/0!</v>
      </c>
    </row>
    <row r="1515" spans="1:10" x14ac:dyDescent="0.2">
      <c r="A1515" s="19" t="s">
        <v>13</v>
      </c>
      <c r="B1515" s="5" t="s">
        <v>20</v>
      </c>
      <c r="C1515" s="22">
        <v>10</v>
      </c>
      <c r="D1515" s="4"/>
      <c r="E1515" s="4">
        <v>2.4390000000000001</v>
      </c>
      <c r="F1515" s="4">
        <v>3.8820000000000001</v>
      </c>
      <c r="G1515" s="4">
        <v>5.5449999999999999</v>
      </c>
      <c r="H1515" s="4">
        <f t="shared" si="114"/>
        <v>0.19989696032972701</v>
      </c>
      <c r="I1515" s="4">
        <f t="shared" si="115"/>
        <v>0</v>
      </c>
      <c r="J1515" s="10">
        <f t="shared" si="113"/>
        <v>0</v>
      </c>
    </row>
    <row r="1516" spans="1:10" x14ac:dyDescent="0.2">
      <c r="A1516" s="20"/>
      <c r="B1516" s="6" t="s">
        <v>21</v>
      </c>
      <c r="C1516" s="23"/>
      <c r="D1516">
        <v>674</v>
      </c>
      <c r="E1516">
        <v>2.4820000000000002</v>
      </c>
      <c r="F1516">
        <v>3.5979999999999999</v>
      </c>
      <c r="G1516">
        <v>5.3440000000000003</v>
      </c>
      <c r="H1516">
        <f t="shared" si="114"/>
        <v>0.20455808782657026</v>
      </c>
      <c r="I1516">
        <f t="shared" si="115"/>
        <v>536.12784880489164</v>
      </c>
      <c r="J1516" s="11" t="e">
        <f t="shared" si="113"/>
        <v>#DIV/0!</v>
      </c>
    </row>
    <row r="1517" spans="1:10" x14ac:dyDescent="0.2">
      <c r="A1517" s="25"/>
      <c r="B1517" s="8" t="s">
        <v>22</v>
      </c>
      <c r="C1517" s="26"/>
      <c r="D1517" s="7"/>
      <c r="E1517" s="7">
        <v>2.444</v>
      </c>
      <c r="F1517" s="7">
        <v>3.9980000000000002</v>
      </c>
      <c r="G1517" s="7">
        <v>5.6449999999999996</v>
      </c>
      <c r="H1517" s="7">
        <f t="shared" si="114"/>
        <v>0.19934967483741886</v>
      </c>
      <c r="I1517" s="7">
        <f t="shared" si="115"/>
        <v>0</v>
      </c>
      <c r="J1517" s="12" t="e">
        <f t="shared" si="113"/>
        <v>#DIV/0!</v>
      </c>
    </row>
    <row r="1518" spans="1:10" x14ac:dyDescent="0.2">
      <c r="A1518" s="19" t="s">
        <v>14</v>
      </c>
      <c r="B1518" s="5" t="s">
        <v>20</v>
      </c>
      <c r="C1518" s="22">
        <v>10</v>
      </c>
      <c r="D1518" s="4"/>
      <c r="E1518" s="4">
        <v>2.448</v>
      </c>
      <c r="F1518" s="4">
        <v>3.0390000000000001</v>
      </c>
      <c r="G1518" s="4">
        <v>4.8140000000000001</v>
      </c>
      <c r="H1518" s="4">
        <f t="shared" si="114"/>
        <v>0.22145442579795985</v>
      </c>
      <c r="I1518" s="4">
        <f t="shared" si="115"/>
        <v>0</v>
      </c>
      <c r="J1518" s="10">
        <f t="shared" si="113"/>
        <v>0</v>
      </c>
    </row>
    <row r="1519" spans="1:10" x14ac:dyDescent="0.2">
      <c r="A1519" s="20"/>
      <c r="B1519" s="6" t="s">
        <v>21</v>
      </c>
      <c r="C1519" s="23"/>
      <c r="D1519">
        <v>841</v>
      </c>
      <c r="E1519">
        <v>2.4049999999999998</v>
      </c>
      <c r="F1519">
        <v>3.42</v>
      </c>
      <c r="G1519">
        <v>5.0839999999999996</v>
      </c>
      <c r="H1519">
        <f t="shared" si="114"/>
        <v>0.2166666666666667</v>
      </c>
      <c r="I1519">
        <f t="shared" si="115"/>
        <v>658.7833333333333</v>
      </c>
      <c r="J1519" s="11" t="e">
        <f t="shared" si="113"/>
        <v>#DIV/0!</v>
      </c>
    </row>
    <row r="1520" spans="1:10" ht="16" thickBot="1" x14ac:dyDescent="0.25">
      <c r="A1520" s="21"/>
      <c r="B1520" s="15" t="s">
        <v>22</v>
      </c>
      <c r="C1520" s="24"/>
      <c r="D1520" s="13"/>
      <c r="E1520" s="13">
        <v>2.4529999999999998</v>
      </c>
      <c r="F1520" s="13">
        <v>3.177</v>
      </c>
      <c r="G1520" s="13">
        <v>4.9210000000000003</v>
      </c>
      <c r="H1520" s="13">
        <f t="shared" si="114"/>
        <v>0.22316650928548934</v>
      </c>
      <c r="I1520" s="13">
        <f t="shared" si="115"/>
        <v>0</v>
      </c>
      <c r="J1520" s="14" t="e">
        <f t="shared" si="113"/>
        <v>#DIV/0!</v>
      </c>
    </row>
    <row r="1521" spans="1:10" ht="16" thickBot="1" x14ac:dyDescent="0.25">
      <c r="A1521" s="44" t="s">
        <v>1</v>
      </c>
      <c r="B1521" s="33"/>
      <c r="C1521" s="33"/>
      <c r="D1521" s="33" t="s">
        <v>51</v>
      </c>
      <c r="E1521" s="34"/>
      <c r="F1521" s="9" t="s">
        <v>0</v>
      </c>
      <c r="G1521" s="18">
        <v>44157</v>
      </c>
      <c r="H1521" s="35" t="s">
        <v>24</v>
      </c>
      <c r="I1521" s="36"/>
      <c r="J1521" s="1">
        <v>93.5</v>
      </c>
    </row>
    <row r="1522" spans="1:10" ht="16" thickBot="1" x14ac:dyDescent="0.25">
      <c r="A1522" s="37" t="s">
        <v>2</v>
      </c>
      <c r="B1522" s="38"/>
      <c r="C1522" s="38"/>
      <c r="D1522" s="38"/>
      <c r="E1522" s="39"/>
      <c r="F1522" s="40"/>
      <c r="G1522" s="41"/>
      <c r="H1522" s="42" t="s">
        <v>25</v>
      </c>
      <c r="I1522" s="43"/>
      <c r="J1522" s="2">
        <v>31</v>
      </c>
    </row>
    <row r="1523" spans="1:10" ht="16" thickBot="1" x14ac:dyDescent="0.25">
      <c r="A1523" s="45" t="s">
        <v>27</v>
      </c>
      <c r="B1523" s="27"/>
      <c r="C1523" s="27"/>
      <c r="D1523" s="27" t="s">
        <v>32</v>
      </c>
      <c r="E1523" s="28"/>
      <c r="F1523" s="16" t="s">
        <v>30</v>
      </c>
      <c r="G1523" s="16">
        <v>3.81</v>
      </c>
      <c r="H1523" s="29" t="s">
        <v>26</v>
      </c>
      <c r="I1523" s="30"/>
      <c r="J1523" s="3">
        <v>60.5</v>
      </c>
    </row>
    <row r="1524" spans="1:10" x14ac:dyDescent="0.2">
      <c r="A1524" s="31"/>
      <c r="B1524" s="32"/>
      <c r="C1524" s="16" t="s">
        <v>29</v>
      </c>
      <c r="D1524" s="16" t="s">
        <v>19</v>
      </c>
      <c r="E1524" s="16" t="s">
        <v>15</v>
      </c>
      <c r="F1524" s="16" t="s">
        <v>18</v>
      </c>
      <c r="G1524" s="16" t="s">
        <v>17</v>
      </c>
      <c r="H1524" s="16" t="s">
        <v>28</v>
      </c>
      <c r="I1524" s="16" t="s">
        <v>16</v>
      </c>
      <c r="J1524" s="17" t="s">
        <v>23</v>
      </c>
    </row>
    <row r="1525" spans="1:10" x14ac:dyDescent="0.2">
      <c r="A1525" s="19" t="s">
        <v>3</v>
      </c>
      <c r="B1525" s="5" t="s">
        <v>20</v>
      </c>
      <c r="C1525" s="22">
        <v>10</v>
      </c>
      <c r="D1525" s="4"/>
      <c r="E1525" s="4">
        <v>2.4340000000000002</v>
      </c>
      <c r="F1525" s="4">
        <v>3.2</v>
      </c>
      <c r="G1525" s="4">
        <v>5.0339999999999998</v>
      </c>
      <c r="H1525" s="4">
        <f>(F1525-(G1525-E1525))/F1525</f>
        <v>0.18750000000000017</v>
      </c>
      <c r="I1525" s="4">
        <f>D1525-H1525*D1525</f>
        <v>0</v>
      </c>
      <c r="J1525" s="10">
        <f t="shared" ref="J1525:J1560" si="116">I1525/($G$3^2*C1525*PI())</f>
        <v>0</v>
      </c>
    </row>
    <row r="1526" spans="1:10" x14ac:dyDescent="0.2">
      <c r="A1526" s="20"/>
      <c r="B1526" s="6" t="s">
        <v>21</v>
      </c>
      <c r="C1526" s="23"/>
      <c r="D1526">
        <v>539</v>
      </c>
      <c r="E1526">
        <v>2.419</v>
      </c>
      <c r="F1526">
        <v>3.5019999999999998</v>
      </c>
      <c r="G1526">
        <v>5.2679999999999998</v>
      </c>
      <c r="H1526">
        <f t="shared" ref="H1526:H1560" si="117">(F1526-(G1526-E1526))/F1526</f>
        <v>0.18646487721302116</v>
      </c>
      <c r="I1526">
        <f t="shared" ref="I1526:I1560" si="118">D1526-H1526*D1526</f>
        <v>438.49543118218162</v>
      </c>
      <c r="J1526" s="11" t="e">
        <f t="shared" si="116"/>
        <v>#DIV/0!</v>
      </c>
    </row>
    <row r="1527" spans="1:10" x14ac:dyDescent="0.2">
      <c r="A1527" s="25"/>
      <c r="B1527" s="8" t="s">
        <v>22</v>
      </c>
      <c r="C1527" s="26"/>
      <c r="D1527" s="7"/>
      <c r="E1527" s="7">
        <v>2.4380000000000002</v>
      </c>
      <c r="F1527" s="7">
        <v>3.0449999999999999</v>
      </c>
      <c r="G1527" s="7">
        <v>4.92</v>
      </c>
      <c r="H1527" s="7">
        <f t="shared" si="117"/>
        <v>0.1848932676518884</v>
      </c>
      <c r="I1527" s="7">
        <f t="shared" si="118"/>
        <v>0</v>
      </c>
      <c r="J1527" s="12" t="e">
        <f t="shared" si="116"/>
        <v>#DIV/0!</v>
      </c>
    </row>
    <row r="1528" spans="1:10" x14ac:dyDescent="0.2">
      <c r="A1528" s="19" t="s">
        <v>4</v>
      </c>
      <c r="B1528" s="5" t="s">
        <v>20</v>
      </c>
      <c r="C1528" s="23">
        <v>10</v>
      </c>
      <c r="E1528">
        <v>2.4329999999999998</v>
      </c>
      <c r="F1528">
        <v>3.5059999999999998</v>
      </c>
      <c r="G1528">
        <v>5.3339999999999996</v>
      </c>
      <c r="H1528" s="4">
        <f t="shared" si="117"/>
        <v>0.17256132344552197</v>
      </c>
      <c r="I1528" s="4">
        <f t="shared" si="118"/>
        <v>0</v>
      </c>
      <c r="J1528" s="10">
        <f t="shared" si="116"/>
        <v>0</v>
      </c>
    </row>
    <row r="1529" spans="1:10" x14ac:dyDescent="0.2">
      <c r="A1529" s="20"/>
      <c r="B1529" s="6" t="s">
        <v>21</v>
      </c>
      <c r="C1529" s="23"/>
      <c r="D1529">
        <v>758</v>
      </c>
      <c r="E1529">
        <v>2.4340000000000002</v>
      </c>
      <c r="F1529">
        <v>3.8639999999999999</v>
      </c>
      <c r="G1529">
        <v>5.5880000000000001</v>
      </c>
      <c r="H1529">
        <f t="shared" si="117"/>
        <v>0.18374741200828157</v>
      </c>
      <c r="I1529">
        <f t="shared" si="118"/>
        <v>618.71946169772264</v>
      </c>
      <c r="J1529" s="11" t="e">
        <f t="shared" si="116"/>
        <v>#DIV/0!</v>
      </c>
    </row>
    <row r="1530" spans="1:10" x14ac:dyDescent="0.2">
      <c r="A1530" s="25"/>
      <c r="B1530" s="8" t="s">
        <v>22</v>
      </c>
      <c r="C1530" s="26"/>
      <c r="D1530" s="7"/>
      <c r="E1530" s="7">
        <v>2.4409999999999998</v>
      </c>
      <c r="F1530" s="7">
        <v>3.2160000000000002</v>
      </c>
      <c r="G1530" s="7">
        <v>5.0650000000000004</v>
      </c>
      <c r="H1530" s="7">
        <f t="shared" si="117"/>
        <v>0.18407960199004963</v>
      </c>
      <c r="I1530" s="7">
        <f t="shared" si="118"/>
        <v>0</v>
      </c>
      <c r="J1530" s="12" t="e">
        <f t="shared" si="116"/>
        <v>#DIV/0!</v>
      </c>
    </row>
    <row r="1531" spans="1:10" x14ac:dyDescent="0.2">
      <c r="A1531" s="19" t="s">
        <v>5</v>
      </c>
      <c r="B1531" s="5" t="s">
        <v>20</v>
      </c>
      <c r="C1531" s="22">
        <v>10</v>
      </c>
      <c r="D1531" s="4"/>
      <c r="E1531" s="4">
        <v>2.4359999999999999</v>
      </c>
      <c r="F1531" s="4">
        <v>3.0009999999999999</v>
      </c>
      <c r="G1531" s="4">
        <v>4.8739999999999997</v>
      </c>
      <c r="H1531" s="4">
        <f t="shared" si="117"/>
        <v>0.18760413195601472</v>
      </c>
      <c r="I1531" s="4">
        <f t="shared" si="118"/>
        <v>0</v>
      </c>
      <c r="J1531" s="10">
        <f t="shared" si="116"/>
        <v>0</v>
      </c>
    </row>
    <row r="1532" spans="1:10" x14ac:dyDescent="0.2">
      <c r="A1532" s="20"/>
      <c r="B1532" s="6" t="s">
        <v>21</v>
      </c>
      <c r="C1532" s="23"/>
      <c r="D1532">
        <v>678</v>
      </c>
      <c r="E1532">
        <v>2.4380000000000002</v>
      </c>
      <c r="F1532">
        <v>3.488</v>
      </c>
      <c r="G1532">
        <v>5.27</v>
      </c>
      <c r="H1532">
        <f t="shared" si="117"/>
        <v>0.18807339449541302</v>
      </c>
      <c r="I1532">
        <f t="shared" si="118"/>
        <v>550.48623853210995</v>
      </c>
      <c r="J1532" s="11" t="e">
        <f t="shared" si="116"/>
        <v>#DIV/0!</v>
      </c>
    </row>
    <row r="1533" spans="1:10" x14ac:dyDescent="0.2">
      <c r="A1533" s="25"/>
      <c r="B1533" s="8" t="s">
        <v>22</v>
      </c>
      <c r="C1533" s="26"/>
      <c r="D1533" s="7"/>
      <c r="E1533" s="7">
        <v>2.4300000000000002</v>
      </c>
      <c r="F1533" s="7">
        <v>3.4590000000000001</v>
      </c>
      <c r="G1533" s="7">
        <v>5.22</v>
      </c>
      <c r="H1533" s="7">
        <f t="shared" si="117"/>
        <v>0.19340849956634878</v>
      </c>
      <c r="I1533" s="7">
        <f t="shared" si="118"/>
        <v>0</v>
      </c>
      <c r="J1533" s="12" t="e">
        <f t="shared" si="116"/>
        <v>#DIV/0!</v>
      </c>
    </row>
    <row r="1534" spans="1:10" x14ac:dyDescent="0.2">
      <c r="A1534" s="19" t="s">
        <v>6</v>
      </c>
      <c r="B1534" s="5" t="s">
        <v>20</v>
      </c>
      <c r="C1534" s="22">
        <v>10</v>
      </c>
      <c r="D1534" s="4"/>
      <c r="E1534" s="4">
        <v>2.423</v>
      </c>
      <c r="F1534" s="4">
        <v>3.0990000000000002</v>
      </c>
      <c r="G1534" s="4">
        <v>5.0110000000000001</v>
      </c>
      <c r="H1534" s="4">
        <f t="shared" si="117"/>
        <v>0.16489190061310102</v>
      </c>
      <c r="I1534" s="4">
        <f t="shared" si="118"/>
        <v>0</v>
      </c>
      <c r="J1534" s="10">
        <f t="shared" si="116"/>
        <v>0</v>
      </c>
    </row>
    <row r="1535" spans="1:10" x14ac:dyDescent="0.2">
      <c r="A1535" s="20"/>
      <c r="B1535" s="6" t="s">
        <v>21</v>
      </c>
      <c r="C1535" s="23"/>
      <c r="D1535">
        <v>877</v>
      </c>
      <c r="E1535">
        <v>2.4409999999999998</v>
      </c>
      <c r="F1535">
        <v>3.786</v>
      </c>
      <c r="G1535">
        <v>5.593</v>
      </c>
      <c r="H1535">
        <f t="shared" si="117"/>
        <v>0.167459059693608</v>
      </c>
      <c r="I1535">
        <f t="shared" si="118"/>
        <v>730.13840464870577</v>
      </c>
      <c r="J1535" s="11" t="e">
        <f t="shared" si="116"/>
        <v>#DIV/0!</v>
      </c>
    </row>
    <row r="1536" spans="1:10" x14ac:dyDescent="0.2">
      <c r="A1536" s="25"/>
      <c r="B1536" s="8" t="s">
        <v>22</v>
      </c>
      <c r="C1536" s="26"/>
      <c r="D1536" s="7"/>
      <c r="E1536" s="7">
        <v>2.444</v>
      </c>
      <c r="F1536" s="7">
        <v>3.4780000000000002</v>
      </c>
      <c r="G1536" s="7">
        <v>5.3449999999999998</v>
      </c>
      <c r="H1536" s="7">
        <f t="shared" si="117"/>
        <v>0.16589994249568729</v>
      </c>
      <c r="I1536" s="7">
        <f t="shared" si="118"/>
        <v>0</v>
      </c>
      <c r="J1536" s="12" t="e">
        <f t="shared" si="116"/>
        <v>#DIV/0!</v>
      </c>
    </row>
    <row r="1537" spans="1:10" x14ac:dyDescent="0.2">
      <c r="A1537" s="19" t="s">
        <v>7</v>
      </c>
      <c r="B1537" s="5" t="s">
        <v>20</v>
      </c>
      <c r="C1537" s="22">
        <v>10</v>
      </c>
      <c r="D1537" s="4"/>
      <c r="E1537" s="4">
        <v>2.4500000000000002</v>
      </c>
      <c r="F1537" s="4">
        <v>3.4830000000000001</v>
      </c>
      <c r="G1537" s="4">
        <v>5.35</v>
      </c>
      <c r="H1537" s="4">
        <f t="shared" si="117"/>
        <v>0.16738443870226832</v>
      </c>
      <c r="I1537" s="4">
        <f t="shared" si="118"/>
        <v>0</v>
      </c>
      <c r="J1537" s="10">
        <f t="shared" si="116"/>
        <v>0</v>
      </c>
    </row>
    <row r="1538" spans="1:10" x14ac:dyDescent="0.2">
      <c r="A1538" s="20"/>
      <c r="B1538" s="6" t="s">
        <v>21</v>
      </c>
      <c r="C1538" s="23"/>
      <c r="D1538">
        <v>816</v>
      </c>
      <c r="E1538">
        <v>2.4409999999999998</v>
      </c>
      <c r="F1538">
        <v>3.2709999999999999</v>
      </c>
      <c r="G1538">
        <v>5.165</v>
      </c>
      <c r="H1538">
        <f t="shared" si="117"/>
        <v>0.16722714766126559</v>
      </c>
      <c r="I1538">
        <f t="shared" si="118"/>
        <v>679.5426475084073</v>
      </c>
      <c r="J1538" s="11" t="e">
        <f t="shared" si="116"/>
        <v>#DIV/0!</v>
      </c>
    </row>
    <row r="1539" spans="1:10" x14ac:dyDescent="0.2">
      <c r="A1539" s="25"/>
      <c r="B1539" s="8" t="s">
        <v>22</v>
      </c>
      <c r="C1539" s="26"/>
      <c r="D1539" s="7"/>
      <c r="E1539" s="7">
        <v>2.4220000000000002</v>
      </c>
      <c r="F1539" s="7">
        <v>3.2919999999999998</v>
      </c>
      <c r="G1539" s="7">
        <v>5.1539999999999999</v>
      </c>
      <c r="H1539" s="7">
        <f t="shared" si="117"/>
        <v>0.17010935601458083</v>
      </c>
      <c r="I1539" s="7">
        <f t="shared" si="118"/>
        <v>0</v>
      </c>
      <c r="J1539" s="12" t="e">
        <f t="shared" si="116"/>
        <v>#DIV/0!</v>
      </c>
    </row>
    <row r="1540" spans="1:10" x14ac:dyDescent="0.2">
      <c r="A1540" s="19" t="s">
        <v>8</v>
      </c>
      <c r="B1540" s="5" t="s">
        <v>20</v>
      </c>
      <c r="C1540" s="22">
        <v>10</v>
      </c>
      <c r="D1540" s="4"/>
      <c r="E1540" s="4">
        <v>2.4239999999999999</v>
      </c>
      <c r="F1540" s="4">
        <v>3.282</v>
      </c>
      <c r="G1540" s="4">
        <v>5.1390000000000002</v>
      </c>
      <c r="H1540" s="4">
        <f t="shared" si="117"/>
        <v>0.1727605118829981</v>
      </c>
      <c r="I1540" s="4">
        <f t="shared" si="118"/>
        <v>0</v>
      </c>
      <c r="J1540" s="10">
        <f t="shared" si="116"/>
        <v>0</v>
      </c>
    </row>
    <row r="1541" spans="1:10" x14ac:dyDescent="0.2">
      <c r="A1541" s="20"/>
      <c r="B1541" s="6" t="s">
        <v>21</v>
      </c>
      <c r="C1541" s="23"/>
      <c r="D1541">
        <v>870</v>
      </c>
      <c r="E1541">
        <v>2.4820000000000002</v>
      </c>
      <c r="F1541">
        <v>3.22</v>
      </c>
      <c r="G1541">
        <v>5.1369999999999996</v>
      </c>
      <c r="H1541">
        <f t="shared" si="117"/>
        <v>0.17546583850931702</v>
      </c>
      <c r="I1541">
        <f t="shared" si="118"/>
        <v>717.34472049689418</v>
      </c>
      <c r="J1541" s="11" t="e">
        <f t="shared" si="116"/>
        <v>#DIV/0!</v>
      </c>
    </row>
    <row r="1542" spans="1:10" x14ac:dyDescent="0.2">
      <c r="A1542" s="25"/>
      <c r="B1542" s="8" t="s">
        <v>22</v>
      </c>
      <c r="C1542" s="26"/>
      <c r="D1542" s="7"/>
      <c r="E1542" s="7">
        <v>2.419</v>
      </c>
      <c r="F1542" s="7">
        <v>3.52</v>
      </c>
      <c r="G1542" s="7">
        <v>5.33</v>
      </c>
      <c r="H1542" s="7">
        <f t="shared" si="117"/>
        <v>0.17301136363636363</v>
      </c>
      <c r="I1542" s="7">
        <f t="shared" si="118"/>
        <v>0</v>
      </c>
      <c r="J1542" s="12" t="e">
        <f t="shared" si="116"/>
        <v>#DIV/0!</v>
      </c>
    </row>
    <row r="1543" spans="1:10" x14ac:dyDescent="0.2">
      <c r="A1543" s="19" t="s">
        <v>9</v>
      </c>
      <c r="B1543" s="5" t="s">
        <v>20</v>
      </c>
      <c r="C1543" s="22">
        <v>10</v>
      </c>
      <c r="D1543" s="4"/>
      <c r="E1543" s="4">
        <v>2.415</v>
      </c>
      <c r="F1543" s="4">
        <v>3.7589999999999999</v>
      </c>
      <c r="G1543" s="4">
        <v>5.5309999999999997</v>
      </c>
      <c r="H1543" s="4">
        <f t="shared" si="117"/>
        <v>0.17105613194998676</v>
      </c>
      <c r="I1543" s="4">
        <f t="shared" si="118"/>
        <v>0</v>
      </c>
      <c r="J1543" s="10">
        <f t="shared" si="116"/>
        <v>0</v>
      </c>
    </row>
    <row r="1544" spans="1:10" x14ac:dyDescent="0.2">
      <c r="A1544" s="20"/>
      <c r="B1544" s="6" t="s">
        <v>21</v>
      </c>
      <c r="C1544" s="23"/>
      <c r="D1544">
        <v>914</v>
      </c>
      <c r="E1544">
        <v>2.4390000000000001</v>
      </c>
      <c r="F1544">
        <v>3.0350000000000001</v>
      </c>
      <c r="G1544">
        <v>4.96</v>
      </c>
      <c r="H1544">
        <f t="shared" si="117"/>
        <v>0.16935749588138393</v>
      </c>
      <c r="I1544">
        <f t="shared" si="118"/>
        <v>759.20724876441511</v>
      </c>
      <c r="J1544" s="11" t="e">
        <f t="shared" si="116"/>
        <v>#DIV/0!</v>
      </c>
    </row>
    <row r="1545" spans="1:10" x14ac:dyDescent="0.2">
      <c r="A1545" s="25"/>
      <c r="B1545" s="8" t="s">
        <v>22</v>
      </c>
      <c r="C1545" s="26"/>
      <c r="D1545" s="7"/>
      <c r="E1545" s="7">
        <v>2.4319999999999999</v>
      </c>
      <c r="F1545" s="7">
        <v>3.089</v>
      </c>
      <c r="G1545" s="7">
        <v>5.9809999999999999</v>
      </c>
      <c r="H1545" s="7">
        <f t="shared" si="117"/>
        <v>-0.14891550663645192</v>
      </c>
      <c r="I1545" s="7">
        <f t="shared" si="118"/>
        <v>0</v>
      </c>
      <c r="J1545" s="12" t="e">
        <f t="shared" si="116"/>
        <v>#DIV/0!</v>
      </c>
    </row>
    <row r="1546" spans="1:10" x14ac:dyDescent="0.2">
      <c r="A1546" s="19" t="s">
        <v>10</v>
      </c>
      <c r="B1546" s="5" t="s">
        <v>20</v>
      </c>
      <c r="C1546" s="22">
        <v>10</v>
      </c>
      <c r="D1546" s="4"/>
      <c r="E1546" s="4">
        <v>2.4550000000000001</v>
      </c>
      <c r="F1546" s="4">
        <v>3.6859999999999999</v>
      </c>
      <c r="G1546" s="4">
        <v>5.5540000000000003</v>
      </c>
      <c r="H1546" s="4">
        <f t="shared" si="117"/>
        <v>0.15925122083559407</v>
      </c>
      <c r="I1546" s="4">
        <f t="shared" si="118"/>
        <v>0</v>
      </c>
      <c r="J1546" s="10">
        <f t="shared" si="116"/>
        <v>0</v>
      </c>
    </row>
    <row r="1547" spans="1:10" x14ac:dyDescent="0.2">
      <c r="A1547" s="20"/>
      <c r="B1547" s="6" t="s">
        <v>21</v>
      </c>
      <c r="C1547" s="23"/>
      <c r="D1547">
        <v>882</v>
      </c>
      <c r="E1547">
        <v>2.452</v>
      </c>
      <c r="F1547">
        <v>3.2309999999999999</v>
      </c>
      <c r="G1547">
        <v>5.1539999999999999</v>
      </c>
      <c r="H1547">
        <f t="shared" si="117"/>
        <v>0.16372640049520271</v>
      </c>
      <c r="I1547">
        <f t="shared" si="118"/>
        <v>737.59331476323121</v>
      </c>
      <c r="J1547" s="11" t="e">
        <f t="shared" si="116"/>
        <v>#DIV/0!</v>
      </c>
    </row>
    <row r="1548" spans="1:10" x14ac:dyDescent="0.2">
      <c r="A1548" s="25"/>
      <c r="B1548" s="8" t="s">
        <v>22</v>
      </c>
      <c r="C1548" s="26"/>
      <c r="D1548" s="7"/>
      <c r="E1548" s="7">
        <v>2.4350000000000001</v>
      </c>
      <c r="F1548" s="7">
        <v>3.8620000000000001</v>
      </c>
      <c r="G1548" s="7">
        <v>5.6769999999999996</v>
      </c>
      <c r="H1548" s="7">
        <f t="shared" si="117"/>
        <v>0.16053858104609026</v>
      </c>
      <c r="I1548" s="7">
        <f t="shared" si="118"/>
        <v>0</v>
      </c>
      <c r="J1548" s="12" t="e">
        <f t="shared" si="116"/>
        <v>#DIV/0!</v>
      </c>
    </row>
    <row r="1549" spans="1:10" x14ac:dyDescent="0.2">
      <c r="A1549" s="19" t="s">
        <v>11</v>
      </c>
      <c r="B1549" s="5" t="s">
        <v>20</v>
      </c>
      <c r="C1549" s="22">
        <v>10</v>
      </c>
      <c r="D1549" s="4"/>
      <c r="E1549" s="4">
        <v>2.456</v>
      </c>
      <c r="F1549" s="4">
        <v>3.597</v>
      </c>
      <c r="G1549" s="4">
        <v>5.5030000000000001</v>
      </c>
      <c r="H1549" s="4">
        <f t="shared" si="117"/>
        <v>0.15290519877675837</v>
      </c>
      <c r="I1549" s="4">
        <f t="shared" si="118"/>
        <v>0</v>
      </c>
      <c r="J1549" s="10">
        <f t="shared" si="116"/>
        <v>0</v>
      </c>
    </row>
    <row r="1550" spans="1:10" x14ac:dyDescent="0.2">
      <c r="A1550" s="20"/>
      <c r="B1550" s="6" t="s">
        <v>21</v>
      </c>
      <c r="C1550" s="23"/>
      <c r="D1550">
        <v>833</v>
      </c>
      <c r="E1550">
        <v>2.4649999999999999</v>
      </c>
      <c r="F1550">
        <v>3.6259999999999999</v>
      </c>
      <c r="G1550">
        <v>5.4939999999999998</v>
      </c>
      <c r="H1550">
        <f t="shared" si="117"/>
        <v>0.16464423607280751</v>
      </c>
      <c r="I1550">
        <f t="shared" si="118"/>
        <v>695.85135135135135</v>
      </c>
      <c r="J1550" s="11" t="e">
        <f t="shared" si="116"/>
        <v>#DIV/0!</v>
      </c>
    </row>
    <row r="1551" spans="1:10" x14ac:dyDescent="0.2">
      <c r="A1551" s="25"/>
      <c r="B1551" s="8" t="s">
        <v>22</v>
      </c>
      <c r="C1551" s="26"/>
      <c r="D1551" s="7"/>
      <c r="E1551" s="7">
        <v>2.4489999999999998</v>
      </c>
      <c r="F1551" s="7">
        <v>3.01</v>
      </c>
      <c r="G1551" s="7">
        <v>4.9539999999999997</v>
      </c>
      <c r="H1551" s="7">
        <f t="shared" si="117"/>
        <v>0.16777408637873753</v>
      </c>
      <c r="I1551" s="7">
        <f t="shared" si="118"/>
        <v>0</v>
      </c>
      <c r="J1551" s="12" t="e">
        <f t="shared" si="116"/>
        <v>#DIV/0!</v>
      </c>
    </row>
    <row r="1552" spans="1:10" x14ac:dyDescent="0.2">
      <c r="A1552" s="19" t="s">
        <v>12</v>
      </c>
      <c r="B1552" s="5" t="s">
        <v>20</v>
      </c>
      <c r="C1552" s="22">
        <v>3.5</v>
      </c>
      <c r="D1552" s="4"/>
      <c r="E1552" s="4">
        <v>2.411</v>
      </c>
      <c r="F1552" s="4">
        <v>3.0169999999999999</v>
      </c>
      <c r="G1552" s="4">
        <v>4.9539999999999997</v>
      </c>
      <c r="H1552" s="4">
        <f t="shared" si="117"/>
        <v>0.15710971163407367</v>
      </c>
      <c r="I1552" s="4">
        <f t="shared" si="118"/>
        <v>0</v>
      </c>
      <c r="J1552" s="10">
        <f t="shared" si="116"/>
        <v>0</v>
      </c>
    </row>
    <row r="1553" spans="1:10" x14ac:dyDescent="0.2">
      <c r="A1553" s="20"/>
      <c r="B1553" s="6" t="s">
        <v>21</v>
      </c>
      <c r="C1553" s="23"/>
      <c r="D1553">
        <v>376</v>
      </c>
      <c r="E1553">
        <v>2.423</v>
      </c>
      <c r="F1553">
        <v>3.0750000000000002</v>
      </c>
      <c r="G1553">
        <v>5.0049999999999999</v>
      </c>
      <c r="H1553">
        <f t="shared" si="117"/>
        <v>0.16032520325203262</v>
      </c>
      <c r="I1553">
        <f t="shared" si="118"/>
        <v>315.71772357723574</v>
      </c>
      <c r="J1553" s="11" t="e">
        <f t="shared" si="116"/>
        <v>#DIV/0!</v>
      </c>
    </row>
    <row r="1554" spans="1:10" x14ac:dyDescent="0.2">
      <c r="A1554" s="25"/>
      <c r="B1554" s="8" t="s">
        <v>22</v>
      </c>
      <c r="C1554" s="26"/>
      <c r="D1554" s="7"/>
      <c r="E1554" s="7">
        <v>2.4420000000000002</v>
      </c>
      <c r="F1554" s="7">
        <v>3.1259999999999999</v>
      </c>
      <c r="G1554" s="7">
        <v>5.0529999999999999</v>
      </c>
      <c r="H1554" s="7">
        <f t="shared" si="117"/>
        <v>0.16474728087012161</v>
      </c>
      <c r="I1554" s="7">
        <f t="shared" si="118"/>
        <v>0</v>
      </c>
      <c r="J1554" s="12" t="e">
        <f t="shared" si="116"/>
        <v>#DIV/0!</v>
      </c>
    </row>
    <row r="1555" spans="1:10" x14ac:dyDescent="0.2">
      <c r="A1555" s="19" t="s">
        <v>13</v>
      </c>
      <c r="B1555" s="5" t="s">
        <v>20</v>
      </c>
      <c r="C1555" s="22">
        <v>10</v>
      </c>
      <c r="D1555" s="4"/>
      <c r="E1555" s="4"/>
      <c r="F1555" s="4"/>
      <c r="G1555" s="4"/>
      <c r="H1555" s="4" t="e">
        <f t="shared" si="117"/>
        <v>#DIV/0!</v>
      </c>
      <c r="I1555" s="4" t="e">
        <f t="shared" si="118"/>
        <v>#DIV/0!</v>
      </c>
      <c r="J1555" s="10" t="e">
        <f t="shared" si="116"/>
        <v>#DIV/0!</v>
      </c>
    </row>
    <row r="1556" spans="1:10" x14ac:dyDescent="0.2">
      <c r="A1556" s="20"/>
      <c r="B1556" s="6" t="s">
        <v>21</v>
      </c>
      <c r="C1556" s="23"/>
      <c r="H1556" t="e">
        <f t="shared" si="117"/>
        <v>#DIV/0!</v>
      </c>
      <c r="I1556" t="e">
        <f t="shared" si="118"/>
        <v>#DIV/0!</v>
      </c>
      <c r="J1556" s="11" t="e">
        <f t="shared" si="116"/>
        <v>#DIV/0!</v>
      </c>
    </row>
    <row r="1557" spans="1:10" x14ac:dyDescent="0.2">
      <c r="A1557" s="25"/>
      <c r="B1557" s="8" t="s">
        <v>22</v>
      </c>
      <c r="C1557" s="26"/>
      <c r="D1557" s="7"/>
      <c r="E1557" s="7"/>
      <c r="F1557" s="7"/>
      <c r="G1557" s="7"/>
      <c r="H1557" s="7" t="e">
        <f t="shared" si="117"/>
        <v>#DIV/0!</v>
      </c>
      <c r="I1557" s="7" t="e">
        <f t="shared" si="118"/>
        <v>#DIV/0!</v>
      </c>
      <c r="J1557" s="12" t="e">
        <f t="shared" si="116"/>
        <v>#DIV/0!</v>
      </c>
    </row>
    <row r="1558" spans="1:10" x14ac:dyDescent="0.2">
      <c r="A1558" s="19" t="s">
        <v>14</v>
      </c>
      <c r="B1558" s="5" t="s">
        <v>20</v>
      </c>
      <c r="C1558" s="22">
        <v>10</v>
      </c>
      <c r="D1558" s="4"/>
      <c r="E1558" s="4"/>
      <c r="F1558" s="4"/>
      <c r="G1558" s="4"/>
      <c r="H1558" s="4" t="e">
        <f t="shared" si="117"/>
        <v>#DIV/0!</v>
      </c>
      <c r="I1558" s="4" t="e">
        <f t="shared" si="118"/>
        <v>#DIV/0!</v>
      </c>
      <c r="J1558" s="10" t="e">
        <f t="shared" si="116"/>
        <v>#DIV/0!</v>
      </c>
    </row>
    <row r="1559" spans="1:10" x14ac:dyDescent="0.2">
      <c r="A1559" s="20"/>
      <c r="B1559" s="6" t="s">
        <v>21</v>
      </c>
      <c r="C1559" s="23"/>
      <c r="H1559" t="e">
        <f t="shared" si="117"/>
        <v>#DIV/0!</v>
      </c>
      <c r="I1559" t="e">
        <f t="shared" si="118"/>
        <v>#DIV/0!</v>
      </c>
      <c r="J1559" s="11" t="e">
        <f t="shared" si="116"/>
        <v>#DIV/0!</v>
      </c>
    </row>
    <row r="1560" spans="1:10" ht="16" thickBot="1" x14ac:dyDescent="0.25">
      <c r="A1560" s="21"/>
      <c r="B1560" s="15" t="s">
        <v>22</v>
      </c>
      <c r="C1560" s="24"/>
      <c r="D1560" s="13"/>
      <c r="E1560" s="13"/>
      <c r="F1560" s="13"/>
      <c r="G1560" s="13"/>
      <c r="H1560" s="13" t="e">
        <f t="shared" si="117"/>
        <v>#DIV/0!</v>
      </c>
      <c r="I1560" s="13" t="e">
        <f t="shared" si="118"/>
        <v>#DIV/0!</v>
      </c>
      <c r="J1560" s="14" t="e">
        <f t="shared" si="116"/>
        <v>#DIV/0!</v>
      </c>
    </row>
    <row r="1561" spans="1:10" ht="16" thickBot="1" x14ac:dyDescent="0.25">
      <c r="A1561" s="44" t="s">
        <v>1</v>
      </c>
      <c r="B1561" s="33"/>
      <c r="C1561" s="33"/>
      <c r="D1561" s="33" t="s">
        <v>51</v>
      </c>
      <c r="E1561" s="34"/>
      <c r="F1561" s="9" t="s">
        <v>0</v>
      </c>
      <c r="G1561" s="18">
        <v>44157</v>
      </c>
      <c r="H1561" s="35" t="s">
        <v>24</v>
      </c>
      <c r="I1561" s="36"/>
      <c r="J1561" s="1">
        <v>115</v>
      </c>
    </row>
    <row r="1562" spans="1:10" ht="16" thickBot="1" x14ac:dyDescent="0.25">
      <c r="A1562" s="37" t="s">
        <v>2</v>
      </c>
      <c r="B1562" s="38"/>
      <c r="C1562" s="38"/>
      <c r="D1562" s="38"/>
      <c r="E1562" s="39"/>
      <c r="F1562" s="40"/>
      <c r="G1562" s="41"/>
      <c r="H1562" s="42" t="s">
        <v>25</v>
      </c>
      <c r="I1562" s="43"/>
      <c r="J1562" s="2">
        <v>30</v>
      </c>
    </row>
    <row r="1563" spans="1:10" ht="16" thickBot="1" x14ac:dyDescent="0.25">
      <c r="A1563" s="45" t="s">
        <v>27</v>
      </c>
      <c r="B1563" s="27"/>
      <c r="C1563" s="27"/>
      <c r="D1563" s="27" t="s">
        <v>33</v>
      </c>
      <c r="E1563" s="28"/>
      <c r="F1563" s="16" t="s">
        <v>30</v>
      </c>
      <c r="G1563" s="16">
        <v>3.81</v>
      </c>
      <c r="H1563" s="29" t="s">
        <v>26</v>
      </c>
      <c r="I1563" s="30"/>
      <c r="J1563" s="3">
        <v>56.5</v>
      </c>
    </row>
    <row r="1564" spans="1:10" x14ac:dyDescent="0.2">
      <c r="A1564" s="31"/>
      <c r="B1564" s="32"/>
      <c r="C1564" s="16" t="s">
        <v>29</v>
      </c>
      <c r="D1564" s="16" t="s">
        <v>19</v>
      </c>
      <c r="E1564" s="16" t="s">
        <v>15</v>
      </c>
      <c r="F1564" s="16" t="s">
        <v>18</v>
      </c>
      <c r="G1564" s="16" t="s">
        <v>17</v>
      </c>
      <c r="H1564" s="16" t="s">
        <v>28</v>
      </c>
      <c r="I1564" s="16" t="s">
        <v>16</v>
      </c>
      <c r="J1564" s="17" t="s">
        <v>23</v>
      </c>
    </row>
    <row r="1565" spans="1:10" x14ac:dyDescent="0.2">
      <c r="A1565" s="19" t="s">
        <v>3</v>
      </c>
      <c r="B1565" s="5" t="s">
        <v>20</v>
      </c>
      <c r="C1565" s="22">
        <v>10</v>
      </c>
      <c r="D1565" s="4"/>
      <c r="E1565" s="4">
        <v>2.4289999999999998</v>
      </c>
      <c r="F1565" s="4">
        <v>3.3180000000000001</v>
      </c>
      <c r="G1565" s="4">
        <v>5.1459999999999999</v>
      </c>
      <c r="H1565" s="4">
        <f>(F1565-(G1565-E1565))/F1565</f>
        <v>0.18113321277878239</v>
      </c>
      <c r="I1565" s="4">
        <f>D1565-H1565*D1565</f>
        <v>0</v>
      </c>
      <c r="J1565" s="10">
        <f t="shared" ref="J1565:J1600" si="119">I1565/($G$3^2*C1565*PI())</f>
        <v>0</v>
      </c>
    </row>
    <row r="1566" spans="1:10" x14ac:dyDescent="0.2">
      <c r="A1566" s="20"/>
      <c r="B1566" s="6" t="s">
        <v>21</v>
      </c>
      <c r="C1566" s="23"/>
      <c r="D1566">
        <v>661</v>
      </c>
      <c r="E1566">
        <v>2.4409999999999998</v>
      </c>
      <c r="F1566">
        <v>3.21</v>
      </c>
      <c r="G1566">
        <v>5.069</v>
      </c>
      <c r="H1566">
        <f t="shared" ref="H1566:H1600" si="120">(F1566-(G1566-E1566))/F1566</f>
        <v>0.18130841121495322</v>
      </c>
      <c r="I1566">
        <f t="shared" ref="I1566:I1600" si="121">D1566-H1566*D1566</f>
        <v>541.1551401869159</v>
      </c>
      <c r="J1566" s="11" t="e">
        <f t="shared" si="119"/>
        <v>#DIV/0!</v>
      </c>
    </row>
    <row r="1567" spans="1:10" x14ac:dyDescent="0.2">
      <c r="A1567" s="25"/>
      <c r="B1567" s="8" t="s">
        <v>22</v>
      </c>
      <c r="C1567" s="26"/>
      <c r="D1567" s="7"/>
      <c r="E1567" s="7">
        <v>2.4340000000000002</v>
      </c>
      <c r="F1567" s="7">
        <v>3.2360000000000002</v>
      </c>
      <c r="G1567" s="7">
        <v>5.0650000000000004</v>
      </c>
      <c r="H1567" s="7">
        <f t="shared" si="120"/>
        <v>0.18695920889987638</v>
      </c>
      <c r="I1567" s="7">
        <f t="shared" si="121"/>
        <v>0</v>
      </c>
      <c r="J1567" s="12" t="e">
        <f t="shared" si="119"/>
        <v>#DIV/0!</v>
      </c>
    </row>
    <row r="1568" spans="1:10" x14ac:dyDescent="0.2">
      <c r="A1568" s="19" t="s">
        <v>4</v>
      </c>
      <c r="B1568" s="5" t="s">
        <v>20</v>
      </c>
      <c r="C1568" s="23">
        <v>10</v>
      </c>
      <c r="E1568">
        <v>2.4409999999999998</v>
      </c>
      <c r="F1568">
        <v>3.5910000000000002</v>
      </c>
      <c r="G1568">
        <v>5.3529999999999998</v>
      </c>
      <c r="H1568" s="4">
        <f t="shared" si="120"/>
        <v>0.1890838206627681</v>
      </c>
      <c r="I1568" s="4">
        <f t="shared" si="121"/>
        <v>0</v>
      </c>
      <c r="J1568" s="10">
        <f t="shared" si="119"/>
        <v>0</v>
      </c>
    </row>
    <row r="1569" spans="1:10" x14ac:dyDescent="0.2">
      <c r="A1569" s="20"/>
      <c r="B1569" s="6" t="s">
        <v>21</v>
      </c>
      <c r="C1569" s="23"/>
      <c r="D1569">
        <v>771</v>
      </c>
      <c r="E1569">
        <v>2.4500000000000002</v>
      </c>
      <c r="F1569">
        <v>3.3849999999999998</v>
      </c>
      <c r="G1569">
        <v>5.2329999999999997</v>
      </c>
      <c r="H1569">
        <f t="shared" si="120"/>
        <v>0.17784342688330881</v>
      </c>
      <c r="I1569">
        <f t="shared" si="121"/>
        <v>633.8827178729689</v>
      </c>
      <c r="J1569" s="11" t="e">
        <f t="shared" si="119"/>
        <v>#DIV/0!</v>
      </c>
    </row>
    <row r="1570" spans="1:10" x14ac:dyDescent="0.2">
      <c r="A1570" s="25"/>
      <c r="B1570" s="8" t="s">
        <v>22</v>
      </c>
      <c r="C1570" s="26"/>
      <c r="D1570" s="7"/>
      <c r="E1570" s="7">
        <v>2.4369999999999998</v>
      </c>
      <c r="F1570" s="7">
        <v>3.2530000000000001</v>
      </c>
      <c r="G1570" s="7">
        <v>5.0869999999999997</v>
      </c>
      <c r="H1570" s="7">
        <f t="shared" si="120"/>
        <v>0.18536735321241937</v>
      </c>
      <c r="I1570" s="7">
        <f t="shared" si="121"/>
        <v>0</v>
      </c>
      <c r="J1570" s="12" t="e">
        <f t="shared" si="119"/>
        <v>#DIV/0!</v>
      </c>
    </row>
    <row r="1571" spans="1:10" x14ac:dyDescent="0.2">
      <c r="A1571" s="19" t="s">
        <v>5</v>
      </c>
      <c r="B1571" s="5" t="s">
        <v>20</v>
      </c>
      <c r="C1571" s="22">
        <v>10</v>
      </c>
      <c r="D1571" s="4"/>
      <c r="E1571" s="4">
        <v>2.4430000000000001</v>
      </c>
      <c r="F1571" s="4">
        <v>3.915</v>
      </c>
      <c r="G1571" s="4">
        <v>5.6470000000000002</v>
      </c>
      <c r="H1571" s="4">
        <f t="shared" si="120"/>
        <v>0.18160919540229881</v>
      </c>
      <c r="I1571" s="4">
        <f t="shared" si="121"/>
        <v>0</v>
      </c>
      <c r="J1571" s="10">
        <f t="shared" si="119"/>
        <v>0</v>
      </c>
    </row>
    <row r="1572" spans="1:10" x14ac:dyDescent="0.2">
      <c r="A1572" s="20"/>
      <c r="B1572" s="6" t="s">
        <v>21</v>
      </c>
      <c r="C1572" s="23"/>
      <c r="D1572">
        <v>760</v>
      </c>
      <c r="E1572">
        <v>2.4289999999999998</v>
      </c>
      <c r="F1572">
        <v>3.5339999999999998</v>
      </c>
      <c r="G1572">
        <v>5.31</v>
      </c>
      <c r="H1572">
        <f t="shared" si="120"/>
        <v>0.18477645727221281</v>
      </c>
      <c r="I1572">
        <f t="shared" si="121"/>
        <v>619.56989247311822</v>
      </c>
      <c r="J1572" s="11" t="e">
        <f t="shared" si="119"/>
        <v>#DIV/0!</v>
      </c>
    </row>
    <row r="1573" spans="1:10" x14ac:dyDescent="0.2">
      <c r="A1573" s="25"/>
      <c r="B1573" s="8" t="s">
        <v>22</v>
      </c>
      <c r="C1573" s="26"/>
      <c r="D1573" s="7"/>
      <c r="E1573" s="7">
        <v>2.4380000000000002</v>
      </c>
      <c r="F1573" s="7">
        <v>3.387</v>
      </c>
      <c r="G1573" s="7">
        <v>5.226</v>
      </c>
      <c r="H1573" s="7">
        <f t="shared" si="120"/>
        <v>0.17685267198110427</v>
      </c>
      <c r="I1573" s="7">
        <f t="shared" si="121"/>
        <v>0</v>
      </c>
      <c r="J1573" s="12" t="e">
        <f t="shared" si="119"/>
        <v>#DIV/0!</v>
      </c>
    </row>
    <row r="1574" spans="1:10" x14ac:dyDescent="0.2">
      <c r="A1574" s="19" t="s">
        <v>6</v>
      </c>
      <c r="B1574" s="5" t="s">
        <v>20</v>
      </c>
      <c r="C1574" s="22">
        <v>10</v>
      </c>
      <c r="D1574" s="4"/>
      <c r="E1574" s="4">
        <v>2.4620000000000002</v>
      </c>
      <c r="F1574" s="4">
        <v>3.3359999999999999</v>
      </c>
      <c r="G1574" s="4">
        <v>5.2530000000000001</v>
      </c>
      <c r="H1574" s="4">
        <f t="shared" si="120"/>
        <v>0.1633693045563549</v>
      </c>
      <c r="I1574" s="4">
        <f t="shared" si="121"/>
        <v>0</v>
      </c>
      <c r="J1574" s="10">
        <f t="shared" si="119"/>
        <v>0</v>
      </c>
    </row>
    <row r="1575" spans="1:10" x14ac:dyDescent="0.2">
      <c r="A1575" s="20"/>
      <c r="B1575" s="6" t="s">
        <v>21</v>
      </c>
      <c r="C1575" s="23"/>
      <c r="D1575">
        <v>839</v>
      </c>
      <c r="E1575">
        <v>2.4169999999999998</v>
      </c>
      <c r="F1575">
        <v>3.21</v>
      </c>
      <c r="G1575">
        <v>5.0910000000000002</v>
      </c>
      <c r="H1575">
        <f t="shared" si="120"/>
        <v>0.16697819314641732</v>
      </c>
      <c r="I1575">
        <f t="shared" si="121"/>
        <v>698.90529595015585</v>
      </c>
      <c r="J1575" s="11" t="e">
        <f t="shared" si="119"/>
        <v>#DIV/0!</v>
      </c>
    </row>
    <row r="1576" spans="1:10" x14ac:dyDescent="0.2">
      <c r="A1576" s="25"/>
      <c r="B1576" s="8" t="s">
        <v>22</v>
      </c>
      <c r="C1576" s="26"/>
      <c r="D1576" s="7"/>
      <c r="E1576" s="7">
        <v>2.4319999999999999</v>
      </c>
      <c r="F1576" s="7">
        <v>3.319</v>
      </c>
      <c r="G1576" s="7">
        <v>5.1959999999999997</v>
      </c>
      <c r="H1576" s="7">
        <f t="shared" si="120"/>
        <v>0.16721904188008441</v>
      </c>
      <c r="I1576" s="7">
        <f t="shared" si="121"/>
        <v>0</v>
      </c>
      <c r="J1576" s="12" t="e">
        <f t="shared" si="119"/>
        <v>#DIV/0!</v>
      </c>
    </row>
    <row r="1577" spans="1:10" x14ac:dyDescent="0.2">
      <c r="A1577" s="19" t="s">
        <v>7</v>
      </c>
      <c r="B1577" s="5" t="s">
        <v>20</v>
      </c>
      <c r="C1577" s="22">
        <v>10</v>
      </c>
      <c r="D1577" s="4"/>
      <c r="E1577" s="4">
        <v>2.464</v>
      </c>
      <c r="F1577" s="4">
        <v>3.5840000000000001</v>
      </c>
      <c r="G1577" s="4">
        <v>5.43</v>
      </c>
      <c r="H1577" s="4">
        <f t="shared" si="120"/>
        <v>0.17243303571428581</v>
      </c>
      <c r="I1577" s="4">
        <f t="shared" si="121"/>
        <v>0</v>
      </c>
      <c r="J1577" s="10">
        <f t="shared" si="119"/>
        <v>0</v>
      </c>
    </row>
    <row r="1578" spans="1:10" x14ac:dyDescent="0.2">
      <c r="A1578" s="20"/>
      <c r="B1578" s="6" t="s">
        <v>21</v>
      </c>
      <c r="C1578" s="23"/>
      <c r="D1578">
        <v>806</v>
      </c>
      <c r="E1578">
        <v>2.4420000000000002</v>
      </c>
      <c r="F1578">
        <v>2.589</v>
      </c>
      <c r="G1578">
        <v>5.4080000000000004</v>
      </c>
      <c r="H1578">
        <f t="shared" si="120"/>
        <v>-0.14561606797991511</v>
      </c>
      <c r="I1578">
        <f t="shared" si="121"/>
        <v>923.36655079181162</v>
      </c>
      <c r="J1578" s="11" t="e">
        <f t="shared" si="119"/>
        <v>#DIV/0!</v>
      </c>
    </row>
    <row r="1579" spans="1:10" x14ac:dyDescent="0.2">
      <c r="A1579" s="25"/>
      <c r="B1579" s="8" t="s">
        <v>22</v>
      </c>
      <c r="C1579" s="26"/>
      <c r="D1579" s="7"/>
      <c r="E1579" s="7">
        <v>2.423</v>
      </c>
      <c r="F1579" s="7">
        <v>3.9260000000000002</v>
      </c>
      <c r="G1579" s="7">
        <v>5.6950000000000003</v>
      </c>
      <c r="H1579" s="7">
        <f t="shared" si="120"/>
        <v>0.16658176260825264</v>
      </c>
      <c r="I1579" s="7">
        <f t="shared" si="121"/>
        <v>0</v>
      </c>
      <c r="J1579" s="12" t="e">
        <f t="shared" si="119"/>
        <v>#DIV/0!</v>
      </c>
    </row>
    <row r="1580" spans="1:10" x14ac:dyDescent="0.2">
      <c r="A1580" s="19" t="s">
        <v>8</v>
      </c>
      <c r="B1580" s="5" t="s">
        <v>20</v>
      </c>
      <c r="C1580" s="22">
        <v>10</v>
      </c>
      <c r="D1580" s="4"/>
      <c r="E1580" s="4">
        <v>2.444</v>
      </c>
      <c r="F1580" s="4">
        <v>3.1709999999999998</v>
      </c>
      <c r="G1580" s="4">
        <v>5.1020000000000003</v>
      </c>
      <c r="H1580" s="4">
        <f t="shared" si="120"/>
        <v>0.16177861873226096</v>
      </c>
      <c r="I1580" s="4">
        <f t="shared" si="121"/>
        <v>0</v>
      </c>
      <c r="J1580" s="10">
        <f t="shared" si="119"/>
        <v>0</v>
      </c>
    </row>
    <row r="1581" spans="1:10" x14ac:dyDescent="0.2">
      <c r="A1581" s="20"/>
      <c r="B1581" s="6" t="s">
        <v>21</v>
      </c>
      <c r="C1581" s="23"/>
      <c r="D1581">
        <v>749</v>
      </c>
      <c r="E1581">
        <v>2.4409999999999998</v>
      </c>
      <c r="F1581">
        <v>3.0630000000000002</v>
      </c>
      <c r="G1581">
        <v>4.9859999999999998</v>
      </c>
      <c r="H1581">
        <f t="shared" si="120"/>
        <v>0.16911524649036899</v>
      </c>
      <c r="I1581">
        <f t="shared" si="121"/>
        <v>622.33268037871358</v>
      </c>
      <c r="J1581" s="11" t="e">
        <f t="shared" si="119"/>
        <v>#DIV/0!</v>
      </c>
    </row>
    <row r="1582" spans="1:10" x14ac:dyDescent="0.2">
      <c r="A1582" s="25"/>
      <c r="B1582" s="8" t="s">
        <v>22</v>
      </c>
      <c r="C1582" s="26"/>
      <c r="D1582" s="7"/>
      <c r="E1582" s="7">
        <v>2.415</v>
      </c>
      <c r="F1582" s="7">
        <v>3.0329999999999999</v>
      </c>
      <c r="G1582" s="7">
        <v>4.9359999999999999</v>
      </c>
      <c r="H1582" s="7">
        <f t="shared" si="120"/>
        <v>0.16880975931421036</v>
      </c>
      <c r="I1582" s="7">
        <f t="shared" si="121"/>
        <v>0</v>
      </c>
      <c r="J1582" s="12" t="e">
        <f t="shared" si="119"/>
        <v>#DIV/0!</v>
      </c>
    </row>
    <row r="1583" spans="1:10" x14ac:dyDescent="0.2">
      <c r="A1583" s="19" t="s">
        <v>9</v>
      </c>
      <c r="B1583" s="5" t="s">
        <v>20</v>
      </c>
      <c r="C1583" s="22">
        <v>10</v>
      </c>
      <c r="D1583" s="4"/>
      <c r="E1583" s="4">
        <v>2.419</v>
      </c>
      <c r="F1583" s="4">
        <v>3.0990000000000002</v>
      </c>
      <c r="G1583" s="4">
        <v>5.01</v>
      </c>
      <c r="H1583" s="4">
        <f t="shared" si="120"/>
        <v>0.16392384640206531</v>
      </c>
      <c r="I1583" s="4">
        <f t="shared" si="121"/>
        <v>0</v>
      </c>
      <c r="J1583" s="10">
        <f t="shared" si="119"/>
        <v>0</v>
      </c>
    </row>
    <row r="1584" spans="1:10" x14ac:dyDescent="0.2">
      <c r="A1584" s="20"/>
      <c r="B1584" s="6" t="s">
        <v>21</v>
      </c>
      <c r="C1584" s="23"/>
      <c r="D1584">
        <v>892</v>
      </c>
      <c r="E1584">
        <v>2.4489999999999998</v>
      </c>
      <c r="F1584">
        <v>3.0590000000000002</v>
      </c>
      <c r="G1584">
        <v>5.0199999999999996</v>
      </c>
      <c r="H1584">
        <f t="shared" si="120"/>
        <v>0.15952925792742739</v>
      </c>
      <c r="I1584">
        <f t="shared" si="121"/>
        <v>749.69990192873479</v>
      </c>
      <c r="J1584" s="11" t="e">
        <f t="shared" si="119"/>
        <v>#DIV/0!</v>
      </c>
    </row>
    <row r="1585" spans="1:10" x14ac:dyDescent="0.2">
      <c r="A1585" s="25"/>
      <c r="B1585" s="8" t="s">
        <v>22</v>
      </c>
      <c r="C1585" s="26"/>
      <c r="D1585" s="7"/>
      <c r="E1585" s="7">
        <v>2.4329999999999998</v>
      </c>
      <c r="F1585" s="7">
        <v>3.56</v>
      </c>
      <c r="G1585" s="7">
        <v>5.4269999999999996</v>
      </c>
      <c r="H1585" s="7">
        <f t="shared" si="120"/>
        <v>0.15898876404494389</v>
      </c>
      <c r="I1585" s="7">
        <f t="shared" si="121"/>
        <v>0</v>
      </c>
      <c r="J1585" s="12" t="e">
        <f t="shared" si="119"/>
        <v>#DIV/0!</v>
      </c>
    </row>
    <row r="1586" spans="1:10" x14ac:dyDescent="0.2">
      <c r="A1586" s="19" t="s">
        <v>10</v>
      </c>
      <c r="B1586" s="5" t="s">
        <v>20</v>
      </c>
      <c r="C1586" s="22">
        <v>10</v>
      </c>
      <c r="D1586" s="4"/>
      <c r="E1586" s="4">
        <v>2.448</v>
      </c>
      <c r="F1586" s="4">
        <v>3.004</v>
      </c>
      <c r="G1586" s="4">
        <v>4.9489999999999998</v>
      </c>
      <c r="H1586" s="4">
        <f t="shared" si="120"/>
        <v>0.16744340878828232</v>
      </c>
      <c r="I1586" s="4">
        <f t="shared" si="121"/>
        <v>0</v>
      </c>
      <c r="J1586" s="10">
        <f t="shared" si="119"/>
        <v>0</v>
      </c>
    </row>
    <row r="1587" spans="1:10" x14ac:dyDescent="0.2">
      <c r="A1587" s="20"/>
      <c r="B1587" s="6" t="s">
        <v>21</v>
      </c>
      <c r="C1587" s="23"/>
      <c r="D1587">
        <v>815</v>
      </c>
      <c r="E1587">
        <v>2.4470000000000001</v>
      </c>
      <c r="F1587">
        <v>3.411</v>
      </c>
      <c r="G1587">
        <v>5.2640000000000002</v>
      </c>
      <c r="H1587">
        <f t="shared" si="120"/>
        <v>0.17414248021108175</v>
      </c>
      <c r="I1587">
        <f t="shared" si="121"/>
        <v>673.07387862796838</v>
      </c>
      <c r="J1587" s="11" t="e">
        <f t="shared" si="119"/>
        <v>#DIV/0!</v>
      </c>
    </row>
    <row r="1588" spans="1:10" x14ac:dyDescent="0.2">
      <c r="A1588" s="25"/>
      <c r="B1588" s="8" t="s">
        <v>22</v>
      </c>
      <c r="C1588" s="26"/>
      <c r="D1588" s="7"/>
      <c r="E1588" s="7">
        <v>2.4169999999999998</v>
      </c>
      <c r="F1588" s="7">
        <v>3.0030000000000001</v>
      </c>
      <c r="G1588" s="7">
        <v>4.9279999999999999</v>
      </c>
      <c r="H1588" s="7">
        <f t="shared" si="120"/>
        <v>0.16383616383616384</v>
      </c>
      <c r="I1588" s="7">
        <f t="shared" si="121"/>
        <v>0</v>
      </c>
      <c r="J1588" s="12" t="e">
        <f t="shared" si="119"/>
        <v>#DIV/0!</v>
      </c>
    </row>
    <row r="1589" spans="1:10" x14ac:dyDescent="0.2">
      <c r="A1589" s="19" t="s">
        <v>11</v>
      </c>
      <c r="B1589" s="5" t="s">
        <v>20</v>
      </c>
      <c r="C1589" s="22">
        <v>10</v>
      </c>
      <c r="D1589" s="4"/>
      <c r="E1589" s="4">
        <v>2.4180000000000001</v>
      </c>
      <c r="F1589" s="4">
        <v>3.3380000000000001</v>
      </c>
      <c r="G1589" s="4">
        <v>5.16</v>
      </c>
      <c r="H1589" s="4">
        <f t="shared" si="120"/>
        <v>0.17855002995805874</v>
      </c>
      <c r="I1589" s="4">
        <f t="shared" si="121"/>
        <v>0</v>
      </c>
      <c r="J1589" s="10">
        <f t="shared" si="119"/>
        <v>0</v>
      </c>
    </row>
    <row r="1590" spans="1:10" x14ac:dyDescent="0.2">
      <c r="A1590" s="20"/>
      <c r="B1590" s="6" t="s">
        <v>21</v>
      </c>
      <c r="C1590" s="23"/>
      <c r="D1590">
        <v>837</v>
      </c>
      <c r="E1590">
        <v>2.4279999999999999</v>
      </c>
      <c r="F1590">
        <v>3.0230000000000001</v>
      </c>
      <c r="G1590">
        <v>4.9000000000000004</v>
      </c>
      <c r="H1590">
        <f t="shared" si="120"/>
        <v>0.18226926893814083</v>
      </c>
      <c r="I1590">
        <f t="shared" si="121"/>
        <v>684.44062189877616</v>
      </c>
      <c r="J1590" s="11" t="e">
        <f t="shared" si="119"/>
        <v>#DIV/0!</v>
      </c>
    </row>
    <row r="1591" spans="1:10" x14ac:dyDescent="0.2">
      <c r="A1591" s="25"/>
      <c r="B1591" s="8" t="s">
        <v>22</v>
      </c>
      <c r="C1591" s="26"/>
      <c r="D1591" s="7"/>
      <c r="E1591" s="7">
        <v>2.4649999999999999</v>
      </c>
      <c r="F1591" s="7">
        <v>3.5960000000000001</v>
      </c>
      <c r="G1591" s="7">
        <v>5.45</v>
      </c>
      <c r="H1591" s="7">
        <f t="shared" si="120"/>
        <v>0.1699110122358175</v>
      </c>
      <c r="I1591" s="7">
        <f t="shared" si="121"/>
        <v>0</v>
      </c>
      <c r="J1591" s="12" t="e">
        <f t="shared" si="119"/>
        <v>#DIV/0!</v>
      </c>
    </row>
    <row r="1592" spans="1:10" x14ac:dyDescent="0.2">
      <c r="A1592" s="19" t="s">
        <v>12</v>
      </c>
      <c r="B1592" s="5" t="s">
        <v>20</v>
      </c>
      <c r="C1592" s="22">
        <v>10</v>
      </c>
      <c r="D1592" s="4"/>
      <c r="E1592" s="4">
        <v>2.42</v>
      </c>
      <c r="F1592" s="4">
        <v>3.1709999999999998</v>
      </c>
      <c r="G1592" s="4">
        <v>4.9480000000000004</v>
      </c>
      <c r="H1592" s="4">
        <f t="shared" si="120"/>
        <v>0.20277514979501715</v>
      </c>
      <c r="I1592" s="4">
        <f t="shared" si="121"/>
        <v>0</v>
      </c>
      <c r="J1592" s="10">
        <f t="shared" si="119"/>
        <v>0</v>
      </c>
    </row>
    <row r="1593" spans="1:10" x14ac:dyDescent="0.2">
      <c r="A1593" s="20"/>
      <c r="B1593" s="6" t="s">
        <v>21</v>
      </c>
      <c r="C1593" s="23"/>
      <c r="D1593">
        <v>783</v>
      </c>
      <c r="E1593">
        <v>2.431</v>
      </c>
      <c r="F1593">
        <v>3.2890000000000001</v>
      </c>
      <c r="G1593">
        <v>5.024</v>
      </c>
      <c r="H1593">
        <f t="shared" si="120"/>
        <v>0.21161447248403775</v>
      </c>
      <c r="I1593">
        <f t="shared" si="121"/>
        <v>617.30586804499842</v>
      </c>
      <c r="J1593" s="11" t="e">
        <f t="shared" si="119"/>
        <v>#DIV/0!</v>
      </c>
    </row>
    <row r="1594" spans="1:10" x14ac:dyDescent="0.2">
      <c r="A1594" s="25"/>
      <c r="B1594" s="8" t="s">
        <v>22</v>
      </c>
      <c r="C1594" s="26"/>
      <c r="D1594" s="7"/>
      <c r="E1594" s="7">
        <v>2.4430000000000001</v>
      </c>
      <c r="F1594" s="7">
        <v>3.0179999999999998</v>
      </c>
      <c r="G1594" s="7">
        <v>4.8410000000000002</v>
      </c>
      <c r="H1594" s="7">
        <f t="shared" si="120"/>
        <v>0.20543406229290911</v>
      </c>
      <c r="I1594" s="7">
        <f t="shared" si="121"/>
        <v>0</v>
      </c>
      <c r="J1594" s="12" t="e">
        <f t="shared" si="119"/>
        <v>#DIV/0!</v>
      </c>
    </row>
    <row r="1595" spans="1:10" x14ac:dyDescent="0.2">
      <c r="A1595" s="19" t="s">
        <v>13</v>
      </c>
      <c r="B1595" s="5" t="s">
        <v>20</v>
      </c>
      <c r="C1595" s="22">
        <v>10</v>
      </c>
      <c r="D1595" s="4"/>
      <c r="E1595" s="4">
        <v>2.4350000000000001</v>
      </c>
      <c r="F1595" s="4">
        <v>3.0489999999999999</v>
      </c>
      <c r="G1595" s="4">
        <v>4.806</v>
      </c>
      <c r="H1595" s="4">
        <f t="shared" si="120"/>
        <v>0.22236798950475564</v>
      </c>
      <c r="I1595" s="4">
        <f t="shared" si="121"/>
        <v>0</v>
      </c>
      <c r="J1595" s="10">
        <f t="shared" si="119"/>
        <v>0</v>
      </c>
    </row>
    <row r="1596" spans="1:10" x14ac:dyDescent="0.2">
      <c r="A1596" s="20"/>
      <c r="B1596" s="6" t="s">
        <v>21</v>
      </c>
      <c r="C1596" s="23"/>
      <c r="D1596">
        <v>818</v>
      </c>
      <c r="E1596">
        <v>2.4470000000000001</v>
      </c>
      <c r="F1596">
        <v>3.2469999999999999</v>
      </c>
      <c r="G1596">
        <v>5.1079999999999997</v>
      </c>
      <c r="H1596">
        <f t="shared" si="120"/>
        <v>0.18047428395441956</v>
      </c>
      <c r="I1596">
        <f t="shared" si="121"/>
        <v>670.37203572528483</v>
      </c>
      <c r="J1596" s="11" t="e">
        <f t="shared" si="119"/>
        <v>#DIV/0!</v>
      </c>
    </row>
    <row r="1597" spans="1:10" x14ac:dyDescent="0.2">
      <c r="A1597" s="25"/>
      <c r="B1597" s="8" t="s">
        <v>22</v>
      </c>
      <c r="C1597" s="26"/>
      <c r="D1597" s="7"/>
      <c r="E1597" s="7">
        <v>2.4849999999999999</v>
      </c>
      <c r="F1597" s="7">
        <v>3.7709999999999999</v>
      </c>
      <c r="G1597" s="7">
        <v>5.4770000000000003</v>
      </c>
      <c r="H1597" s="7">
        <f t="shared" si="120"/>
        <v>0.20657650490586038</v>
      </c>
      <c r="I1597" s="7">
        <f t="shared" si="121"/>
        <v>0</v>
      </c>
      <c r="J1597" s="12" t="e">
        <f t="shared" si="119"/>
        <v>#DIV/0!</v>
      </c>
    </row>
    <row r="1598" spans="1:10" x14ac:dyDescent="0.2">
      <c r="A1598" s="19" t="s">
        <v>14</v>
      </c>
      <c r="B1598" s="5" t="s">
        <v>20</v>
      </c>
      <c r="C1598" s="22">
        <v>5</v>
      </c>
      <c r="D1598" s="4"/>
      <c r="E1598" s="4">
        <v>2.4329999999999998</v>
      </c>
      <c r="F1598" s="4">
        <v>3.0750000000000002</v>
      </c>
      <c r="G1598" s="4">
        <v>4.8499999999999996</v>
      </c>
      <c r="H1598" s="4">
        <f t="shared" si="120"/>
        <v>0.21398373983739849</v>
      </c>
      <c r="I1598" s="4">
        <f t="shared" si="121"/>
        <v>0</v>
      </c>
      <c r="J1598" s="10">
        <f t="shared" si="119"/>
        <v>0</v>
      </c>
    </row>
    <row r="1599" spans="1:10" x14ac:dyDescent="0.2">
      <c r="A1599" s="20"/>
      <c r="B1599" s="6" t="s">
        <v>21</v>
      </c>
      <c r="C1599" s="23"/>
      <c r="D1599">
        <v>289</v>
      </c>
      <c r="E1599">
        <v>2.4740000000000002</v>
      </c>
      <c r="F1599">
        <v>3.0920000000000001</v>
      </c>
      <c r="G1599">
        <v>4.8689999999999998</v>
      </c>
      <c r="H1599">
        <f t="shared" si="120"/>
        <v>0.22542043984476084</v>
      </c>
      <c r="I1599">
        <f t="shared" si="121"/>
        <v>223.85349288486412</v>
      </c>
      <c r="J1599" s="11" t="e">
        <f t="shared" si="119"/>
        <v>#DIV/0!</v>
      </c>
    </row>
    <row r="1600" spans="1:10" ht="16" thickBot="1" x14ac:dyDescent="0.25">
      <c r="A1600" s="21"/>
      <c r="B1600" s="15" t="s">
        <v>22</v>
      </c>
      <c r="C1600" s="24"/>
      <c r="D1600" s="13"/>
      <c r="E1600" s="13">
        <v>2.419</v>
      </c>
      <c r="F1600" s="13">
        <v>3.4369999999999998</v>
      </c>
      <c r="G1600" s="13">
        <v>5.1040000000000001</v>
      </c>
      <c r="H1600" s="13">
        <f t="shared" si="120"/>
        <v>0.21879546115798656</v>
      </c>
      <c r="I1600" s="13">
        <f t="shared" si="121"/>
        <v>0</v>
      </c>
      <c r="J1600" s="14" t="e">
        <f t="shared" si="119"/>
        <v>#DIV/0!</v>
      </c>
    </row>
    <row r="1601" spans="1:10" ht="16" thickBot="1" x14ac:dyDescent="0.25">
      <c r="A1601" s="44" t="s">
        <v>1</v>
      </c>
      <c r="B1601" s="33"/>
      <c r="C1601" s="33"/>
      <c r="D1601" s="33" t="s">
        <v>45</v>
      </c>
      <c r="E1601" s="34"/>
      <c r="F1601" s="9" t="s">
        <v>0</v>
      </c>
      <c r="G1601" s="18">
        <v>44157</v>
      </c>
      <c r="H1601" s="35" t="s">
        <v>24</v>
      </c>
      <c r="I1601" s="36"/>
      <c r="J1601" s="1">
        <v>110</v>
      </c>
    </row>
    <row r="1602" spans="1:10" ht="16" thickBot="1" x14ac:dyDescent="0.25">
      <c r="A1602" s="37" t="s">
        <v>2</v>
      </c>
      <c r="B1602" s="38"/>
      <c r="C1602" s="38"/>
      <c r="D1602" s="38"/>
      <c r="E1602" s="39"/>
      <c r="F1602" s="40"/>
      <c r="G1602" s="41"/>
      <c r="H1602" s="42" t="s">
        <v>25</v>
      </c>
      <c r="I1602" s="43"/>
      <c r="J1602" s="2">
        <v>31.5</v>
      </c>
    </row>
    <row r="1603" spans="1:10" ht="16" thickBot="1" x14ac:dyDescent="0.25">
      <c r="A1603" s="45" t="s">
        <v>27</v>
      </c>
      <c r="B1603" s="27"/>
      <c r="C1603" s="27"/>
      <c r="D1603" s="27" t="s">
        <v>36</v>
      </c>
      <c r="E1603" s="28"/>
      <c r="F1603" s="16" t="s">
        <v>30</v>
      </c>
      <c r="G1603" s="16">
        <v>3.81</v>
      </c>
      <c r="H1603" s="29" t="s">
        <v>26</v>
      </c>
      <c r="I1603" s="30"/>
      <c r="J1603" s="3">
        <v>52.5</v>
      </c>
    </row>
    <row r="1604" spans="1:10" x14ac:dyDescent="0.2">
      <c r="A1604" s="31"/>
      <c r="B1604" s="32"/>
      <c r="C1604" s="16" t="s">
        <v>29</v>
      </c>
      <c r="D1604" s="16" t="s">
        <v>19</v>
      </c>
      <c r="E1604" s="16" t="s">
        <v>15</v>
      </c>
      <c r="F1604" s="16" t="s">
        <v>18</v>
      </c>
      <c r="G1604" s="16" t="s">
        <v>17</v>
      </c>
      <c r="H1604" s="16" t="s">
        <v>28</v>
      </c>
      <c r="I1604" s="16" t="s">
        <v>16</v>
      </c>
      <c r="J1604" s="17" t="s">
        <v>23</v>
      </c>
    </row>
    <row r="1605" spans="1:10" x14ac:dyDescent="0.2">
      <c r="A1605" s="19" t="s">
        <v>3</v>
      </c>
      <c r="B1605" s="5" t="s">
        <v>20</v>
      </c>
      <c r="C1605" s="22">
        <v>10</v>
      </c>
      <c r="D1605" s="4"/>
      <c r="E1605" s="4">
        <v>2.4790000000000001</v>
      </c>
      <c r="F1605" s="4">
        <v>3.0219999999999998</v>
      </c>
      <c r="G1605" s="4">
        <v>5.0419999999999998</v>
      </c>
      <c r="H1605" s="4">
        <f>(F1605-(G1605-E1605))/F1605</f>
        <v>0.15188616810059566</v>
      </c>
      <c r="I1605" s="4">
        <f>D1605-H1605*D1605</f>
        <v>0</v>
      </c>
      <c r="J1605" s="10">
        <f t="shared" ref="J1605:J1640" si="122">I1605/($G$3^2*C1605*PI())</f>
        <v>0</v>
      </c>
    </row>
    <row r="1606" spans="1:10" x14ac:dyDescent="0.2">
      <c r="A1606" s="20"/>
      <c r="B1606" s="6" t="s">
        <v>21</v>
      </c>
      <c r="C1606" s="23"/>
      <c r="D1606">
        <v>714</v>
      </c>
      <c r="E1606">
        <v>2.4670000000000001</v>
      </c>
      <c r="F1606">
        <v>3.2069999999999999</v>
      </c>
      <c r="G1606">
        <v>5.1609999999999996</v>
      </c>
      <c r="H1606">
        <f t="shared" ref="H1606:H1640" si="123">(F1606-(G1606-E1606))/F1606</f>
        <v>0.15996258185219844</v>
      </c>
      <c r="I1606">
        <f t="shared" ref="I1606:I1640" si="124">D1606-H1606*D1606</f>
        <v>599.78671655753033</v>
      </c>
      <c r="J1606" s="11" t="e">
        <f t="shared" si="122"/>
        <v>#DIV/0!</v>
      </c>
    </row>
    <row r="1607" spans="1:10" x14ac:dyDescent="0.2">
      <c r="A1607" s="25"/>
      <c r="B1607" s="8" t="s">
        <v>22</v>
      </c>
      <c r="C1607" s="26"/>
      <c r="D1607" s="7"/>
      <c r="E1607" s="7">
        <v>2.4540000000000002</v>
      </c>
      <c r="F1607" s="7">
        <v>3.1440000000000001</v>
      </c>
      <c r="G1607" s="7">
        <v>5.1079999999999997</v>
      </c>
      <c r="H1607" s="7">
        <f t="shared" si="123"/>
        <v>0.1558524173027992</v>
      </c>
      <c r="I1607" s="7">
        <f t="shared" si="124"/>
        <v>0</v>
      </c>
      <c r="J1607" s="12" t="e">
        <f t="shared" si="122"/>
        <v>#DIV/0!</v>
      </c>
    </row>
    <row r="1608" spans="1:10" x14ac:dyDescent="0.2">
      <c r="A1608" s="19" t="s">
        <v>4</v>
      </c>
      <c r="B1608" s="5" t="s">
        <v>20</v>
      </c>
      <c r="C1608" s="23">
        <v>10</v>
      </c>
      <c r="E1608">
        <v>2.411</v>
      </c>
      <c r="F1608">
        <v>3.9550000000000001</v>
      </c>
      <c r="G1608">
        <v>5.7270000000000003</v>
      </c>
      <c r="H1608" s="4">
        <f t="shared" si="123"/>
        <v>0.16156763590391904</v>
      </c>
      <c r="I1608" s="4">
        <f t="shared" si="124"/>
        <v>0</v>
      </c>
      <c r="J1608" s="10">
        <f t="shared" si="122"/>
        <v>0</v>
      </c>
    </row>
    <row r="1609" spans="1:10" x14ac:dyDescent="0.2">
      <c r="A1609" s="20"/>
      <c r="B1609" s="6" t="s">
        <v>21</v>
      </c>
      <c r="C1609" s="23"/>
      <c r="D1609">
        <v>726</v>
      </c>
      <c r="E1609">
        <v>2.4289999999999998</v>
      </c>
      <c r="F1609">
        <v>3.0070000000000001</v>
      </c>
      <c r="G1609">
        <v>4.9340000000000002</v>
      </c>
      <c r="H1609">
        <f t="shared" si="123"/>
        <v>0.16694379780512131</v>
      </c>
      <c r="I1609">
        <f t="shared" si="124"/>
        <v>604.79880279348197</v>
      </c>
      <c r="J1609" s="11" t="e">
        <f t="shared" si="122"/>
        <v>#DIV/0!</v>
      </c>
    </row>
    <row r="1610" spans="1:10" x14ac:dyDescent="0.2">
      <c r="A1610" s="25"/>
      <c r="B1610" s="8" t="s">
        <v>22</v>
      </c>
      <c r="C1610" s="26"/>
      <c r="D1610" s="7"/>
      <c r="E1610" s="7">
        <v>2.427</v>
      </c>
      <c r="F1610" s="7">
        <v>3.5840000000000001</v>
      </c>
      <c r="G1610" s="7">
        <v>5.423</v>
      </c>
      <c r="H1610" s="7">
        <f t="shared" si="123"/>
        <v>0.16406250000000003</v>
      </c>
      <c r="I1610" s="7">
        <f t="shared" si="124"/>
        <v>0</v>
      </c>
      <c r="J1610" s="12" t="e">
        <f t="shared" si="122"/>
        <v>#DIV/0!</v>
      </c>
    </row>
    <row r="1611" spans="1:10" x14ac:dyDescent="0.2">
      <c r="A1611" s="19" t="s">
        <v>5</v>
      </c>
      <c r="B1611" s="5" t="s">
        <v>20</v>
      </c>
      <c r="C1611" s="22">
        <v>10</v>
      </c>
      <c r="D1611" s="4"/>
      <c r="E1611" s="4">
        <v>2.4769999999999999</v>
      </c>
      <c r="F1611" s="4">
        <v>3.2189999999999999</v>
      </c>
      <c r="G1611" s="4">
        <v>5.1669999999999998</v>
      </c>
      <c r="H1611" s="4">
        <f t="shared" si="123"/>
        <v>0.16433675054364708</v>
      </c>
      <c r="I1611" s="4">
        <f t="shared" si="124"/>
        <v>0</v>
      </c>
      <c r="J1611" s="10">
        <f t="shared" si="122"/>
        <v>0</v>
      </c>
    </row>
    <row r="1612" spans="1:10" x14ac:dyDescent="0.2">
      <c r="A1612" s="20"/>
      <c r="B1612" s="6" t="s">
        <v>21</v>
      </c>
      <c r="C1612" s="23"/>
      <c r="D1612">
        <v>756</v>
      </c>
      <c r="E1612">
        <v>2.4449999999999998</v>
      </c>
      <c r="F1612">
        <v>3.0640000000000001</v>
      </c>
      <c r="G1612">
        <v>5.0199999999999996</v>
      </c>
      <c r="H1612">
        <f t="shared" si="123"/>
        <v>0.1595953002610967</v>
      </c>
      <c r="I1612">
        <f t="shared" si="124"/>
        <v>635.34595300261094</v>
      </c>
      <c r="J1612" s="11" t="e">
        <f t="shared" si="122"/>
        <v>#DIV/0!</v>
      </c>
    </row>
    <row r="1613" spans="1:10" x14ac:dyDescent="0.2">
      <c r="A1613" s="25"/>
      <c r="B1613" s="8" t="s">
        <v>22</v>
      </c>
      <c r="C1613" s="26"/>
      <c r="D1613" s="7"/>
      <c r="E1613" s="7">
        <v>2.4420000000000002</v>
      </c>
      <c r="F1613" s="7">
        <v>3.375</v>
      </c>
      <c r="G1613" s="7">
        <v>5.2679999999999998</v>
      </c>
      <c r="H1613" s="7">
        <f t="shared" si="123"/>
        <v>0.16266666666666676</v>
      </c>
      <c r="I1613" s="7">
        <f t="shared" si="124"/>
        <v>0</v>
      </c>
      <c r="J1613" s="12" t="e">
        <f t="shared" si="122"/>
        <v>#DIV/0!</v>
      </c>
    </row>
    <row r="1614" spans="1:10" x14ac:dyDescent="0.2">
      <c r="A1614" s="19" t="s">
        <v>6</v>
      </c>
      <c r="B1614" s="5" t="s">
        <v>20</v>
      </c>
      <c r="C1614" s="22">
        <v>10</v>
      </c>
      <c r="D1614" s="4"/>
      <c r="E1614" s="4">
        <v>2.4369999999999998</v>
      </c>
      <c r="F1614" s="4">
        <v>3.4849999999999999</v>
      </c>
      <c r="G1614" s="4">
        <v>5.3949999999999996</v>
      </c>
      <c r="H1614" s="4">
        <f t="shared" si="123"/>
        <v>0.151219512195122</v>
      </c>
      <c r="I1614" s="4">
        <f t="shared" si="124"/>
        <v>0</v>
      </c>
      <c r="J1614" s="10">
        <f t="shared" si="122"/>
        <v>0</v>
      </c>
    </row>
    <row r="1615" spans="1:10" x14ac:dyDescent="0.2">
      <c r="A1615" s="20"/>
      <c r="B1615" s="6" t="s">
        <v>21</v>
      </c>
      <c r="C1615" s="23"/>
      <c r="D1615">
        <v>804</v>
      </c>
      <c r="E1615">
        <v>2.46</v>
      </c>
      <c r="F1615">
        <v>3.347</v>
      </c>
      <c r="G1615">
        <v>5.282</v>
      </c>
      <c r="H1615">
        <f t="shared" si="123"/>
        <v>0.15685688676426648</v>
      </c>
      <c r="I1615">
        <f t="shared" si="124"/>
        <v>677.8870630415297</v>
      </c>
      <c r="J1615" s="11" t="e">
        <f t="shared" si="122"/>
        <v>#DIV/0!</v>
      </c>
    </row>
    <row r="1616" spans="1:10" x14ac:dyDescent="0.2">
      <c r="A1616" s="25"/>
      <c r="B1616" s="8" t="s">
        <v>22</v>
      </c>
      <c r="C1616" s="26"/>
      <c r="D1616" s="7"/>
      <c r="E1616" s="7">
        <v>2.4409999999999998</v>
      </c>
      <c r="F1616" s="7">
        <v>3.2429999999999999</v>
      </c>
      <c r="G1616" s="7">
        <v>5.1719999999999997</v>
      </c>
      <c r="H1616" s="7">
        <f t="shared" si="123"/>
        <v>0.15787850755473329</v>
      </c>
      <c r="I1616" s="7">
        <f t="shared" si="124"/>
        <v>0</v>
      </c>
      <c r="J1616" s="12" t="e">
        <f t="shared" si="122"/>
        <v>#DIV/0!</v>
      </c>
    </row>
    <row r="1617" spans="1:10" x14ac:dyDescent="0.2">
      <c r="A1617" s="19" t="s">
        <v>7</v>
      </c>
      <c r="B1617" s="5" t="s">
        <v>20</v>
      </c>
      <c r="C1617" s="22">
        <v>10</v>
      </c>
      <c r="D1617" s="4"/>
      <c r="E1617" s="4">
        <v>2.4350000000000001</v>
      </c>
      <c r="F1617" s="4">
        <v>3.383</v>
      </c>
      <c r="G1617" s="4">
        <v>5.2880000000000003</v>
      </c>
      <c r="H1617" s="4">
        <f t="shared" si="123"/>
        <v>0.156665681347916</v>
      </c>
      <c r="I1617" s="4">
        <f t="shared" si="124"/>
        <v>0</v>
      </c>
      <c r="J1617" s="10">
        <f t="shared" si="122"/>
        <v>0</v>
      </c>
    </row>
    <row r="1618" spans="1:10" x14ac:dyDescent="0.2">
      <c r="A1618" s="20"/>
      <c r="B1618" s="6" t="s">
        <v>21</v>
      </c>
      <c r="C1618" s="23"/>
      <c r="D1618">
        <v>808</v>
      </c>
      <c r="E1618">
        <v>2.4510000000000001</v>
      </c>
      <c r="F1618">
        <v>3.2280000000000002</v>
      </c>
      <c r="G1618">
        <v>5.1749999999999998</v>
      </c>
      <c r="H1618">
        <f t="shared" si="123"/>
        <v>0.15613382899628267</v>
      </c>
      <c r="I1618">
        <f t="shared" si="124"/>
        <v>681.84386617100358</v>
      </c>
      <c r="J1618" s="11" t="e">
        <f t="shared" si="122"/>
        <v>#DIV/0!</v>
      </c>
    </row>
    <row r="1619" spans="1:10" x14ac:dyDescent="0.2">
      <c r="A1619" s="25"/>
      <c r="B1619" s="8" t="s">
        <v>22</v>
      </c>
      <c r="C1619" s="26"/>
      <c r="D1619" s="7"/>
      <c r="E1619" s="7">
        <v>2.4289999999999998</v>
      </c>
      <c r="F1619" s="7">
        <v>3.03</v>
      </c>
      <c r="G1619" s="7">
        <v>4.9790000000000001</v>
      </c>
      <c r="H1619" s="7">
        <f t="shared" si="123"/>
        <v>0.15841584158415828</v>
      </c>
      <c r="I1619" s="7">
        <f t="shared" si="124"/>
        <v>0</v>
      </c>
      <c r="J1619" s="12" t="e">
        <f t="shared" si="122"/>
        <v>#DIV/0!</v>
      </c>
    </row>
    <row r="1620" spans="1:10" x14ac:dyDescent="0.2">
      <c r="A1620" s="19" t="s">
        <v>8</v>
      </c>
      <c r="B1620" s="5" t="s">
        <v>20</v>
      </c>
      <c r="C1620" s="22">
        <v>10</v>
      </c>
      <c r="D1620" s="4"/>
      <c r="E1620" s="4">
        <v>2.4460000000000002</v>
      </c>
      <c r="F1620" s="4">
        <v>3.5529999999999999</v>
      </c>
      <c r="G1620" s="4">
        <v>5.4690000000000003</v>
      </c>
      <c r="H1620" s="4">
        <f t="shared" si="123"/>
        <v>0.14916971573318316</v>
      </c>
      <c r="I1620" s="4">
        <f t="shared" si="124"/>
        <v>0</v>
      </c>
      <c r="J1620" s="10">
        <f t="shared" si="122"/>
        <v>0</v>
      </c>
    </row>
    <row r="1621" spans="1:10" x14ac:dyDescent="0.2">
      <c r="A1621" s="20"/>
      <c r="B1621" s="6" t="s">
        <v>21</v>
      </c>
      <c r="C1621" s="23"/>
      <c r="D1621">
        <v>861</v>
      </c>
      <c r="E1621">
        <v>2.4300000000000002</v>
      </c>
      <c r="F1621">
        <v>3.37</v>
      </c>
      <c r="G1621">
        <v>5.2889999999999997</v>
      </c>
      <c r="H1621">
        <f t="shared" si="123"/>
        <v>0.15163204747774497</v>
      </c>
      <c r="I1621">
        <f t="shared" si="124"/>
        <v>730.4448071216616</v>
      </c>
      <c r="J1621" s="11" t="e">
        <f t="shared" si="122"/>
        <v>#DIV/0!</v>
      </c>
    </row>
    <row r="1622" spans="1:10" x14ac:dyDescent="0.2">
      <c r="A1622" s="25"/>
      <c r="B1622" s="8" t="s">
        <v>22</v>
      </c>
      <c r="C1622" s="26"/>
      <c r="D1622" s="7"/>
      <c r="E1622" s="7">
        <v>2.4470000000000001</v>
      </c>
      <c r="F1622" s="7">
        <v>3.0150000000000001</v>
      </c>
      <c r="G1622" s="7">
        <v>4.992</v>
      </c>
      <c r="H1622" s="7">
        <f t="shared" si="123"/>
        <v>0.15588723051409625</v>
      </c>
      <c r="I1622" s="7">
        <f t="shared" si="124"/>
        <v>0</v>
      </c>
      <c r="J1622" s="12" t="e">
        <f t="shared" si="122"/>
        <v>#DIV/0!</v>
      </c>
    </row>
    <row r="1623" spans="1:10" x14ac:dyDescent="0.2">
      <c r="A1623" s="19" t="s">
        <v>9</v>
      </c>
      <c r="B1623" s="5" t="s">
        <v>20</v>
      </c>
      <c r="C1623" s="22">
        <v>10</v>
      </c>
      <c r="D1623" s="4"/>
      <c r="E1623" s="4">
        <v>2.4500000000000002</v>
      </c>
      <c r="F1623" s="4">
        <v>3.7850000000000001</v>
      </c>
      <c r="G1623" s="4">
        <v>5.6420000000000003</v>
      </c>
      <c r="H1623" s="4">
        <f t="shared" si="123"/>
        <v>0.15667107001321004</v>
      </c>
      <c r="I1623" s="4">
        <f t="shared" si="124"/>
        <v>0</v>
      </c>
      <c r="J1623" s="10">
        <f t="shared" si="122"/>
        <v>0</v>
      </c>
    </row>
    <row r="1624" spans="1:10" x14ac:dyDescent="0.2">
      <c r="A1624" s="20"/>
      <c r="B1624" s="6" t="s">
        <v>21</v>
      </c>
      <c r="C1624" s="23"/>
      <c r="D1624">
        <v>821</v>
      </c>
      <c r="E1624">
        <v>2.4340000000000002</v>
      </c>
      <c r="F1624">
        <v>3.202</v>
      </c>
      <c r="G1624">
        <v>5.1280000000000001</v>
      </c>
      <c r="H1624">
        <f t="shared" si="123"/>
        <v>0.15865084322298564</v>
      </c>
      <c r="I1624">
        <f t="shared" si="124"/>
        <v>690.74765771392879</v>
      </c>
      <c r="J1624" s="11" t="e">
        <f t="shared" si="122"/>
        <v>#DIV/0!</v>
      </c>
    </row>
    <row r="1625" spans="1:10" x14ac:dyDescent="0.2">
      <c r="A1625" s="25"/>
      <c r="B1625" s="8" t="s">
        <v>22</v>
      </c>
      <c r="C1625" s="26"/>
      <c r="D1625" s="7"/>
      <c r="E1625" s="7">
        <v>2.4009999999999998</v>
      </c>
      <c r="F1625" s="7">
        <v>3.1589999999999998</v>
      </c>
      <c r="G1625" s="7">
        <v>5.0750000000000002</v>
      </c>
      <c r="H1625" s="7">
        <f t="shared" si="123"/>
        <v>0.15352959797404225</v>
      </c>
      <c r="I1625" s="7">
        <f t="shared" si="124"/>
        <v>0</v>
      </c>
      <c r="J1625" s="12" t="e">
        <f t="shared" si="122"/>
        <v>#DIV/0!</v>
      </c>
    </row>
    <row r="1626" spans="1:10" x14ac:dyDescent="0.2">
      <c r="A1626" s="19" t="s">
        <v>10</v>
      </c>
      <c r="B1626" s="5" t="s">
        <v>20</v>
      </c>
      <c r="C1626" s="22">
        <v>10</v>
      </c>
      <c r="D1626" s="4"/>
      <c r="E1626" s="4">
        <v>2.4209999999999998</v>
      </c>
      <c r="F1626" s="4">
        <v>3.1360000000000001</v>
      </c>
      <c r="G1626" s="4">
        <v>5.069</v>
      </c>
      <c r="H1626" s="4">
        <f t="shared" si="123"/>
        <v>0.15561224489795916</v>
      </c>
      <c r="I1626" s="4">
        <f t="shared" si="124"/>
        <v>0</v>
      </c>
      <c r="J1626" s="10">
        <f t="shared" si="122"/>
        <v>0</v>
      </c>
    </row>
    <row r="1627" spans="1:10" x14ac:dyDescent="0.2">
      <c r="A1627" s="20"/>
      <c r="B1627" s="6" t="s">
        <v>21</v>
      </c>
      <c r="C1627" s="23"/>
      <c r="D1627">
        <v>984</v>
      </c>
      <c r="E1627">
        <v>2.456</v>
      </c>
      <c r="F1627">
        <v>3.1459999999999999</v>
      </c>
      <c r="G1627">
        <v>5.1029999999999998</v>
      </c>
      <c r="H1627">
        <f t="shared" si="123"/>
        <v>0.15861411315956775</v>
      </c>
      <c r="I1627">
        <f t="shared" si="124"/>
        <v>827.92371265098529</v>
      </c>
      <c r="J1627" s="11" t="e">
        <f t="shared" si="122"/>
        <v>#DIV/0!</v>
      </c>
    </row>
    <row r="1628" spans="1:10" x14ac:dyDescent="0.2">
      <c r="A1628" s="25"/>
      <c r="B1628" s="8" t="s">
        <v>22</v>
      </c>
      <c r="C1628" s="26"/>
      <c r="D1628" s="7"/>
      <c r="E1628" s="7">
        <v>2.415</v>
      </c>
      <c r="F1628" s="7">
        <v>3.1589999999999998</v>
      </c>
      <c r="G1628" s="7">
        <v>5.0750000000000002</v>
      </c>
      <c r="H1628" s="7">
        <f t="shared" si="123"/>
        <v>0.15796138018360231</v>
      </c>
      <c r="I1628" s="7">
        <f t="shared" si="124"/>
        <v>0</v>
      </c>
      <c r="J1628" s="12" t="e">
        <f t="shared" si="122"/>
        <v>#DIV/0!</v>
      </c>
    </row>
    <row r="1629" spans="1:10" x14ac:dyDescent="0.2">
      <c r="A1629" s="19" t="s">
        <v>11</v>
      </c>
      <c r="B1629" s="5" t="s">
        <v>20</v>
      </c>
      <c r="C1629" s="22">
        <v>10</v>
      </c>
      <c r="D1629" s="4"/>
      <c r="E1629" s="4">
        <v>2.4009999999999998</v>
      </c>
      <c r="F1629" s="4">
        <v>3.702</v>
      </c>
      <c r="G1629" s="4">
        <v>5.649</v>
      </c>
      <c r="H1629" s="4">
        <f t="shared" si="123"/>
        <v>0.12263641274986486</v>
      </c>
      <c r="I1629" s="4">
        <f t="shared" si="124"/>
        <v>0</v>
      </c>
      <c r="J1629" s="10">
        <f t="shared" si="122"/>
        <v>0</v>
      </c>
    </row>
    <row r="1630" spans="1:10" x14ac:dyDescent="0.2">
      <c r="A1630" s="20"/>
      <c r="B1630" s="6" t="s">
        <v>21</v>
      </c>
      <c r="C1630" s="23"/>
      <c r="D1630">
        <v>1154</v>
      </c>
      <c r="E1630">
        <v>2.4510000000000001</v>
      </c>
      <c r="F1630">
        <v>3.0910000000000002</v>
      </c>
      <c r="G1630">
        <v>5.1539999999999999</v>
      </c>
      <c r="H1630">
        <f t="shared" si="123"/>
        <v>0.12552571983176974</v>
      </c>
      <c r="I1630">
        <f t="shared" si="124"/>
        <v>1009.1433193141377</v>
      </c>
      <c r="J1630" s="11" t="e">
        <f t="shared" si="122"/>
        <v>#DIV/0!</v>
      </c>
    </row>
    <row r="1631" spans="1:10" x14ac:dyDescent="0.2">
      <c r="A1631" s="25"/>
      <c r="B1631" s="8" t="s">
        <v>22</v>
      </c>
      <c r="C1631" s="26"/>
      <c r="D1631" s="7"/>
      <c r="E1631" s="7">
        <v>2.4380000000000002</v>
      </c>
      <c r="F1631" s="7">
        <v>3.41</v>
      </c>
      <c r="G1631" s="7">
        <v>5.3550000000000004</v>
      </c>
      <c r="H1631" s="7">
        <f t="shared" si="123"/>
        <v>0.14457478005865099</v>
      </c>
      <c r="I1631" s="7">
        <f t="shared" si="124"/>
        <v>0</v>
      </c>
      <c r="J1631" s="12" t="e">
        <f t="shared" si="122"/>
        <v>#DIV/0!</v>
      </c>
    </row>
    <row r="1632" spans="1:10" x14ac:dyDescent="0.2">
      <c r="A1632" s="19" t="s">
        <v>12</v>
      </c>
      <c r="B1632" s="5" t="s">
        <v>20</v>
      </c>
      <c r="C1632" s="22">
        <v>10</v>
      </c>
      <c r="D1632" s="4"/>
      <c r="E1632" s="4">
        <v>2.407</v>
      </c>
      <c r="F1632" s="4">
        <v>3.1030000000000002</v>
      </c>
      <c r="G1632" s="4">
        <v>5.1070000000000002</v>
      </c>
      <c r="H1632" s="4">
        <f t="shared" si="123"/>
        <v>0.12987431517885917</v>
      </c>
      <c r="I1632" s="4">
        <f t="shared" si="124"/>
        <v>0</v>
      </c>
      <c r="J1632" s="10">
        <f t="shared" si="122"/>
        <v>0</v>
      </c>
    </row>
    <row r="1633" spans="1:10" x14ac:dyDescent="0.2">
      <c r="A1633" s="20"/>
      <c r="B1633" s="6" t="s">
        <v>21</v>
      </c>
      <c r="C1633" s="23"/>
      <c r="D1633">
        <v>980</v>
      </c>
      <c r="E1633">
        <v>2.4340000000000002</v>
      </c>
      <c r="F1633">
        <v>3.37</v>
      </c>
      <c r="G1633">
        <v>5.34</v>
      </c>
      <c r="H1633">
        <f t="shared" si="123"/>
        <v>0.13768545994065293</v>
      </c>
      <c r="I1633">
        <f t="shared" si="124"/>
        <v>845.06824925816011</v>
      </c>
      <c r="J1633" s="11" t="e">
        <f t="shared" si="122"/>
        <v>#DIV/0!</v>
      </c>
    </row>
    <row r="1634" spans="1:10" x14ac:dyDescent="0.2">
      <c r="A1634" s="25"/>
      <c r="B1634" s="8" t="s">
        <v>22</v>
      </c>
      <c r="C1634" s="26"/>
      <c r="D1634" s="7"/>
      <c r="E1634" s="7">
        <v>2.4369999999999998</v>
      </c>
      <c r="F1634" s="7">
        <v>3.181</v>
      </c>
      <c r="G1634" s="7">
        <v>5.1680000000000001</v>
      </c>
      <c r="H1634" s="7">
        <f t="shared" si="123"/>
        <v>0.14146494812951893</v>
      </c>
      <c r="I1634" s="7">
        <f t="shared" si="124"/>
        <v>0</v>
      </c>
      <c r="J1634" s="12" t="e">
        <f t="shared" si="122"/>
        <v>#DIV/0!</v>
      </c>
    </row>
    <row r="1635" spans="1:10" x14ac:dyDescent="0.2">
      <c r="A1635" s="19" t="s">
        <v>13</v>
      </c>
      <c r="B1635" s="5" t="s">
        <v>20</v>
      </c>
      <c r="C1635" s="22">
        <v>10</v>
      </c>
      <c r="D1635" s="4"/>
      <c r="E1635" s="4">
        <v>2.4409999999999998</v>
      </c>
      <c r="F1635" s="4">
        <v>3.2360000000000002</v>
      </c>
      <c r="G1635" s="4">
        <v>5.2510000000000003</v>
      </c>
      <c r="H1635" s="4">
        <f t="shared" si="123"/>
        <v>0.13164400494437567</v>
      </c>
      <c r="I1635" s="4">
        <f t="shared" si="124"/>
        <v>0</v>
      </c>
      <c r="J1635" s="10">
        <f t="shared" si="122"/>
        <v>0</v>
      </c>
    </row>
    <row r="1636" spans="1:10" x14ac:dyDescent="0.2">
      <c r="A1636" s="20"/>
      <c r="B1636" s="6" t="s">
        <v>21</v>
      </c>
      <c r="C1636" s="23"/>
      <c r="D1636">
        <v>1107</v>
      </c>
      <c r="E1636">
        <v>2.4420000000000002</v>
      </c>
      <c r="F1636">
        <v>3.645</v>
      </c>
      <c r="G1636">
        <v>5.5860000000000003</v>
      </c>
      <c r="H1636">
        <f t="shared" si="123"/>
        <v>0.13744855967078187</v>
      </c>
      <c r="I1636">
        <f t="shared" si="124"/>
        <v>954.84444444444443</v>
      </c>
      <c r="J1636" s="11" t="e">
        <f t="shared" si="122"/>
        <v>#DIV/0!</v>
      </c>
    </row>
    <row r="1637" spans="1:10" x14ac:dyDescent="0.2">
      <c r="A1637" s="25"/>
      <c r="B1637" s="8" t="s">
        <v>22</v>
      </c>
      <c r="C1637" s="26"/>
      <c r="D1637" s="7"/>
      <c r="E1637" s="7">
        <v>2.41</v>
      </c>
      <c r="F1637" s="7">
        <v>3.16</v>
      </c>
      <c r="G1637" s="7">
        <v>5.1440000000000001</v>
      </c>
      <c r="H1637" s="7">
        <f t="shared" si="123"/>
        <v>0.13481012658227853</v>
      </c>
      <c r="I1637" s="7">
        <f t="shared" si="124"/>
        <v>0</v>
      </c>
      <c r="J1637" s="12" t="e">
        <f t="shared" si="122"/>
        <v>#DIV/0!</v>
      </c>
    </row>
    <row r="1638" spans="1:10" x14ac:dyDescent="0.2">
      <c r="A1638" s="19" t="s">
        <v>14</v>
      </c>
      <c r="B1638" s="5" t="s">
        <v>20</v>
      </c>
      <c r="C1638" s="22">
        <v>10</v>
      </c>
      <c r="D1638" s="4"/>
      <c r="E1638" s="4"/>
      <c r="F1638" s="4"/>
      <c r="G1638" s="4"/>
      <c r="H1638" s="4" t="e">
        <f t="shared" si="123"/>
        <v>#DIV/0!</v>
      </c>
      <c r="I1638" s="4" t="e">
        <f t="shared" si="124"/>
        <v>#DIV/0!</v>
      </c>
      <c r="J1638" s="10" t="e">
        <f t="shared" si="122"/>
        <v>#DIV/0!</v>
      </c>
    </row>
    <row r="1639" spans="1:10" x14ac:dyDescent="0.2">
      <c r="A1639" s="20"/>
      <c r="B1639" s="6" t="s">
        <v>21</v>
      </c>
      <c r="C1639" s="23"/>
      <c r="H1639" t="e">
        <f t="shared" si="123"/>
        <v>#DIV/0!</v>
      </c>
      <c r="I1639" t="e">
        <f t="shared" si="124"/>
        <v>#DIV/0!</v>
      </c>
      <c r="J1639" s="11" t="e">
        <f t="shared" si="122"/>
        <v>#DIV/0!</v>
      </c>
    </row>
    <row r="1640" spans="1:10" ht="16" thickBot="1" x14ac:dyDescent="0.25">
      <c r="A1640" s="21"/>
      <c r="B1640" s="15" t="s">
        <v>22</v>
      </c>
      <c r="C1640" s="24"/>
      <c r="D1640" s="13"/>
      <c r="E1640" s="13"/>
      <c r="F1640" s="13"/>
      <c r="G1640" s="13"/>
      <c r="H1640" s="13" t="e">
        <f t="shared" si="123"/>
        <v>#DIV/0!</v>
      </c>
      <c r="I1640" s="13" t="e">
        <f t="shared" si="124"/>
        <v>#DIV/0!</v>
      </c>
      <c r="J1640" s="14" t="e">
        <f t="shared" si="122"/>
        <v>#DIV/0!</v>
      </c>
    </row>
    <row r="1641" spans="1:10" ht="16" thickBot="1" x14ac:dyDescent="0.25">
      <c r="A1641" s="44" t="s">
        <v>1</v>
      </c>
      <c r="B1641" s="33"/>
      <c r="C1641" s="33"/>
      <c r="D1641" s="33" t="s">
        <v>43</v>
      </c>
      <c r="E1641" s="34"/>
      <c r="F1641" s="9" t="s">
        <v>0</v>
      </c>
      <c r="G1641" s="18">
        <v>44159</v>
      </c>
      <c r="H1641" s="35" t="s">
        <v>24</v>
      </c>
      <c r="I1641" s="36"/>
      <c r="J1641" s="1">
        <v>100</v>
      </c>
    </row>
    <row r="1642" spans="1:10" ht="16" thickBot="1" x14ac:dyDescent="0.25">
      <c r="A1642" s="37" t="s">
        <v>2</v>
      </c>
      <c r="B1642" s="38"/>
      <c r="C1642" s="38"/>
      <c r="D1642" s="38"/>
      <c r="E1642" s="39"/>
      <c r="F1642" s="40"/>
      <c r="G1642" s="41"/>
      <c r="H1642" s="42" t="s">
        <v>25</v>
      </c>
      <c r="I1642" s="43"/>
      <c r="J1642" s="2">
        <v>36</v>
      </c>
    </row>
    <row r="1643" spans="1:10" ht="16" thickBot="1" x14ac:dyDescent="0.25">
      <c r="A1643" s="45" t="s">
        <v>27</v>
      </c>
      <c r="B1643" s="27"/>
      <c r="C1643" s="27"/>
      <c r="D1643" s="27" t="s">
        <v>36</v>
      </c>
      <c r="E1643" s="28"/>
      <c r="F1643" s="16" t="s">
        <v>30</v>
      </c>
      <c r="G1643" s="16">
        <v>3.81</v>
      </c>
      <c r="H1643" s="29" t="s">
        <v>26</v>
      </c>
      <c r="I1643" s="30"/>
      <c r="J1643" s="3">
        <v>60</v>
      </c>
    </row>
    <row r="1644" spans="1:10" x14ac:dyDescent="0.2">
      <c r="A1644" s="31"/>
      <c r="B1644" s="32"/>
      <c r="C1644" s="16" t="s">
        <v>29</v>
      </c>
      <c r="D1644" s="16" t="s">
        <v>19</v>
      </c>
      <c r="E1644" s="16" t="s">
        <v>15</v>
      </c>
      <c r="F1644" s="16" t="s">
        <v>18</v>
      </c>
      <c r="G1644" s="16" t="s">
        <v>17</v>
      </c>
      <c r="H1644" s="16" t="s">
        <v>28</v>
      </c>
      <c r="I1644" s="16" t="s">
        <v>16</v>
      </c>
      <c r="J1644" s="17" t="s">
        <v>23</v>
      </c>
    </row>
    <row r="1645" spans="1:10" x14ac:dyDescent="0.2">
      <c r="A1645" s="19" t="s">
        <v>3</v>
      </c>
      <c r="B1645" s="5" t="s">
        <v>20</v>
      </c>
      <c r="C1645" s="22">
        <v>10</v>
      </c>
      <c r="D1645" s="4"/>
      <c r="E1645" s="4">
        <v>2.44</v>
      </c>
      <c r="F1645" s="4">
        <v>3.2869999999999999</v>
      </c>
      <c r="G1645" s="4">
        <v>5.28</v>
      </c>
      <c r="H1645" s="4">
        <f>(F1645-(G1645-E1645))/F1645</f>
        <v>0.13599026467903852</v>
      </c>
      <c r="I1645" s="4">
        <f>D1645-H1645*D1645</f>
        <v>0</v>
      </c>
      <c r="J1645" s="10">
        <f t="shared" ref="J1645:J1680" si="125">I1645/($G$3^2*C1645*PI())</f>
        <v>0</v>
      </c>
    </row>
    <row r="1646" spans="1:10" x14ac:dyDescent="0.2">
      <c r="A1646" s="20"/>
      <c r="B1646" s="6" t="s">
        <v>21</v>
      </c>
      <c r="C1646" s="23"/>
      <c r="D1646">
        <v>730</v>
      </c>
      <c r="E1646">
        <v>2.4220000000000002</v>
      </c>
      <c r="F1646">
        <v>3.1070000000000002</v>
      </c>
      <c r="G1646">
        <v>5.1210000000000004</v>
      </c>
      <c r="H1646">
        <f t="shared" ref="H1646:H1680" si="126">(F1646-(G1646-E1646))/F1646</f>
        <v>0.13131638236240742</v>
      </c>
      <c r="I1646">
        <f t="shared" ref="I1646:I1680" si="127">D1646-H1646*D1646</f>
        <v>634.13904087544256</v>
      </c>
      <c r="J1646" s="11" t="e">
        <f t="shared" si="125"/>
        <v>#DIV/0!</v>
      </c>
    </row>
    <row r="1647" spans="1:10" x14ac:dyDescent="0.2">
      <c r="A1647" s="25"/>
      <c r="B1647" s="8" t="s">
        <v>22</v>
      </c>
      <c r="C1647" s="26"/>
      <c r="D1647" s="7"/>
      <c r="E1647" s="7">
        <v>2.4289999999999998</v>
      </c>
      <c r="F1647" s="7">
        <v>3.53</v>
      </c>
      <c r="G1647" s="7">
        <v>5.5069999999999997</v>
      </c>
      <c r="H1647" s="7">
        <f t="shared" si="126"/>
        <v>0.12804532577903682</v>
      </c>
      <c r="I1647" s="7">
        <f t="shared" si="127"/>
        <v>0</v>
      </c>
      <c r="J1647" s="12" t="e">
        <f t="shared" si="125"/>
        <v>#DIV/0!</v>
      </c>
    </row>
    <row r="1648" spans="1:10" x14ac:dyDescent="0.2">
      <c r="A1648" s="19" t="s">
        <v>4</v>
      </c>
      <c r="B1648" s="5" t="s">
        <v>20</v>
      </c>
      <c r="C1648" s="23">
        <v>10</v>
      </c>
      <c r="E1648">
        <v>2.411</v>
      </c>
      <c r="F1648">
        <v>3.6120000000000001</v>
      </c>
      <c r="G1648">
        <v>5.57</v>
      </c>
      <c r="H1648" s="4">
        <f t="shared" si="126"/>
        <v>0.12541528239202654</v>
      </c>
      <c r="I1648" s="4">
        <f t="shared" si="127"/>
        <v>0</v>
      </c>
      <c r="J1648" s="10">
        <f t="shared" si="125"/>
        <v>0</v>
      </c>
    </row>
    <row r="1649" spans="1:10" x14ac:dyDescent="0.2">
      <c r="A1649" s="20"/>
      <c r="B1649" s="6" t="s">
        <v>21</v>
      </c>
      <c r="C1649" s="23"/>
      <c r="D1649">
        <v>776</v>
      </c>
      <c r="E1649">
        <v>2.4340000000000002</v>
      </c>
      <c r="F1649">
        <v>3.923</v>
      </c>
      <c r="G1649" t="s">
        <v>52</v>
      </c>
      <c r="H1649" t="e">
        <f t="shared" si="126"/>
        <v>#VALUE!</v>
      </c>
      <c r="I1649" t="e">
        <f t="shared" si="127"/>
        <v>#VALUE!</v>
      </c>
      <c r="J1649" s="11" t="e">
        <f t="shared" si="125"/>
        <v>#VALUE!</v>
      </c>
    </row>
    <row r="1650" spans="1:10" x14ac:dyDescent="0.2">
      <c r="A1650" s="25"/>
      <c r="B1650" s="8" t="s">
        <v>22</v>
      </c>
      <c r="C1650" s="26"/>
      <c r="D1650" s="7"/>
      <c r="E1650" s="7">
        <v>2.4359999999999999</v>
      </c>
      <c r="F1650" s="7">
        <v>3.2519999999999998</v>
      </c>
      <c r="G1650" s="7">
        <v>5.2489999999999997</v>
      </c>
      <c r="H1650" s="7">
        <f t="shared" si="126"/>
        <v>0.13499384993849942</v>
      </c>
      <c r="I1650" s="7">
        <f t="shared" si="127"/>
        <v>0</v>
      </c>
      <c r="J1650" s="12" t="e">
        <f t="shared" si="125"/>
        <v>#DIV/0!</v>
      </c>
    </row>
    <row r="1651" spans="1:10" x14ac:dyDescent="0.2">
      <c r="A1651" s="19" t="s">
        <v>5</v>
      </c>
      <c r="B1651" s="5" t="s">
        <v>20</v>
      </c>
      <c r="C1651" s="22">
        <v>10</v>
      </c>
      <c r="D1651" s="4"/>
      <c r="E1651" s="4">
        <v>2.4409999999999998</v>
      </c>
      <c r="F1651" s="4">
        <v>3.5880000000000001</v>
      </c>
      <c r="G1651" s="4">
        <v>5.585</v>
      </c>
      <c r="H1651" s="4">
        <f t="shared" si="126"/>
        <v>0.1237458193979933</v>
      </c>
      <c r="I1651" s="4">
        <f t="shared" si="127"/>
        <v>0</v>
      </c>
      <c r="J1651" s="10">
        <f t="shared" si="125"/>
        <v>0</v>
      </c>
    </row>
    <row r="1652" spans="1:10" x14ac:dyDescent="0.2">
      <c r="A1652" s="20"/>
      <c r="B1652" s="6" t="s">
        <v>21</v>
      </c>
      <c r="C1652" s="23"/>
      <c r="D1652">
        <v>788</v>
      </c>
      <c r="E1652">
        <v>2.452</v>
      </c>
      <c r="F1652">
        <v>3.302</v>
      </c>
      <c r="G1652">
        <v>5.2519999999999998</v>
      </c>
      <c r="H1652">
        <f t="shared" si="126"/>
        <v>0.15202907328891588</v>
      </c>
      <c r="I1652">
        <f t="shared" si="127"/>
        <v>668.20109024833425</v>
      </c>
      <c r="J1652" s="11" t="e">
        <f t="shared" si="125"/>
        <v>#DIV/0!</v>
      </c>
    </row>
    <row r="1653" spans="1:10" x14ac:dyDescent="0.2">
      <c r="A1653" s="25"/>
      <c r="B1653" s="8" t="s">
        <v>22</v>
      </c>
      <c r="C1653" s="26"/>
      <c r="D1653" s="7"/>
      <c r="E1653" s="7">
        <v>2.4500000000000002</v>
      </c>
      <c r="F1653" s="7">
        <v>3.9260000000000002</v>
      </c>
      <c r="G1653" s="7">
        <v>5.84</v>
      </c>
      <c r="H1653" s="7">
        <f t="shared" si="126"/>
        <v>0.13652572592969955</v>
      </c>
      <c r="I1653" s="7">
        <f t="shared" si="127"/>
        <v>0</v>
      </c>
      <c r="J1653" s="12" t="e">
        <f t="shared" si="125"/>
        <v>#DIV/0!</v>
      </c>
    </row>
    <row r="1654" spans="1:10" x14ac:dyDescent="0.2">
      <c r="A1654" s="19" t="s">
        <v>6</v>
      </c>
      <c r="B1654" s="5" t="s">
        <v>20</v>
      </c>
      <c r="C1654" s="22">
        <v>10</v>
      </c>
      <c r="D1654" s="4"/>
      <c r="E1654" s="4">
        <v>2.4119999999999999</v>
      </c>
      <c r="F1654" s="4">
        <v>3.016</v>
      </c>
      <c r="G1654" s="4">
        <v>5.0049999999999999</v>
      </c>
      <c r="H1654" s="4">
        <f t="shared" si="126"/>
        <v>0.14025198938992045</v>
      </c>
      <c r="I1654" s="4">
        <f t="shared" si="127"/>
        <v>0</v>
      </c>
      <c r="J1654" s="10">
        <f t="shared" si="125"/>
        <v>0</v>
      </c>
    </row>
    <row r="1655" spans="1:10" x14ac:dyDescent="0.2">
      <c r="A1655" s="20"/>
      <c r="B1655" s="6" t="s">
        <v>21</v>
      </c>
      <c r="C1655" s="23"/>
      <c r="D1655">
        <v>814</v>
      </c>
      <c r="E1655">
        <v>2.448</v>
      </c>
      <c r="F1655">
        <v>3.177</v>
      </c>
      <c r="G1655">
        <v>5.2160000000000002</v>
      </c>
      <c r="H1655">
        <f t="shared" si="126"/>
        <v>0.12873780295876608</v>
      </c>
      <c r="I1655">
        <f t="shared" si="127"/>
        <v>709.20742839156446</v>
      </c>
      <c r="J1655" s="11" t="e">
        <f t="shared" si="125"/>
        <v>#DIV/0!</v>
      </c>
    </row>
    <row r="1656" spans="1:10" x14ac:dyDescent="0.2">
      <c r="A1656" s="25"/>
      <c r="B1656" s="8" t="s">
        <v>22</v>
      </c>
      <c r="C1656" s="26"/>
      <c r="D1656" s="7"/>
      <c r="E1656" s="7">
        <v>2.4409999999999998</v>
      </c>
      <c r="F1656" s="7">
        <v>3.0129999999999999</v>
      </c>
      <c r="G1656" s="7">
        <v>5.0869999999999997</v>
      </c>
      <c r="H1656" s="7">
        <f t="shared" si="126"/>
        <v>0.12180550945901096</v>
      </c>
      <c r="I1656" s="7">
        <f t="shared" si="127"/>
        <v>0</v>
      </c>
      <c r="J1656" s="12" t="e">
        <f t="shared" si="125"/>
        <v>#DIV/0!</v>
      </c>
    </row>
    <row r="1657" spans="1:10" x14ac:dyDescent="0.2">
      <c r="A1657" s="19" t="s">
        <v>7</v>
      </c>
      <c r="B1657" s="5" t="s">
        <v>20</v>
      </c>
      <c r="C1657" s="22">
        <v>10</v>
      </c>
      <c r="D1657" s="4"/>
      <c r="E1657" s="4">
        <v>2.444</v>
      </c>
      <c r="F1657" s="4">
        <v>3.1970000000000001</v>
      </c>
      <c r="G1657" s="4">
        <v>5.1980000000000004</v>
      </c>
      <c r="H1657" s="4">
        <f t="shared" si="126"/>
        <v>0.13856740694400987</v>
      </c>
      <c r="I1657" s="4">
        <f t="shared" si="127"/>
        <v>0</v>
      </c>
      <c r="J1657" s="10">
        <f t="shared" si="125"/>
        <v>0</v>
      </c>
    </row>
    <row r="1658" spans="1:10" x14ac:dyDescent="0.2">
      <c r="A1658" s="20"/>
      <c r="B1658" s="6" t="s">
        <v>21</v>
      </c>
      <c r="C1658" s="23"/>
      <c r="D1658">
        <v>761</v>
      </c>
      <c r="E1658">
        <v>2.4910000000000001</v>
      </c>
      <c r="F1658">
        <v>3.9710000000000001</v>
      </c>
      <c r="G1658">
        <v>5.9530000000000003</v>
      </c>
      <c r="H1658">
        <f t="shared" si="126"/>
        <v>0.12817929992445226</v>
      </c>
      <c r="I1658">
        <f t="shared" si="127"/>
        <v>663.45555275749189</v>
      </c>
      <c r="J1658" s="11" t="e">
        <f t="shared" si="125"/>
        <v>#DIV/0!</v>
      </c>
    </row>
    <row r="1659" spans="1:10" x14ac:dyDescent="0.2">
      <c r="A1659" s="25"/>
      <c r="B1659" s="8" t="s">
        <v>22</v>
      </c>
      <c r="C1659" s="26"/>
      <c r="D1659" s="7"/>
      <c r="E1659" s="7">
        <v>2.4279999999999999</v>
      </c>
      <c r="F1659" s="7">
        <v>3.0779999999999998</v>
      </c>
      <c r="G1659" s="7">
        <v>5.1189999999999998</v>
      </c>
      <c r="H1659" s="7">
        <f t="shared" si="126"/>
        <v>0.1257309941520468</v>
      </c>
      <c r="I1659" s="7">
        <f t="shared" si="127"/>
        <v>0</v>
      </c>
      <c r="J1659" s="12" t="e">
        <f t="shared" si="125"/>
        <v>#DIV/0!</v>
      </c>
    </row>
    <row r="1660" spans="1:10" x14ac:dyDescent="0.2">
      <c r="A1660" s="19" t="s">
        <v>8</v>
      </c>
      <c r="B1660" s="5" t="s">
        <v>20</v>
      </c>
      <c r="C1660" s="22">
        <v>10</v>
      </c>
      <c r="D1660" s="4"/>
      <c r="E1660" s="4">
        <v>2.472</v>
      </c>
      <c r="F1660" s="4">
        <v>3.16</v>
      </c>
      <c r="G1660" s="4">
        <v>5.2880000000000003</v>
      </c>
      <c r="H1660" s="4">
        <f t="shared" si="126"/>
        <v>0.10886075949367084</v>
      </c>
      <c r="I1660" s="4">
        <f t="shared" si="127"/>
        <v>0</v>
      </c>
      <c r="J1660" s="10">
        <f t="shared" si="125"/>
        <v>0</v>
      </c>
    </row>
    <row r="1661" spans="1:10" x14ac:dyDescent="0.2">
      <c r="A1661" s="20"/>
      <c r="B1661" s="6" t="s">
        <v>21</v>
      </c>
      <c r="C1661" s="23"/>
      <c r="D1661">
        <v>804</v>
      </c>
      <c r="E1661">
        <v>2.411</v>
      </c>
      <c r="F1661">
        <v>3.165</v>
      </c>
      <c r="G1661">
        <v>5.2450000000000001</v>
      </c>
      <c r="H1661">
        <f t="shared" si="126"/>
        <v>0.10458135860979462</v>
      </c>
      <c r="I1661">
        <f t="shared" si="127"/>
        <v>719.91658767772515</v>
      </c>
      <c r="J1661" s="11" t="e">
        <f t="shared" si="125"/>
        <v>#DIV/0!</v>
      </c>
    </row>
    <row r="1662" spans="1:10" x14ac:dyDescent="0.2">
      <c r="A1662" s="25"/>
      <c r="B1662" s="8" t="s">
        <v>22</v>
      </c>
      <c r="C1662" s="26"/>
      <c r="D1662" s="7"/>
      <c r="E1662" s="7">
        <v>2.4929999999999999</v>
      </c>
      <c r="F1662" s="7">
        <v>3.5790000000000002</v>
      </c>
      <c r="G1662" s="7">
        <v>5.6779999999999999</v>
      </c>
      <c r="H1662" s="7">
        <f t="shared" si="126"/>
        <v>0.11008661637328866</v>
      </c>
      <c r="I1662" s="7">
        <f t="shared" si="127"/>
        <v>0</v>
      </c>
      <c r="J1662" s="12" t="e">
        <f t="shared" si="125"/>
        <v>#DIV/0!</v>
      </c>
    </row>
    <row r="1663" spans="1:10" x14ac:dyDescent="0.2">
      <c r="A1663" s="19" t="s">
        <v>9</v>
      </c>
      <c r="B1663" s="5" t="s">
        <v>20</v>
      </c>
      <c r="C1663" s="22">
        <v>10</v>
      </c>
      <c r="D1663" s="4"/>
      <c r="E1663" s="4">
        <v>2.4529999999999998</v>
      </c>
      <c r="F1663" s="4">
        <v>3.8140000000000001</v>
      </c>
      <c r="G1663" s="4">
        <v>5.8620000000000001</v>
      </c>
      <c r="H1663" s="4">
        <f t="shared" si="126"/>
        <v>0.10618772941793388</v>
      </c>
      <c r="I1663" s="4">
        <f t="shared" si="127"/>
        <v>0</v>
      </c>
      <c r="J1663" s="10">
        <f t="shared" si="125"/>
        <v>0</v>
      </c>
    </row>
    <row r="1664" spans="1:10" x14ac:dyDescent="0.2">
      <c r="A1664" s="20"/>
      <c r="B1664" s="6" t="s">
        <v>21</v>
      </c>
      <c r="C1664" s="23"/>
      <c r="D1664">
        <v>933</v>
      </c>
      <c r="E1664">
        <v>2.4460000000000002</v>
      </c>
      <c r="F1664">
        <v>3.5920000000000001</v>
      </c>
      <c r="G1664">
        <v>5.6289999999999996</v>
      </c>
      <c r="H1664">
        <f t="shared" si="126"/>
        <v>0.1138641425389757</v>
      </c>
      <c r="I1664">
        <f t="shared" si="127"/>
        <v>826.76475501113566</v>
      </c>
      <c r="J1664" s="11" t="e">
        <f t="shared" si="125"/>
        <v>#DIV/0!</v>
      </c>
    </row>
    <row r="1665" spans="1:10" x14ac:dyDescent="0.2">
      <c r="A1665" s="25"/>
      <c r="B1665" s="8" t="s">
        <v>22</v>
      </c>
      <c r="C1665" s="26"/>
      <c r="D1665" s="7"/>
      <c r="E1665" s="7">
        <v>2.464</v>
      </c>
      <c r="F1665" s="7">
        <v>23.087</v>
      </c>
      <c r="G1665" s="7">
        <v>5.1980000000000004</v>
      </c>
      <c r="H1665" s="7">
        <f t="shared" si="126"/>
        <v>0.8815783774418503</v>
      </c>
      <c r="I1665" s="7">
        <f t="shared" si="127"/>
        <v>0</v>
      </c>
      <c r="J1665" s="12" t="e">
        <f t="shared" si="125"/>
        <v>#DIV/0!</v>
      </c>
    </row>
    <row r="1666" spans="1:10" x14ac:dyDescent="0.2">
      <c r="A1666" s="19" t="s">
        <v>10</v>
      </c>
      <c r="B1666" s="5" t="s">
        <v>20</v>
      </c>
      <c r="C1666" s="22">
        <v>10</v>
      </c>
      <c r="D1666" s="4"/>
      <c r="E1666" s="4">
        <v>2.4470000000000001</v>
      </c>
      <c r="F1666" s="4">
        <v>3.2280000000000002</v>
      </c>
      <c r="G1666" s="4">
        <v>5.3609999999999998</v>
      </c>
      <c r="H1666" s="4">
        <f t="shared" si="126"/>
        <v>9.7273853779430139E-2</v>
      </c>
      <c r="I1666" s="4">
        <f t="shared" si="127"/>
        <v>0</v>
      </c>
      <c r="J1666" s="10">
        <f t="shared" si="125"/>
        <v>0</v>
      </c>
    </row>
    <row r="1667" spans="1:10" x14ac:dyDescent="0.2">
      <c r="A1667" s="20"/>
      <c r="B1667" s="6" t="s">
        <v>21</v>
      </c>
      <c r="C1667" s="23"/>
      <c r="D1667">
        <v>914</v>
      </c>
      <c r="E1667">
        <v>2.4569999999999999</v>
      </c>
      <c r="F1667">
        <v>3.2639999999999998</v>
      </c>
      <c r="G1667">
        <v>5.4050000000000002</v>
      </c>
      <c r="H1667">
        <f t="shared" si="126"/>
        <v>9.6813725490195901E-2</v>
      </c>
      <c r="I1667">
        <f t="shared" si="127"/>
        <v>825.51225490196089</v>
      </c>
      <c r="J1667" s="11" t="e">
        <f t="shared" si="125"/>
        <v>#DIV/0!</v>
      </c>
    </row>
    <row r="1668" spans="1:10" x14ac:dyDescent="0.2">
      <c r="A1668" s="25"/>
      <c r="B1668" s="8" t="s">
        <v>22</v>
      </c>
      <c r="C1668" s="26"/>
      <c r="D1668" s="7"/>
      <c r="E1668" s="7">
        <v>2.444</v>
      </c>
      <c r="F1668" s="7">
        <v>3.0139999999999998</v>
      </c>
      <c r="G1668" s="7">
        <v>5.1669999999999998</v>
      </c>
      <c r="H1668" s="7">
        <f t="shared" si="126"/>
        <v>9.654943596549434E-2</v>
      </c>
      <c r="I1668" s="7">
        <f t="shared" si="127"/>
        <v>0</v>
      </c>
      <c r="J1668" s="12" t="e">
        <f t="shared" si="125"/>
        <v>#DIV/0!</v>
      </c>
    </row>
    <row r="1669" spans="1:10" x14ac:dyDescent="0.2">
      <c r="A1669" s="19" t="s">
        <v>11</v>
      </c>
      <c r="B1669" s="5" t="s">
        <v>20</v>
      </c>
      <c r="C1669" s="22">
        <v>10</v>
      </c>
      <c r="D1669" s="4"/>
      <c r="E1669" s="4">
        <v>2.423</v>
      </c>
      <c r="F1669" s="4">
        <v>3.4820000000000002</v>
      </c>
      <c r="G1669" s="4">
        <v>5.5419999999999998</v>
      </c>
      <c r="H1669" s="4">
        <f t="shared" si="126"/>
        <v>0.1042504307869042</v>
      </c>
      <c r="I1669" s="4">
        <f t="shared" si="127"/>
        <v>0</v>
      </c>
      <c r="J1669" s="10">
        <f t="shared" si="125"/>
        <v>0</v>
      </c>
    </row>
    <row r="1670" spans="1:10" x14ac:dyDescent="0.2">
      <c r="A1670" s="20"/>
      <c r="B1670" s="6" t="s">
        <v>21</v>
      </c>
      <c r="C1670" s="23"/>
      <c r="D1670">
        <v>753</v>
      </c>
      <c r="E1670">
        <v>2.4540000000000002</v>
      </c>
      <c r="F1670">
        <v>3.746</v>
      </c>
      <c r="G1670">
        <v>5.7430000000000003</v>
      </c>
      <c r="H1670">
        <f t="shared" si="126"/>
        <v>0.12199679658302184</v>
      </c>
      <c r="I1670">
        <f t="shared" si="127"/>
        <v>661.13641217298459</v>
      </c>
      <c r="J1670" s="11" t="e">
        <f t="shared" si="125"/>
        <v>#DIV/0!</v>
      </c>
    </row>
    <row r="1671" spans="1:10" x14ac:dyDescent="0.2">
      <c r="A1671" s="25"/>
      <c r="B1671" s="8" t="s">
        <v>22</v>
      </c>
      <c r="C1671" s="26"/>
      <c r="D1671" s="7"/>
      <c r="E1671" s="7">
        <v>2.4630000000000001</v>
      </c>
      <c r="F1671" s="7">
        <v>3.1230000000000002</v>
      </c>
      <c r="G1671" s="7">
        <v>5.218</v>
      </c>
      <c r="H1671" s="7">
        <f t="shared" si="126"/>
        <v>0.11783541466538594</v>
      </c>
      <c r="I1671" s="7">
        <f t="shared" si="127"/>
        <v>0</v>
      </c>
      <c r="J1671" s="12" t="e">
        <f t="shared" si="125"/>
        <v>#DIV/0!</v>
      </c>
    </row>
    <row r="1672" spans="1:10" x14ac:dyDescent="0.2">
      <c r="A1672" s="19" t="s">
        <v>12</v>
      </c>
      <c r="B1672" s="5" t="s">
        <v>20</v>
      </c>
      <c r="C1672" s="22">
        <v>10</v>
      </c>
      <c r="D1672" s="4"/>
      <c r="E1672" s="4">
        <v>2.4289999999999998</v>
      </c>
      <c r="F1672" s="4">
        <v>3.6440000000000001</v>
      </c>
      <c r="G1672" s="4">
        <v>5.6630000000000003</v>
      </c>
      <c r="H1672" s="4">
        <f t="shared" si="126"/>
        <v>0.11251372118551034</v>
      </c>
      <c r="I1672" s="4">
        <f t="shared" si="127"/>
        <v>0</v>
      </c>
      <c r="J1672" s="10">
        <f t="shared" si="125"/>
        <v>0</v>
      </c>
    </row>
    <row r="1673" spans="1:10" x14ac:dyDescent="0.2">
      <c r="A1673" s="20"/>
      <c r="B1673" s="6" t="s">
        <v>21</v>
      </c>
      <c r="C1673" s="23"/>
      <c r="D1673">
        <v>846</v>
      </c>
      <c r="E1673">
        <v>2.4489999999999998</v>
      </c>
      <c r="F1673">
        <v>3.1080000000000001</v>
      </c>
      <c r="G1673">
        <v>5.1980000000000004</v>
      </c>
      <c r="H1673">
        <f t="shared" si="126"/>
        <v>0.11550836550836535</v>
      </c>
      <c r="I1673">
        <f t="shared" si="127"/>
        <v>748.27992277992291</v>
      </c>
      <c r="J1673" s="11" t="e">
        <f t="shared" si="125"/>
        <v>#DIV/0!</v>
      </c>
    </row>
    <row r="1674" spans="1:10" x14ac:dyDescent="0.2">
      <c r="A1674" s="25"/>
      <c r="B1674" s="8" t="s">
        <v>22</v>
      </c>
      <c r="C1674" s="26"/>
      <c r="D1674" s="7"/>
      <c r="E1674" s="7">
        <v>2.411</v>
      </c>
      <c r="F1674" s="7">
        <v>3.1520000000000001</v>
      </c>
      <c r="G1674" s="7">
        <v>5.1929999999999996</v>
      </c>
      <c r="H1674" s="7">
        <f t="shared" si="126"/>
        <v>0.11738578680203063</v>
      </c>
      <c r="I1674" s="7">
        <f t="shared" si="127"/>
        <v>0</v>
      </c>
      <c r="J1674" s="12" t="e">
        <f t="shared" si="125"/>
        <v>#DIV/0!</v>
      </c>
    </row>
    <row r="1675" spans="1:10" x14ac:dyDescent="0.2">
      <c r="A1675" s="19" t="s">
        <v>13</v>
      </c>
      <c r="B1675" s="5" t="s">
        <v>20</v>
      </c>
      <c r="C1675" s="22">
        <v>10</v>
      </c>
      <c r="D1675" s="4"/>
      <c r="E1675" s="4"/>
      <c r="F1675" s="4"/>
      <c r="G1675" s="4"/>
      <c r="H1675" s="4" t="e">
        <f t="shared" si="126"/>
        <v>#DIV/0!</v>
      </c>
      <c r="I1675" s="4" t="e">
        <f t="shared" si="127"/>
        <v>#DIV/0!</v>
      </c>
      <c r="J1675" s="10" t="e">
        <f t="shared" si="125"/>
        <v>#DIV/0!</v>
      </c>
    </row>
    <row r="1676" spans="1:10" x14ac:dyDescent="0.2">
      <c r="A1676" s="20"/>
      <c r="B1676" s="6" t="s">
        <v>21</v>
      </c>
      <c r="C1676" s="23"/>
      <c r="H1676" t="e">
        <f t="shared" si="126"/>
        <v>#DIV/0!</v>
      </c>
      <c r="I1676" t="e">
        <f t="shared" si="127"/>
        <v>#DIV/0!</v>
      </c>
      <c r="J1676" s="11" t="e">
        <f t="shared" si="125"/>
        <v>#DIV/0!</v>
      </c>
    </row>
    <row r="1677" spans="1:10" x14ac:dyDescent="0.2">
      <c r="A1677" s="25"/>
      <c r="B1677" s="8" t="s">
        <v>22</v>
      </c>
      <c r="C1677" s="26"/>
      <c r="D1677" s="7"/>
      <c r="E1677" s="7"/>
      <c r="F1677" s="7"/>
      <c r="G1677" s="7"/>
      <c r="H1677" s="7" t="e">
        <f t="shared" si="126"/>
        <v>#DIV/0!</v>
      </c>
      <c r="I1677" s="7" t="e">
        <f t="shared" si="127"/>
        <v>#DIV/0!</v>
      </c>
      <c r="J1677" s="12" t="e">
        <f t="shared" si="125"/>
        <v>#DIV/0!</v>
      </c>
    </row>
    <row r="1678" spans="1:10" x14ac:dyDescent="0.2">
      <c r="A1678" s="19" t="s">
        <v>14</v>
      </c>
      <c r="B1678" s="5" t="s">
        <v>20</v>
      </c>
      <c r="C1678" s="22">
        <v>10</v>
      </c>
      <c r="D1678" s="4"/>
      <c r="E1678" s="4"/>
      <c r="F1678" s="4"/>
      <c r="G1678" s="4"/>
      <c r="H1678" s="4" t="e">
        <f t="shared" si="126"/>
        <v>#DIV/0!</v>
      </c>
      <c r="I1678" s="4" t="e">
        <f t="shared" si="127"/>
        <v>#DIV/0!</v>
      </c>
      <c r="J1678" s="10" t="e">
        <f t="shared" si="125"/>
        <v>#DIV/0!</v>
      </c>
    </row>
    <row r="1679" spans="1:10" x14ac:dyDescent="0.2">
      <c r="A1679" s="20"/>
      <c r="B1679" s="6" t="s">
        <v>21</v>
      </c>
      <c r="C1679" s="23"/>
      <c r="H1679" t="e">
        <f t="shared" si="126"/>
        <v>#DIV/0!</v>
      </c>
      <c r="I1679" t="e">
        <f t="shared" si="127"/>
        <v>#DIV/0!</v>
      </c>
      <c r="J1679" s="11" t="e">
        <f t="shared" si="125"/>
        <v>#DIV/0!</v>
      </c>
    </row>
    <row r="1680" spans="1:10" ht="16" thickBot="1" x14ac:dyDescent="0.25">
      <c r="A1680" s="21"/>
      <c r="B1680" s="15" t="s">
        <v>22</v>
      </c>
      <c r="C1680" s="24"/>
      <c r="D1680" s="13"/>
      <c r="E1680" s="13"/>
      <c r="F1680" s="13"/>
      <c r="G1680" s="13"/>
      <c r="H1680" s="13" t="e">
        <f t="shared" si="126"/>
        <v>#DIV/0!</v>
      </c>
      <c r="I1680" s="13" t="e">
        <f t="shared" si="127"/>
        <v>#DIV/0!</v>
      </c>
      <c r="J1680" s="14" t="e">
        <f t="shared" si="125"/>
        <v>#DIV/0!</v>
      </c>
    </row>
    <row r="1681" spans="1:10" ht="16" thickBot="1" x14ac:dyDescent="0.25">
      <c r="A1681" s="44" t="s">
        <v>1</v>
      </c>
      <c r="B1681" s="33"/>
      <c r="C1681" s="33"/>
      <c r="D1681" s="33" t="s">
        <v>42</v>
      </c>
      <c r="E1681" s="34"/>
      <c r="F1681" s="9" t="s">
        <v>0</v>
      </c>
      <c r="G1681" s="18">
        <v>44159</v>
      </c>
      <c r="H1681" s="35" t="s">
        <v>24</v>
      </c>
      <c r="I1681" s="36"/>
      <c r="J1681" s="1">
        <v>100</v>
      </c>
    </row>
    <row r="1682" spans="1:10" ht="16" thickBot="1" x14ac:dyDescent="0.25">
      <c r="A1682" s="37" t="s">
        <v>2</v>
      </c>
      <c r="B1682" s="38"/>
      <c r="C1682" s="38"/>
      <c r="D1682" s="38"/>
      <c r="E1682" s="39"/>
      <c r="F1682" s="40"/>
      <c r="G1682" s="41"/>
      <c r="H1682" s="42" t="s">
        <v>25</v>
      </c>
      <c r="I1682" s="43"/>
      <c r="J1682" s="2">
        <v>35</v>
      </c>
    </row>
    <row r="1683" spans="1:10" ht="16" thickBot="1" x14ac:dyDescent="0.25">
      <c r="A1683" s="45" t="s">
        <v>27</v>
      </c>
      <c r="B1683" s="27"/>
      <c r="C1683" s="27"/>
      <c r="D1683" s="27" t="s">
        <v>36</v>
      </c>
      <c r="E1683" s="28"/>
      <c r="F1683" s="16" t="s">
        <v>30</v>
      </c>
      <c r="G1683" s="16">
        <v>3.81</v>
      </c>
      <c r="H1683" s="29" t="s">
        <v>26</v>
      </c>
      <c r="I1683" s="30"/>
      <c r="J1683" s="3">
        <v>64</v>
      </c>
    </row>
    <row r="1684" spans="1:10" x14ac:dyDescent="0.2">
      <c r="A1684" s="31"/>
      <c r="B1684" s="32"/>
      <c r="C1684" s="16" t="s">
        <v>29</v>
      </c>
      <c r="D1684" s="16" t="s">
        <v>19</v>
      </c>
      <c r="E1684" s="16" t="s">
        <v>15</v>
      </c>
      <c r="F1684" s="16" t="s">
        <v>18</v>
      </c>
      <c r="G1684" s="16" t="s">
        <v>17</v>
      </c>
      <c r="H1684" s="16" t="s">
        <v>28</v>
      </c>
      <c r="I1684" s="16" t="s">
        <v>16</v>
      </c>
      <c r="J1684" s="17" t="s">
        <v>23</v>
      </c>
    </row>
    <row r="1685" spans="1:10" x14ac:dyDescent="0.2">
      <c r="A1685" s="19" t="s">
        <v>3</v>
      </c>
      <c r="B1685" s="5" t="s">
        <v>20</v>
      </c>
      <c r="C1685" s="22">
        <v>10</v>
      </c>
      <c r="D1685" s="4"/>
      <c r="E1685" s="4"/>
      <c r="F1685" s="4">
        <v>3.0030000000000001</v>
      </c>
      <c r="G1685" s="4">
        <v>4.3230000000000004</v>
      </c>
      <c r="H1685" s="4">
        <f>(F1685-(G1685-E1685))/F1685</f>
        <v>-0.43956043956043966</v>
      </c>
      <c r="I1685" s="4">
        <f>D1685-H1685*D1685</f>
        <v>0</v>
      </c>
      <c r="J1685" s="10">
        <f t="shared" ref="J1685:J1720" si="128">I1685/($G$3^2*C1685*PI())</f>
        <v>0</v>
      </c>
    </row>
    <row r="1686" spans="1:10" x14ac:dyDescent="0.2">
      <c r="A1686" s="20"/>
      <c r="B1686" s="6" t="s">
        <v>21</v>
      </c>
      <c r="C1686" s="23"/>
      <c r="D1686">
        <v>887</v>
      </c>
      <c r="F1686">
        <v>3.79</v>
      </c>
      <c r="G1686">
        <v>5.0599999999999996</v>
      </c>
      <c r="H1686">
        <f t="shared" ref="H1686:H1720" si="129">(F1686-(G1686-E1686))/F1686</f>
        <v>-0.33509234828496032</v>
      </c>
      <c r="I1686">
        <f t="shared" ref="I1686:I1720" si="130">D1686-H1686*D1686</f>
        <v>1184.2269129287597</v>
      </c>
      <c r="J1686" s="11" t="e">
        <f t="shared" si="128"/>
        <v>#DIV/0!</v>
      </c>
    </row>
    <row r="1687" spans="1:10" x14ac:dyDescent="0.2">
      <c r="A1687" s="25"/>
      <c r="B1687" s="8" t="s">
        <v>22</v>
      </c>
      <c r="C1687" s="26"/>
      <c r="D1687" s="7"/>
      <c r="E1687" s="7"/>
      <c r="F1687" s="7">
        <v>3.89</v>
      </c>
      <c r="G1687" s="7">
        <v>5.085</v>
      </c>
      <c r="H1687" s="7">
        <f t="shared" si="129"/>
        <v>-0.30719794344473</v>
      </c>
      <c r="I1687" s="7">
        <f t="shared" si="130"/>
        <v>0</v>
      </c>
      <c r="J1687" s="12" t="e">
        <f t="shared" si="128"/>
        <v>#DIV/0!</v>
      </c>
    </row>
    <row r="1688" spans="1:10" x14ac:dyDescent="0.2">
      <c r="A1688" s="19" t="s">
        <v>4</v>
      </c>
      <c r="B1688" s="5" t="s">
        <v>20</v>
      </c>
      <c r="C1688" s="23">
        <v>10</v>
      </c>
      <c r="F1688">
        <v>3.742</v>
      </c>
      <c r="G1688">
        <v>5.0209999999999999</v>
      </c>
      <c r="H1688" s="4">
        <f t="shared" si="129"/>
        <v>-0.34179583110636019</v>
      </c>
      <c r="I1688" s="4">
        <f t="shared" si="130"/>
        <v>0</v>
      </c>
      <c r="J1688" s="10">
        <f t="shared" si="128"/>
        <v>0</v>
      </c>
    </row>
    <row r="1689" spans="1:10" x14ac:dyDescent="0.2">
      <c r="A1689" s="20"/>
      <c r="B1689" s="6" t="s">
        <v>21</v>
      </c>
      <c r="C1689" s="23"/>
      <c r="D1689">
        <v>863</v>
      </c>
      <c r="F1689">
        <v>3.4350000000000001</v>
      </c>
      <c r="G1689">
        <v>4.7629999999999999</v>
      </c>
      <c r="H1689">
        <f t="shared" si="129"/>
        <v>-0.38660844250363896</v>
      </c>
      <c r="I1689">
        <f t="shared" si="130"/>
        <v>1196.6430858806405</v>
      </c>
      <c r="J1689" s="11" t="e">
        <f t="shared" si="128"/>
        <v>#DIV/0!</v>
      </c>
    </row>
    <row r="1690" spans="1:10" x14ac:dyDescent="0.2">
      <c r="A1690" s="25"/>
      <c r="B1690" s="8" t="s">
        <v>22</v>
      </c>
      <c r="C1690" s="26"/>
      <c r="D1690" s="7"/>
      <c r="E1690" s="7"/>
      <c r="F1690" s="7">
        <v>3.3479999999999999</v>
      </c>
      <c r="G1690" s="7">
        <v>4.6310000000000002</v>
      </c>
      <c r="H1690" s="7">
        <f t="shared" si="129"/>
        <v>-0.38321385902031074</v>
      </c>
      <c r="I1690" s="7">
        <f t="shared" si="130"/>
        <v>0</v>
      </c>
      <c r="J1690" s="12" t="e">
        <f t="shared" si="128"/>
        <v>#DIV/0!</v>
      </c>
    </row>
    <row r="1691" spans="1:10" x14ac:dyDescent="0.2">
      <c r="A1691" s="19" t="s">
        <v>5</v>
      </c>
      <c r="B1691" s="5" t="s">
        <v>20</v>
      </c>
      <c r="C1691" s="22">
        <v>10</v>
      </c>
      <c r="D1691" s="4"/>
      <c r="E1691" s="4"/>
      <c r="F1691" s="4">
        <v>3.9470000000000001</v>
      </c>
      <c r="G1691" s="4">
        <v>5.1859999999999999</v>
      </c>
      <c r="H1691" s="4">
        <f t="shared" si="129"/>
        <v>-0.31390929820116542</v>
      </c>
      <c r="I1691" s="4">
        <f t="shared" si="130"/>
        <v>0</v>
      </c>
      <c r="J1691" s="10">
        <f t="shared" si="128"/>
        <v>0</v>
      </c>
    </row>
    <row r="1692" spans="1:10" x14ac:dyDescent="0.2">
      <c r="A1692" s="20"/>
      <c r="B1692" s="6" t="s">
        <v>21</v>
      </c>
      <c r="C1692" s="23"/>
      <c r="D1692">
        <v>844</v>
      </c>
      <c r="F1692">
        <v>3.0339999999999998</v>
      </c>
      <c r="G1692">
        <v>4.3789999999999996</v>
      </c>
      <c r="H1692">
        <f t="shared" si="129"/>
        <v>-0.4433091628213579</v>
      </c>
      <c r="I1692">
        <f t="shared" si="130"/>
        <v>1218.152933421226</v>
      </c>
      <c r="J1692" s="11" t="e">
        <f t="shared" si="128"/>
        <v>#DIV/0!</v>
      </c>
    </row>
    <row r="1693" spans="1:10" x14ac:dyDescent="0.2">
      <c r="A1693" s="25"/>
      <c r="B1693" s="8" t="s">
        <v>22</v>
      </c>
      <c r="C1693" s="26"/>
      <c r="D1693" s="7"/>
      <c r="E1693" s="7"/>
      <c r="F1693" s="7">
        <v>3.3929999999999998</v>
      </c>
      <c r="G1693" s="7">
        <v>4.7030000000000003</v>
      </c>
      <c r="H1693" s="7">
        <f t="shared" si="129"/>
        <v>-0.38608900677866215</v>
      </c>
      <c r="I1693" s="7">
        <f t="shared" si="130"/>
        <v>0</v>
      </c>
      <c r="J1693" s="12" t="e">
        <f t="shared" si="128"/>
        <v>#DIV/0!</v>
      </c>
    </row>
    <row r="1694" spans="1:10" x14ac:dyDescent="0.2">
      <c r="A1694" s="19" t="s">
        <v>6</v>
      </c>
      <c r="B1694" s="5" t="s">
        <v>20</v>
      </c>
      <c r="C1694" s="22">
        <v>10</v>
      </c>
      <c r="D1694" s="4"/>
      <c r="E1694" s="4"/>
      <c r="F1694" s="4">
        <v>3.4289999999999998</v>
      </c>
      <c r="G1694" s="4">
        <v>4.7569999999999997</v>
      </c>
      <c r="H1694" s="4">
        <f t="shared" si="129"/>
        <v>-0.38728492271799358</v>
      </c>
      <c r="I1694" s="4">
        <f t="shared" si="130"/>
        <v>0</v>
      </c>
      <c r="J1694" s="10">
        <f t="shared" si="128"/>
        <v>0</v>
      </c>
    </row>
    <row r="1695" spans="1:10" x14ac:dyDescent="0.2">
      <c r="A1695" s="20"/>
      <c r="B1695" s="6" t="s">
        <v>21</v>
      </c>
      <c r="C1695" s="23"/>
      <c r="D1695">
        <v>790</v>
      </c>
      <c r="F1695">
        <v>3.2669999999999999</v>
      </c>
      <c r="G1695">
        <v>4.5990000000000002</v>
      </c>
      <c r="H1695">
        <f t="shared" si="129"/>
        <v>-0.40771349862258965</v>
      </c>
      <c r="I1695">
        <f t="shared" si="130"/>
        <v>1112.0936639118459</v>
      </c>
      <c r="J1695" s="11" t="e">
        <f t="shared" si="128"/>
        <v>#DIV/0!</v>
      </c>
    </row>
    <row r="1696" spans="1:10" x14ac:dyDescent="0.2">
      <c r="A1696" s="25"/>
      <c r="B1696" s="8" t="s">
        <v>22</v>
      </c>
      <c r="C1696" s="26"/>
      <c r="D1696" s="7"/>
      <c r="E1696" s="7"/>
      <c r="F1696" s="7">
        <v>3.677</v>
      </c>
      <c r="G1696" s="7">
        <v>4.9649999999999999</v>
      </c>
      <c r="H1696" s="7">
        <f t="shared" si="129"/>
        <v>-0.35028555887952129</v>
      </c>
      <c r="I1696" s="7">
        <f t="shared" si="130"/>
        <v>0</v>
      </c>
      <c r="J1696" s="12" t="e">
        <f t="shared" si="128"/>
        <v>#DIV/0!</v>
      </c>
    </row>
    <row r="1697" spans="1:10" x14ac:dyDescent="0.2">
      <c r="A1697" s="19" t="s">
        <v>7</v>
      </c>
      <c r="B1697" s="5" t="s">
        <v>20</v>
      </c>
      <c r="C1697" s="22">
        <v>10</v>
      </c>
      <c r="D1697" s="4"/>
      <c r="E1697" s="4"/>
      <c r="F1697" s="4">
        <v>3.044</v>
      </c>
      <c r="G1697" s="4">
        <v>4.41</v>
      </c>
      <c r="H1697" s="4">
        <f t="shared" si="129"/>
        <v>-0.4487516425755585</v>
      </c>
      <c r="I1697" s="4">
        <f t="shared" si="130"/>
        <v>0</v>
      </c>
      <c r="J1697" s="10">
        <f t="shared" si="128"/>
        <v>0</v>
      </c>
    </row>
    <row r="1698" spans="1:10" x14ac:dyDescent="0.2">
      <c r="A1698" s="20"/>
      <c r="B1698" s="6" t="s">
        <v>21</v>
      </c>
      <c r="C1698" s="23"/>
      <c r="D1698">
        <v>816</v>
      </c>
      <c r="F1698">
        <v>3.0270000000000001</v>
      </c>
      <c r="G1698">
        <v>4.3970000000000002</v>
      </c>
      <c r="H1698">
        <f t="shared" si="129"/>
        <v>-0.45259332672613151</v>
      </c>
      <c r="I1698">
        <f t="shared" si="130"/>
        <v>1185.3161546085234</v>
      </c>
      <c r="J1698" s="11" t="e">
        <f t="shared" si="128"/>
        <v>#DIV/0!</v>
      </c>
    </row>
    <row r="1699" spans="1:10" x14ac:dyDescent="0.2">
      <c r="A1699" s="25"/>
      <c r="B1699" s="8" t="s">
        <v>22</v>
      </c>
      <c r="C1699" s="26"/>
      <c r="D1699" s="7"/>
      <c r="E1699" s="7"/>
      <c r="F1699" s="7">
        <v>3.1480000000000001</v>
      </c>
      <c r="G1699" s="7">
        <v>4.5270000000000001</v>
      </c>
      <c r="H1699" s="7">
        <f t="shared" si="129"/>
        <v>-0.43805590851334181</v>
      </c>
      <c r="I1699" s="7">
        <f t="shared" si="130"/>
        <v>0</v>
      </c>
      <c r="J1699" s="12" t="e">
        <f t="shared" si="128"/>
        <v>#DIV/0!</v>
      </c>
    </row>
    <row r="1700" spans="1:10" x14ac:dyDescent="0.2">
      <c r="A1700" s="19" t="s">
        <v>8</v>
      </c>
      <c r="B1700" s="5" t="s">
        <v>20</v>
      </c>
      <c r="C1700" s="22">
        <v>10</v>
      </c>
      <c r="D1700" s="4"/>
      <c r="E1700" s="4"/>
      <c r="F1700" s="4">
        <v>3.548</v>
      </c>
      <c r="G1700" s="4">
        <v>4.8929999999999998</v>
      </c>
      <c r="H1700" s="4">
        <f t="shared" si="129"/>
        <v>-0.37908680947012396</v>
      </c>
      <c r="I1700" s="4">
        <f t="shared" si="130"/>
        <v>0</v>
      </c>
      <c r="J1700" s="10">
        <f t="shared" si="128"/>
        <v>0</v>
      </c>
    </row>
    <row r="1701" spans="1:10" x14ac:dyDescent="0.2">
      <c r="A1701" s="20"/>
      <c r="B1701" s="6" t="s">
        <v>21</v>
      </c>
      <c r="C1701" s="23"/>
      <c r="D1701">
        <v>765</v>
      </c>
      <c r="F1701">
        <v>3.1349999999999998</v>
      </c>
      <c r="G1701">
        <v>4.5359999999999996</v>
      </c>
      <c r="H1701">
        <f t="shared" si="129"/>
        <v>-0.44688995215311</v>
      </c>
      <c r="I1701">
        <f t="shared" si="130"/>
        <v>1106.870813397129</v>
      </c>
      <c r="J1701" s="11" t="e">
        <f t="shared" si="128"/>
        <v>#DIV/0!</v>
      </c>
    </row>
    <row r="1702" spans="1:10" x14ac:dyDescent="0.2">
      <c r="A1702" s="25"/>
      <c r="B1702" s="8" t="s">
        <v>22</v>
      </c>
      <c r="C1702" s="26"/>
      <c r="D1702" s="7"/>
      <c r="E1702" s="7"/>
      <c r="F1702" s="7">
        <v>3.3980000000000001</v>
      </c>
      <c r="G1702" s="7">
        <v>4.758</v>
      </c>
      <c r="H1702" s="7">
        <f t="shared" si="129"/>
        <v>-0.40023543260741606</v>
      </c>
      <c r="I1702" s="7">
        <f t="shared" si="130"/>
        <v>0</v>
      </c>
      <c r="J1702" s="12" t="e">
        <f t="shared" si="128"/>
        <v>#DIV/0!</v>
      </c>
    </row>
    <row r="1703" spans="1:10" x14ac:dyDescent="0.2">
      <c r="A1703" s="19" t="s">
        <v>9</v>
      </c>
      <c r="B1703" s="5" t="s">
        <v>20</v>
      </c>
      <c r="C1703" s="22">
        <v>10</v>
      </c>
      <c r="D1703" s="4"/>
      <c r="E1703" s="4"/>
      <c r="F1703" s="4">
        <v>3.4910000000000001</v>
      </c>
      <c r="G1703" s="4">
        <v>4.91</v>
      </c>
      <c r="H1703" s="4">
        <f t="shared" si="129"/>
        <v>-0.40647378974505871</v>
      </c>
      <c r="I1703" s="4">
        <f t="shared" si="130"/>
        <v>0</v>
      </c>
      <c r="J1703" s="10">
        <f t="shared" si="128"/>
        <v>0</v>
      </c>
    </row>
    <row r="1704" spans="1:10" x14ac:dyDescent="0.2">
      <c r="A1704" s="20"/>
      <c r="B1704" s="6" t="s">
        <v>21</v>
      </c>
      <c r="C1704" s="23"/>
      <c r="D1704">
        <v>790</v>
      </c>
      <c r="F1704">
        <v>3.9580000000000002</v>
      </c>
      <c r="G1704">
        <v>5.3040000000000003</v>
      </c>
      <c r="H1704">
        <f t="shared" si="129"/>
        <v>-0.34007074279939364</v>
      </c>
      <c r="I1704">
        <f t="shared" si="130"/>
        <v>1058.655886811521</v>
      </c>
      <c r="J1704" s="11" t="e">
        <f t="shared" si="128"/>
        <v>#DIV/0!</v>
      </c>
    </row>
    <row r="1705" spans="1:10" x14ac:dyDescent="0.2">
      <c r="A1705" s="25"/>
      <c r="B1705" s="8" t="s">
        <v>22</v>
      </c>
      <c r="C1705" s="26"/>
      <c r="D1705" s="7"/>
      <c r="E1705" s="7"/>
      <c r="F1705" s="7">
        <v>3.5139999999999998</v>
      </c>
      <c r="G1705" s="7">
        <v>4.8780000000000001</v>
      </c>
      <c r="H1705" s="7">
        <f t="shared" si="129"/>
        <v>-0.38816163915765522</v>
      </c>
      <c r="I1705" s="7">
        <f t="shared" si="130"/>
        <v>0</v>
      </c>
      <c r="J1705" s="12" t="e">
        <f t="shared" si="128"/>
        <v>#DIV/0!</v>
      </c>
    </row>
    <row r="1706" spans="1:10" x14ac:dyDescent="0.2">
      <c r="A1706" s="19" t="s">
        <v>10</v>
      </c>
      <c r="B1706" s="5" t="s">
        <v>20</v>
      </c>
      <c r="C1706" s="22">
        <v>10</v>
      </c>
      <c r="D1706" s="4"/>
      <c r="E1706" s="4"/>
      <c r="F1706" s="4">
        <v>3.073</v>
      </c>
      <c r="G1706" s="4">
        <v>4.4790000000000001</v>
      </c>
      <c r="H1706" s="4">
        <f t="shared" si="129"/>
        <v>-0.45753335502766029</v>
      </c>
      <c r="I1706" s="4">
        <f t="shared" si="130"/>
        <v>0</v>
      </c>
      <c r="J1706" s="10">
        <f t="shared" si="128"/>
        <v>0</v>
      </c>
    </row>
    <row r="1707" spans="1:10" x14ac:dyDescent="0.2">
      <c r="A1707" s="20"/>
      <c r="B1707" s="6" t="s">
        <v>21</v>
      </c>
      <c r="C1707" s="23"/>
      <c r="D1707">
        <v>755</v>
      </c>
      <c r="F1707">
        <v>3.4020000000000001</v>
      </c>
      <c r="G1707">
        <v>4.7469999999999999</v>
      </c>
      <c r="H1707">
        <f t="shared" si="129"/>
        <v>-0.39535567313345082</v>
      </c>
      <c r="I1707">
        <f t="shared" si="130"/>
        <v>1053.4935332157554</v>
      </c>
      <c r="J1707" s="11" t="e">
        <f t="shared" si="128"/>
        <v>#DIV/0!</v>
      </c>
    </row>
    <row r="1708" spans="1:10" x14ac:dyDescent="0.2">
      <c r="A1708" s="25"/>
      <c r="B1708" s="8" t="s">
        <v>22</v>
      </c>
      <c r="C1708" s="26"/>
      <c r="D1708" s="7"/>
      <c r="E1708" s="7"/>
      <c r="F1708" s="7">
        <v>3.6139999999999999</v>
      </c>
      <c r="G1708" s="7">
        <v>4.9740000000000002</v>
      </c>
      <c r="H1708" s="7">
        <f t="shared" si="129"/>
        <v>-0.37631433314886564</v>
      </c>
      <c r="I1708" s="7">
        <f t="shared" si="130"/>
        <v>0</v>
      </c>
      <c r="J1708" s="12" t="e">
        <f t="shared" si="128"/>
        <v>#DIV/0!</v>
      </c>
    </row>
    <row r="1709" spans="1:10" x14ac:dyDescent="0.2">
      <c r="A1709" s="19" t="s">
        <v>11</v>
      </c>
      <c r="B1709" s="5" t="s">
        <v>20</v>
      </c>
      <c r="C1709" s="22">
        <v>10</v>
      </c>
      <c r="D1709" s="4"/>
      <c r="E1709" s="4"/>
      <c r="F1709" s="4">
        <v>3.722</v>
      </c>
      <c r="G1709" s="4">
        <v>5.0839999999999996</v>
      </c>
      <c r="H1709" s="4">
        <f t="shared" si="129"/>
        <v>-0.36593229446534115</v>
      </c>
      <c r="I1709" s="4">
        <f t="shared" si="130"/>
        <v>0</v>
      </c>
      <c r="J1709" s="10">
        <f t="shared" si="128"/>
        <v>0</v>
      </c>
    </row>
    <row r="1710" spans="1:10" x14ac:dyDescent="0.2">
      <c r="A1710" s="20"/>
      <c r="B1710" s="6" t="s">
        <v>21</v>
      </c>
      <c r="C1710" s="23"/>
      <c r="D1710">
        <v>893</v>
      </c>
      <c r="F1710">
        <v>3.464</v>
      </c>
      <c r="G1710">
        <v>5.859</v>
      </c>
      <c r="H1710">
        <f t="shared" si="129"/>
        <v>-0.69139722863741337</v>
      </c>
      <c r="I1710">
        <f t="shared" si="130"/>
        <v>1510.4177251732101</v>
      </c>
      <c r="J1710" s="11" t="e">
        <f t="shared" si="128"/>
        <v>#DIV/0!</v>
      </c>
    </row>
    <row r="1711" spans="1:10" x14ac:dyDescent="0.2">
      <c r="A1711" s="25"/>
      <c r="B1711" s="8" t="s">
        <v>22</v>
      </c>
      <c r="C1711" s="26"/>
      <c r="D1711" s="7"/>
      <c r="E1711" s="7"/>
      <c r="F1711" s="7">
        <v>3.2719999999999998</v>
      </c>
      <c r="G1711" s="7">
        <v>6.6870000000000003</v>
      </c>
      <c r="H1711" s="7">
        <f t="shared" si="129"/>
        <v>-1.0437041564792178</v>
      </c>
      <c r="I1711" s="7">
        <f t="shared" si="130"/>
        <v>0</v>
      </c>
      <c r="J1711" s="12" t="e">
        <f t="shared" si="128"/>
        <v>#DIV/0!</v>
      </c>
    </row>
    <row r="1712" spans="1:10" x14ac:dyDescent="0.2">
      <c r="A1712" s="19" t="s">
        <v>12</v>
      </c>
      <c r="B1712" s="5" t="s">
        <v>20</v>
      </c>
      <c r="C1712" s="22">
        <v>10</v>
      </c>
      <c r="D1712" s="4"/>
      <c r="E1712" s="4"/>
      <c r="F1712" s="4">
        <v>3.51</v>
      </c>
      <c r="G1712" s="4">
        <v>4.907</v>
      </c>
      <c r="H1712" s="4">
        <f t="shared" si="129"/>
        <v>-0.39800569800569807</v>
      </c>
      <c r="I1712" s="4">
        <f t="shared" si="130"/>
        <v>0</v>
      </c>
      <c r="J1712" s="10">
        <f t="shared" si="128"/>
        <v>0</v>
      </c>
    </row>
    <row r="1713" spans="1:10" x14ac:dyDescent="0.2">
      <c r="A1713" s="20"/>
      <c r="B1713" s="6" t="s">
        <v>21</v>
      </c>
      <c r="C1713" s="23"/>
      <c r="D1713">
        <v>850</v>
      </c>
      <c r="F1713">
        <v>3.3490000000000002</v>
      </c>
      <c r="G1713">
        <v>4.7430000000000003</v>
      </c>
      <c r="H1713">
        <f t="shared" si="129"/>
        <v>-0.41624365482233505</v>
      </c>
      <c r="I1713">
        <f t="shared" si="130"/>
        <v>1203.8071065989848</v>
      </c>
      <c r="J1713" s="11" t="e">
        <f t="shared" si="128"/>
        <v>#DIV/0!</v>
      </c>
    </row>
    <row r="1714" spans="1:10" x14ac:dyDescent="0.2">
      <c r="A1714" s="25"/>
      <c r="B1714" s="8" t="s">
        <v>22</v>
      </c>
      <c r="C1714" s="26"/>
      <c r="D1714" s="7"/>
      <c r="E1714" s="7"/>
      <c r="F1714" s="7">
        <v>3.1139999999999999</v>
      </c>
      <c r="G1714" s="7">
        <v>4.532</v>
      </c>
      <c r="H1714" s="7">
        <f t="shared" si="129"/>
        <v>-0.4553628773281953</v>
      </c>
      <c r="I1714" s="7">
        <f t="shared" si="130"/>
        <v>0</v>
      </c>
      <c r="J1714" s="12" t="e">
        <f t="shared" si="128"/>
        <v>#DIV/0!</v>
      </c>
    </row>
    <row r="1715" spans="1:10" x14ac:dyDescent="0.2">
      <c r="A1715" s="19" t="s">
        <v>13</v>
      </c>
      <c r="B1715" s="5" t="s">
        <v>20</v>
      </c>
      <c r="C1715" s="22">
        <v>10</v>
      </c>
      <c r="D1715" s="4"/>
      <c r="E1715" s="4"/>
      <c r="F1715" s="4"/>
      <c r="G1715" s="4"/>
      <c r="H1715" s="4" t="e">
        <f t="shared" si="129"/>
        <v>#DIV/0!</v>
      </c>
      <c r="I1715" s="4" t="e">
        <f t="shared" si="130"/>
        <v>#DIV/0!</v>
      </c>
      <c r="J1715" s="10" t="e">
        <f t="shared" si="128"/>
        <v>#DIV/0!</v>
      </c>
    </row>
    <row r="1716" spans="1:10" x14ac:dyDescent="0.2">
      <c r="A1716" s="20"/>
      <c r="B1716" s="6" t="s">
        <v>21</v>
      </c>
      <c r="C1716" s="23"/>
      <c r="H1716" t="e">
        <f t="shared" si="129"/>
        <v>#DIV/0!</v>
      </c>
      <c r="I1716" t="e">
        <f t="shared" si="130"/>
        <v>#DIV/0!</v>
      </c>
      <c r="J1716" s="11" t="e">
        <f t="shared" si="128"/>
        <v>#DIV/0!</v>
      </c>
    </row>
    <row r="1717" spans="1:10" x14ac:dyDescent="0.2">
      <c r="A1717" s="25"/>
      <c r="B1717" s="8" t="s">
        <v>22</v>
      </c>
      <c r="C1717" s="26"/>
      <c r="D1717" s="7"/>
      <c r="E1717" s="7"/>
      <c r="F1717" s="7"/>
      <c r="G1717" s="7"/>
      <c r="H1717" s="7" t="e">
        <f t="shared" si="129"/>
        <v>#DIV/0!</v>
      </c>
      <c r="I1717" s="7" t="e">
        <f t="shared" si="130"/>
        <v>#DIV/0!</v>
      </c>
      <c r="J1717" s="12" t="e">
        <f t="shared" si="128"/>
        <v>#DIV/0!</v>
      </c>
    </row>
    <row r="1718" spans="1:10" x14ac:dyDescent="0.2">
      <c r="A1718" s="19" t="s">
        <v>14</v>
      </c>
      <c r="B1718" s="5" t="s">
        <v>20</v>
      </c>
      <c r="C1718" s="22">
        <v>10</v>
      </c>
      <c r="D1718" s="4"/>
      <c r="E1718" s="4"/>
      <c r="F1718" s="4"/>
      <c r="G1718" s="4"/>
      <c r="H1718" s="4" t="e">
        <f t="shared" si="129"/>
        <v>#DIV/0!</v>
      </c>
      <c r="I1718" s="4" t="e">
        <f t="shared" si="130"/>
        <v>#DIV/0!</v>
      </c>
      <c r="J1718" s="10" t="e">
        <f t="shared" si="128"/>
        <v>#DIV/0!</v>
      </c>
    </row>
    <row r="1719" spans="1:10" x14ac:dyDescent="0.2">
      <c r="A1719" s="20"/>
      <c r="B1719" s="6" t="s">
        <v>21</v>
      </c>
      <c r="C1719" s="23"/>
      <c r="H1719" t="e">
        <f t="shared" si="129"/>
        <v>#DIV/0!</v>
      </c>
      <c r="I1719" t="e">
        <f t="shared" si="130"/>
        <v>#DIV/0!</v>
      </c>
      <c r="J1719" s="11" t="e">
        <f t="shared" si="128"/>
        <v>#DIV/0!</v>
      </c>
    </row>
    <row r="1720" spans="1:10" ht="16" thickBot="1" x14ac:dyDescent="0.25">
      <c r="A1720" s="21"/>
      <c r="B1720" s="15" t="s">
        <v>22</v>
      </c>
      <c r="C1720" s="24"/>
      <c r="D1720" s="13"/>
      <c r="E1720" s="13"/>
      <c r="F1720" s="13"/>
      <c r="G1720" s="13"/>
      <c r="H1720" s="13" t="e">
        <f t="shared" si="129"/>
        <v>#DIV/0!</v>
      </c>
      <c r="I1720" s="13" t="e">
        <f t="shared" si="130"/>
        <v>#DIV/0!</v>
      </c>
      <c r="J1720" s="14" t="e">
        <f t="shared" si="128"/>
        <v>#DIV/0!</v>
      </c>
    </row>
    <row r="1721" spans="1:10" ht="16" thickBot="1" x14ac:dyDescent="0.25">
      <c r="A1721" s="44" t="s">
        <v>1</v>
      </c>
      <c r="B1721" s="33"/>
      <c r="C1721" s="33"/>
      <c r="D1721" s="33" t="s">
        <v>40</v>
      </c>
      <c r="E1721" s="34"/>
      <c r="F1721" s="9" t="s">
        <v>0</v>
      </c>
      <c r="G1721" s="18">
        <v>44159</v>
      </c>
      <c r="H1721" s="35" t="s">
        <v>24</v>
      </c>
      <c r="I1721" s="36"/>
      <c r="J1721" s="1">
        <v>77</v>
      </c>
    </row>
    <row r="1722" spans="1:10" ht="16" thickBot="1" x14ac:dyDescent="0.25">
      <c r="A1722" s="37" t="s">
        <v>2</v>
      </c>
      <c r="B1722" s="38"/>
      <c r="C1722" s="38"/>
      <c r="D1722" s="38"/>
      <c r="E1722" s="39"/>
      <c r="F1722" s="40"/>
      <c r="G1722" s="41"/>
      <c r="H1722" s="42" t="s">
        <v>25</v>
      </c>
      <c r="I1722" s="43"/>
      <c r="J1722" s="2">
        <v>27</v>
      </c>
    </row>
    <row r="1723" spans="1:10" ht="16" thickBot="1" x14ac:dyDescent="0.25">
      <c r="A1723" s="45" t="s">
        <v>27</v>
      </c>
      <c r="B1723" s="27"/>
      <c r="C1723" s="27"/>
      <c r="D1723" s="27" t="s">
        <v>36</v>
      </c>
      <c r="E1723" s="28"/>
      <c r="F1723" s="16" t="s">
        <v>30</v>
      </c>
      <c r="G1723" s="16">
        <v>3.81</v>
      </c>
      <c r="H1723" s="29" t="s">
        <v>26</v>
      </c>
      <c r="I1723" s="30"/>
      <c r="J1723" s="3">
        <v>59</v>
      </c>
    </row>
    <row r="1724" spans="1:10" x14ac:dyDescent="0.2">
      <c r="A1724" s="31"/>
      <c r="B1724" s="32"/>
      <c r="C1724" s="16" t="s">
        <v>29</v>
      </c>
      <c r="D1724" s="16" t="s">
        <v>19</v>
      </c>
      <c r="E1724" s="16" t="s">
        <v>15</v>
      </c>
      <c r="F1724" s="16" t="s">
        <v>18</v>
      </c>
      <c r="G1724" s="16" t="s">
        <v>17</v>
      </c>
      <c r="H1724" s="16" t="s">
        <v>28</v>
      </c>
      <c r="I1724" s="16" t="s">
        <v>16</v>
      </c>
      <c r="J1724" s="17" t="s">
        <v>23</v>
      </c>
    </row>
    <row r="1725" spans="1:10" x14ac:dyDescent="0.2">
      <c r="A1725" s="19" t="s">
        <v>3</v>
      </c>
      <c r="B1725" s="5" t="s">
        <v>20</v>
      </c>
      <c r="C1725" s="22">
        <v>10</v>
      </c>
      <c r="D1725" s="4"/>
      <c r="E1725" s="4">
        <v>2.4260000000000002</v>
      </c>
      <c r="F1725" s="4">
        <v>3.6429999999999998</v>
      </c>
      <c r="G1725" s="4">
        <v>5.4050000000000002</v>
      </c>
      <c r="H1725" s="4">
        <f>(F1725-(G1725-E1725))/F1725</f>
        <v>0.18226736206423269</v>
      </c>
      <c r="I1725" s="4">
        <f>D1725-H1725*D1725</f>
        <v>0</v>
      </c>
      <c r="J1725" s="10">
        <f t="shared" ref="J1725:J1760" si="131">I1725/($G$3^2*C1725*PI())</f>
        <v>0</v>
      </c>
    </row>
    <row r="1726" spans="1:10" x14ac:dyDescent="0.2">
      <c r="A1726" s="20"/>
      <c r="B1726" s="6" t="s">
        <v>21</v>
      </c>
      <c r="C1726" s="23"/>
      <c r="D1726">
        <v>849</v>
      </c>
      <c r="E1726">
        <v>2.4169999999999998</v>
      </c>
      <c r="F1726">
        <v>3.6259999999999999</v>
      </c>
      <c r="G1726">
        <v>5.4269999999999996</v>
      </c>
      <c r="H1726">
        <f t="shared" ref="H1726:H1760" si="132">(F1726-(G1726-E1726))/F1726</f>
        <v>0.16988416988416991</v>
      </c>
      <c r="I1726">
        <f t="shared" ref="I1726:I1760" si="133">D1726-H1726*D1726</f>
        <v>704.76833976833973</v>
      </c>
      <c r="J1726" s="11" t="e">
        <f t="shared" si="131"/>
        <v>#DIV/0!</v>
      </c>
    </row>
    <row r="1727" spans="1:10" x14ac:dyDescent="0.2">
      <c r="A1727" s="25"/>
      <c r="B1727" s="8" t="s">
        <v>22</v>
      </c>
      <c r="C1727" s="26"/>
      <c r="D1727" s="7"/>
      <c r="E1727" s="7">
        <v>2.4940000000000002</v>
      </c>
      <c r="F1727" s="7">
        <v>3.234</v>
      </c>
      <c r="G1727" s="7">
        <v>5.1180000000000003</v>
      </c>
      <c r="H1727" s="7">
        <f t="shared" si="132"/>
        <v>0.18862090290661715</v>
      </c>
      <c r="I1727" s="7">
        <f t="shared" si="133"/>
        <v>0</v>
      </c>
      <c r="J1727" s="12" t="e">
        <f t="shared" si="131"/>
        <v>#DIV/0!</v>
      </c>
    </row>
    <row r="1728" spans="1:10" x14ac:dyDescent="0.2">
      <c r="A1728" s="19" t="s">
        <v>4</v>
      </c>
      <c r="B1728" s="5" t="s">
        <v>20</v>
      </c>
      <c r="C1728" s="23">
        <v>10</v>
      </c>
      <c r="E1728">
        <v>2.4369999999999998</v>
      </c>
      <c r="F1728">
        <v>3.6150000000000002</v>
      </c>
      <c r="G1728">
        <v>5.4480000000000004</v>
      </c>
      <c r="H1728" s="4">
        <f t="shared" si="132"/>
        <v>0.16708160442600267</v>
      </c>
      <c r="I1728" s="4">
        <f t="shared" si="133"/>
        <v>0</v>
      </c>
      <c r="J1728" s="10">
        <f t="shared" si="131"/>
        <v>0</v>
      </c>
    </row>
    <row r="1729" spans="1:10" x14ac:dyDescent="0.2">
      <c r="A1729" s="20"/>
      <c r="B1729" s="6" t="s">
        <v>21</v>
      </c>
      <c r="C1729" s="23"/>
      <c r="D1729">
        <v>849</v>
      </c>
      <c r="E1729">
        <v>2.4020000000000001</v>
      </c>
      <c r="F1729">
        <v>3.923</v>
      </c>
      <c r="G1729">
        <v>5.6310000000000002</v>
      </c>
      <c r="H1729">
        <f t="shared" si="132"/>
        <v>0.17690542951822583</v>
      </c>
      <c r="I1729">
        <f t="shared" si="133"/>
        <v>698.80729033902628</v>
      </c>
      <c r="J1729" s="11" t="e">
        <f t="shared" si="131"/>
        <v>#DIV/0!</v>
      </c>
    </row>
    <row r="1730" spans="1:10" x14ac:dyDescent="0.2">
      <c r="A1730" s="25"/>
      <c r="B1730" s="8" t="s">
        <v>22</v>
      </c>
      <c r="C1730" s="26"/>
      <c r="D1730" s="7"/>
      <c r="E1730" s="7">
        <v>2.4649999999999999</v>
      </c>
      <c r="F1730" s="7">
        <v>3.794</v>
      </c>
      <c r="G1730" s="7">
        <v>5.5750000000000002</v>
      </c>
      <c r="H1730" s="7">
        <f t="shared" si="132"/>
        <v>0.18028465998945697</v>
      </c>
      <c r="I1730" s="7">
        <f t="shared" si="133"/>
        <v>0</v>
      </c>
      <c r="J1730" s="12" t="e">
        <f t="shared" si="131"/>
        <v>#DIV/0!</v>
      </c>
    </row>
    <row r="1731" spans="1:10" x14ac:dyDescent="0.2">
      <c r="A1731" s="19" t="s">
        <v>5</v>
      </c>
      <c r="B1731" s="5" t="s">
        <v>20</v>
      </c>
      <c r="C1731" s="22">
        <v>10</v>
      </c>
      <c r="D1731" s="4"/>
      <c r="E1731" s="4">
        <v>2.46</v>
      </c>
      <c r="F1731" s="4">
        <v>3.625</v>
      </c>
      <c r="G1731" s="4">
        <v>5.4740000000000002</v>
      </c>
      <c r="H1731" s="4">
        <f t="shared" si="132"/>
        <v>0.16855172413793096</v>
      </c>
      <c r="I1731" s="4">
        <f t="shared" si="133"/>
        <v>0</v>
      </c>
      <c r="J1731" s="10">
        <f t="shared" si="131"/>
        <v>0</v>
      </c>
    </row>
    <row r="1732" spans="1:10" x14ac:dyDescent="0.2">
      <c r="A1732" s="20"/>
      <c r="B1732" s="6" t="s">
        <v>21</v>
      </c>
      <c r="C1732" s="23"/>
      <c r="D1732">
        <v>818</v>
      </c>
      <c r="E1732">
        <v>2.4790000000000001</v>
      </c>
      <c r="F1732">
        <v>3.0950000000000002</v>
      </c>
      <c r="G1732">
        <v>5.0839999999999996</v>
      </c>
      <c r="H1732">
        <f t="shared" si="132"/>
        <v>0.15831987075928938</v>
      </c>
      <c r="I1732">
        <f t="shared" si="133"/>
        <v>688.49434571890129</v>
      </c>
      <c r="J1732" s="11" t="e">
        <f t="shared" si="131"/>
        <v>#DIV/0!</v>
      </c>
    </row>
    <row r="1733" spans="1:10" x14ac:dyDescent="0.2">
      <c r="A1733" s="25"/>
      <c r="B1733" s="8" t="s">
        <v>22</v>
      </c>
      <c r="C1733" s="26"/>
      <c r="D1733" s="7"/>
      <c r="E1733" s="7">
        <v>2.4510000000000001</v>
      </c>
      <c r="F1733" s="7">
        <v>3.2570000000000001</v>
      </c>
      <c r="G1733" s="7">
        <v>5.157</v>
      </c>
      <c r="H1733" s="7">
        <f t="shared" si="132"/>
        <v>0.16917408658274491</v>
      </c>
      <c r="I1733" s="7">
        <f t="shared" si="133"/>
        <v>0</v>
      </c>
      <c r="J1733" s="12" t="e">
        <f t="shared" si="131"/>
        <v>#DIV/0!</v>
      </c>
    </row>
    <row r="1734" spans="1:10" x14ac:dyDescent="0.2">
      <c r="A1734" s="19" t="s">
        <v>6</v>
      </c>
      <c r="B1734" s="5" t="s">
        <v>20</v>
      </c>
      <c r="C1734" s="22">
        <v>10</v>
      </c>
      <c r="D1734" s="4"/>
      <c r="E1734" s="4">
        <v>2.4510000000000001</v>
      </c>
      <c r="F1734" s="4">
        <v>3.0169999999999999</v>
      </c>
      <c r="G1734" s="4">
        <v>5.9850000000000003</v>
      </c>
      <c r="H1734" s="4">
        <f t="shared" si="132"/>
        <v>-0.17136228041100443</v>
      </c>
      <c r="I1734" s="4">
        <f t="shared" si="133"/>
        <v>0</v>
      </c>
      <c r="J1734" s="10">
        <f t="shared" si="131"/>
        <v>0</v>
      </c>
    </row>
    <row r="1735" spans="1:10" x14ac:dyDescent="0.2">
      <c r="A1735" s="20"/>
      <c r="B1735" s="6" t="s">
        <v>21</v>
      </c>
      <c r="C1735" s="23"/>
      <c r="D1735">
        <v>829</v>
      </c>
      <c r="E1735">
        <v>2.419</v>
      </c>
      <c r="F1735">
        <v>3.1659999999999999</v>
      </c>
      <c r="G1735">
        <v>5.085</v>
      </c>
      <c r="H1735">
        <f t="shared" si="132"/>
        <v>0.15792798483891346</v>
      </c>
      <c r="I1735">
        <f t="shared" si="133"/>
        <v>698.07770056854076</v>
      </c>
      <c r="J1735" s="11" t="e">
        <f t="shared" si="131"/>
        <v>#DIV/0!</v>
      </c>
    </row>
    <row r="1736" spans="1:10" x14ac:dyDescent="0.2">
      <c r="A1736" s="25"/>
      <c r="B1736" s="8" t="s">
        <v>22</v>
      </c>
      <c r="C1736" s="26"/>
      <c r="D1736" s="7"/>
      <c r="E1736" s="7">
        <v>2.4220000000000002</v>
      </c>
      <c r="F1736" s="7">
        <v>3.7869999999999999</v>
      </c>
      <c r="G1736" s="7">
        <v>5.601</v>
      </c>
      <c r="H1736" s="7">
        <f t="shared" si="132"/>
        <v>0.16054924742540272</v>
      </c>
      <c r="I1736" s="7">
        <f t="shared" si="133"/>
        <v>0</v>
      </c>
      <c r="J1736" s="12" t="e">
        <f t="shared" si="131"/>
        <v>#DIV/0!</v>
      </c>
    </row>
    <row r="1737" spans="1:10" x14ac:dyDescent="0.2">
      <c r="A1737" s="19" t="s">
        <v>7</v>
      </c>
      <c r="B1737" s="5" t="s">
        <v>20</v>
      </c>
      <c r="C1737" s="22">
        <v>10</v>
      </c>
      <c r="D1737" s="4"/>
      <c r="E1737" s="4">
        <v>2.44</v>
      </c>
      <c r="F1737" s="4">
        <v>3.2530000000000001</v>
      </c>
      <c r="G1737" s="4">
        <v>5.1989999999999998</v>
      </c>
      <c r="H1737" s="4">
        <f t="shared" si="132"/>
        <v>0.15185982170304341</v>
      </c>
      <c r="I1737" s="4">
        <f t="shared" si="133"/>
        <v>0</v>
      </c>
      <c r="J1737" s="10">
        <f t="shared" si="131"/>
        <v>0</v>
      </c>
    </row>
    <row r="1738" spans="1:10" x14ac:dyDescent="0.2">
      <c r="A1738" s="20"/>
      <c r="B1738" s="6" t="s">
        <v>21</v>
      </c>
      <c r="C1738" s="23"/>
      <c r="D1738">
        <v>926</v>
      </c>
      <c r="E1738">
        <v>2.4830000000000001</v>
      </c>
      <c r="F1738">
        <v>3.125</v>
      </c>
      <c r="G1738">
        <v>5.1180000000000003</v>
      </c>
      <c r="H1738">
        <f t="shared" si="132"/>
        <v>0.15679999999999994</v>
      </c>
      <c r="I1738">
        <f t="shared" si="133"/>
        <v>780.80320000000006</v>
      </c>
      <c r="J1738" s="11" t="e">
        <f t="shared" si="131"/>
        <v>#DIV/0!</v>
      </c>
    </row>
    <row r="1739" spans="1:10" x14ac:dyDescent="0.2">
      <c r="A1739" s="25"/>
      <c r="B1739" s="8" t="s">
        <v>22</v>
      </c>
      <c r="C1739" s="26"/>
      <c r="D1739" s="7"/>
      <c r="E1739" s="7">
        <v>2.4350000000000001</v>
      </c>
      <c r="F1739" s="7">
        <v>3.3730000000000002</v>
      </c>
      <c r="G1739" s="7">
        <v>5.2859999999999996</v>
      </c>
      <c r="H1739" s="7">
        <f t="shared" si="132"/>
        <v>0.15475837533353118</v>
      </c>
      <c r="I1739" s="7">
        <f t="shared" si="133"/>
        <v>0</v>
      </c>
      <c r="J1739" s="12" t="e">
        <f t="shared" si="131"/>
        <v>#DIV/0!</v>
      </c>
    </row>
    <row r="1740" spans="1:10" x14ac:dyDescent="0.2">
      <c r="A1740" s="19" t="s">
        <v>8</v>
      </c>
      <c r="B1740" s="5" t="s">
        <v>20</v>
      </c>
      <c r="C1740" s="22">
        <v>10</v>
      </c>
      <c r="D1740" s="4"/>
      <c r="E1740" s="4">
        <v>2.456</v>
      </c>
      <c r="F1740" s="4">
        <v>3.7069999999999999</v>
      </c>
      <c r="G1740" s="4">
        <v>5.5819999999999999</v>
      </c>
      <c r="H1740" s="4">
        <f t="shared" si="132"/>
        <v>0.15673050984623685</v>
      </c>
      <c r="I1740" s="4">
        <f t="shared" si="133"/>
        <v>0</v>
      </c>
      <c r="J1740" s="10">
        <f t="shared" si="131"/>
        <v>0</v>
      </c>
    </row>
    <row r="1741" spans="1:10" x14ac:dyDescent="0.2">
      <c r="A1741" s="20"/>
      <c r="B1741" s="6" t="s">
        <v>21</v>
      </c>
      <c r="C1741" s="23"/>
      <c r="D1741">
        <v>914</v>
      </c>
      <c r="E1741">
        <v>2.4430000000000001</v>
      </c>
      <c r="F1741">
        <v>3.1280000000000001</v>
      </c>
      <c r="G1741">
        <v>5.0940000000000003</v>
      </c>
      <c r="H1741">
        <f t="shared" si="132"/>
        <v>0.15249360613810736</v>
      </c>
      <c r="I1741">
        <f t="shared" si="133"/>
        <v>774.62084398976981</v>
      </c>
      <c r="J1741" s="11" t="e">
        <f t="shared" si="131"/>
        <v>#DIV/0!</v>
      </c>
    </row>
    <row r="1742" spans="1:10" x14ac:dyDescent="0.2">
      <c r="A1742" s="25"/>
      <c r="B1742" s="8" t="s">
        <v>22</v>
      </c>
      <c r="C1742" s="26"/>
      <c r="D1742" s="7"/>
      <c r="E1742" s="7">
        <v>2.4159999999999999</v>
      </c>
      <c r="F1742" s="7">
        <v>3.1669999999999998</v>
      </c>
      <c r="G1742" s="7">
        <v>5.0990000000000002</v>
      </c>
      <c r="H1742" s="7">
        <f t="shared" si="132"/>
        <v>0.15282601831386156</v>
      </c>
      <c r="I1742" s="7">
        <f t="shared" si="133"/>
        <v>0</v>
      </c>
      <c r="J1742" s="12" t="e">
        <f t="shared" si="131"/>
        <v>#DIV/0!</v>
      </c>
    </row>
    <row r="1743" spans="1:10" x14ac:dyDescent="0.2">
      <c r="A1743" s="19" t="s">
        <v>9</v>
      </c>
      <c r="B1743" s="5" t="s">
        <v>20</v>
      </c>
      <c r="C1743" s="22">
        <v>10</v>
      </c>
      <c r="D1743" s="4"/>
      <c r="E1743" s="4">
        <v>2.415</v>
      </c>
      <c r="F1743" s="4">
        <v>3.157</v>
      </c>
      <c r="G1743" s="4">
        <v>5.0149999999999997</v>
      </c>
      <c r="H1743" s="4">
        <f t="shared" si="132"/>
        <v>0.17643332277478632</v>
      </c>
      <c r="I1743" s="4">
        <f t="shared" si="133"/>
        <v>0</v>
      </c>
      <c r="J1743" s="10">
        <f t="shared" si="131"/>
        <v>0</v>
      </c>
    </row>
    <row r="1744" spans="1:10" x14ac:dyDescent="0.2">
      <c r="A1744" s="20"/>
      <c r="B1744" s="6" t="s">
        <v>21</v>
      </c>
      <c r="C1744" s="23"/>
      <c r="D1744">
        <v>816</v>
      </c>
      <c r="E1744">
        <v>2.4740000000000002</v>
      </c>
      <c r="F1744">
        <v>3.1469999999999998</v>
      </c>
      <c r="G1744">
        <v>5.048</v>
      </c>
      <c r="H1744">
        <f t="shared" si="132"/>
        <v>0.18207816968541468</v>
      </c>
      <c r="I1744">
        <f t="shared" si="133"/>
        <v>667.42421353670159</v>
      </c>
      <c r="J1744" s="11" t="e">
        <f t="shared" si="131"/>
        <v>#DIV/0!</v>
      </c>
    </row>
    <row r="1745" spans="1:10" x14ac:dyDescent="0.2">
      <c r="A1745" s="25"/>
      <c r="B1745" s="8" t="s">
        <v>22</v>
      </c>
      <c r="C1745" s="26"/>
      <c r="D1745" s="7"/>
      <c r="E1745" s="7">
        <v>2.4510000000000001</v>
      </c>
      <c r="F1745" s="7">
        <v>3.6890000000000001</v>
      </c>
      <c r="G1745" s="7">
        <v>5.5350000000000001</v>
      </c>
      <c r="H1745" s="7">
        <f t="shared" si="132"/>
        <v>0.1640010843046896</v>
      </c>
      <c r="I1745" s="7">
        <f t="shared" si="133"/>
        <v>0</v>
      </c>
      <c r="J1745" s="12" t="e">
        <f t="shared" si="131"/>
        <v>#DIV/0!</v>
      </c>
    </row>
    <row r="1746" spans="1:10" x14ac:dyDescent="0.2">
      <c r="A1746" s="19" t="s">
        <v>10</v>
      </c>
      <c r="B1746" s="5" t="s">
        <v>20</v>
      </c>
      <c r="C1746" s="22">
        <v>7</v>
      </c>
      <c r="D1746" s="4"/>
      <c r="E1746" s="4">
        <v>2.39</v>
      </c>
      <c r="F1746" s="4">
        <v>3.54</v>
      </c>
      <c r="G1746" s="4">
        <v>5.3250000000000002</v>
      </c>
      <c r="H1746" s="4">
        <f t="shared" si="132"/>
        <v>0.17090395480225987</v>
      </c>
      <c r="I1746" s="4">
        <f t="shared" si="133"/>
        <v>0</v>
      </c>
      <c r="J1746" s="10">
        <f t="shared" si="131"/>
        <v>0</v>
      </c>
    </row>
    <row r="1747" spans="1:10" x14ac:dyDescent="0.2">
      <c r="A1747" s="20"/>
      <c r="B1747" s="6" t="s">
        <v>21</v>
      </c>
      <c r="C1747" s="23"/>
      <c r="D1747">
        <v>591</v>
      </c>
      <c r="E1747">
        <v>2.41</v>
      </c>
      <c r="F1747">
        <v>3.964</v>
      </c>
      <c r="G1747">
        <v>5.6660000000000004</v>
      </c>
      <c r="H1747">
        <f t="shared" si="132"/>
        <v>0.17860746720484352</v>
      </c>
      <c r="I1747">
        <f t="shared" si="133"/>
        <v>485.44298688193749</v>
      </c>
      <c r="J1747" s="11" t="e">
        <f t="shared" si="131"/>
        <v>#DIV/0!</v>
      </c>
    </row>
    <row r="1748" spans="1:10" x14ac:dyDescent="0.2">
      <c r="A1748" s="25"/>
      <c r="B1748" s="8" t="s">
        <v>22</v>
      </c>
      <c r="C1748" s="26"/>
      <c r="D1748" s="7"/>
      <c r="E1748" s="7">
        <v>2.42</v>
      </c>
      <c r="F1748" s="7">
        <v>3.6419999999999999</v>
      </c>
      <c r="G1748" s="7">
        <v>5.4020000000000001</v>
      </c>
      <c r="H1748" s="7">
        <f t="shared" si="132"/>
        <v>0.18121911037891261</v>
      </c>
      <c r="I1748" s="7">
        <f t="shared" si="133"/>
        <v>0</v>
      </c>
      <c r="J1748" s="12" t="e">
        <f t="shared" si="131"/>
        <v>#DIV/0!</v>
      </c>
    </row>
    <row r="1749" spans="1:10" x14ac:dyDescent="0.2">
      <c r="A1749" s="19" t="s">
        <v>11</v>
      </c>
      <c r="B1749" s="5" t="s">
        <v>20</v>
      </c>
      <c r="C1749" s="22">
        <v>10</v>
      </c>
      <c r="D1749" s="4"/>
      <c r="E1749" s="4"/>
      <c r="F1749" s="4"/>
      <c r="G1749" s="4"/>
      <c r="H1749" s="4" t="e">
        <f t="shared" si="132"/>
        <v>#DIV/0!</v>
      </c>
      <c r="I1749" s="4" t="e">
        <f t="shared" si="133"/>
        <v>#DIV/0!</v>
      </c>
      <c r="J1749" s="10" t="e">
        <f t="shared" si="131"/>
        <v>#DIV/0!</v>
      </c>
    </row>
    <row r="1750" spans="1:10" x14ac:dyDescent="0.2">
      <c r="A1750" s="20"/>
      <c r="B1750" s="6" t="s">
        <v>21</v>
      </c>
      <c r="C1750" s="23"/>
      <c r="H1750" t="e">
        <f t="shared" si="132"/>
        <v>#DIV/0!</v>
      </c>
      <c r="I1750" t="e">
        <f t="shared" si="133"/>
        <v>#DIV/0!</v>
      </c>
      <c r="J1750" s="11" t="e">
        <f t="shared" si="131"/>
        <v>#DIV/0!</v>
      </c>
    </row>
    <row r="1751" spans="1:10" x14ac:dyDescent="0.2">
      <c r="A1751" s="25"/>
      <c r="B1751" s="8" t="s">
        <v>22</v>
      </c>
      <c r="C1751" s="26"/>
      <c r="D1751" s="7"/>
      <c r="E1751" s="7"/>
      <c r="F1751" s="7"/>
      <c r="G1751" s="7"/>
      <c r="H1751" s="7" t="e">
        <f t="shared" si="132"/>
        <v>#DIV/0!</v>
      </c>
      <c r="I1751" s="7" t="e">
        <f t="shared" si="133"/>
        <v>#DIV/0!</v>
      </c>
      <c r="J1751" s="12" t="e">
        <f t="shared" si="131"/>
        <v>#DIV/0!</v>
      </c>
    </row>
    <row r="1752" spans="1:10" x14ac:dyDescent="0.2">
      <c r="A1752" s="19" t="s">
        <v>12</v>
      </c>
      <c r="B1752" s="5" t="s">
        <v>20</v>
      </c>
      <c r="C1752" s="22">
        <v>10</v>
      </c>
      <c r="D1752" s="4"/>
      <c r="E1752" s="4"/>
      <c r="F1752" s="4"/>
      <c r="G1752" s="4"/>
      <c r="H1752" s="4" t="e">
        <f t="shared" si="132"/>
        <v>#DIV/0!</v>
      </c>
      <c r="I1752" s="4" t="e">
        <f t="shared" si="133"/>
        <v>#DIV/0!</v>
      </c>
      <c r="J1752" s="10" t="e">
        <f t="shared" si="131"/>
        <v>#DIV/0!</v>
      </c>
    </row>
    <row r="1753" spans="1:10" x14ac:dyDescent="0.2">
      <c r="A1753" s="20"/>
      <c r="B1753" s="6" t="s">
        <v>21</v>
      </c>
      <c r="C1753" s="23"/>
      <c r="H1753" t="e">
        <f t="shared" si="132"/>
        <v>#DIV/0!</v>
      </c>
      <c r="I1753" t="e">
        <f t="shared" si="133"/>
        <v>#DIV/0!</v>
      </c>
      <c r="J1753" s="11" t="e">
        <f t="shared" si="131"/>
        <v>#DIV/0!</v>
      </c>
    </row>
    <row r="1754" spans="1:10" x14ac:dyDescent="0.2">
      <c r="A1754" s="25"/>
      <c r="B1754" s="8" t="s">
        <v>22</v>
      </c>
      <c r="C1754" s="26"/>
      <c r="D1754" s="7"/>
      <c r="E1754" s="7"/>
      <c r="F1754" s="7"/>
      <c r="G1754" s="7"/>
      <c r="H1754" s="7" t="e">
        <f t="shared" si="132"/>
        <v>#DIV/0!</v>
      </c>
      <c r="I1754" s="7" t="e">
        <f t="shared" si="133"/>
        <v>#DIV/0!</v>
      </c>
      <c r="J1754" s="12" t="e">
        <f t="shared" si="131"/>
        <v>#DIV/0!</v>
      </c>
    </row>
    <row r="1755" spans="1:10" x14ac:dyDescent="0.2">
      <c r="A1755" s="19" t="s">
        <v>13</v>
      </c>
      <c r="B1755" s="5" t="s">
        <v>20</v>
      </c>
      <c r="C1755" s="22">
        <v>10</v>
      </c>
      <c r="D1755" s="4"/>
      <c r="E1755" s="4"/>
      <c r="F1755" s="4"/>
      <c r="G1755" s="4"/>
      <c r="H1755" s="4" t="e">
        <f t="shared" si="132"/>
        <v>#DIV/0!</v>
      </c>
      <c r="I1755" s="4" t="e">
        <f t="shared" si="133"/>
        <v>#DIV/0!</v>
      </c>
      <c r="J1755" s="10" t="e">
        <f t="shared" si="131"/>
        <v>#DIV/0!</v>
      </c>
    </row>
    <row r="1756" spans="1:10" x14ac:dyDescent="0.2">
      <c r="A1756" s="20"/>
      <c r="B1756" s="6" t="s">
        <v>21</v>
      </c>
      <c r="C1756" s="23"/>
      <c r="H1756" t="e">
        <f t="shared" si="132"/>
        <v>#DIV/0!</v>
      </c>
      <c r="I1756" t="e">
        <f t="shared" si="133"/>
        <v>#DIV/0!</v>
      </c>
      <c r="J1756" s="11" t="e">
        <f t="shared" si="131"/>
        <v>#DIV/0!</v>
      </c>
    </row>
    <row r="1757" spans="1:10" x14ac:dyDescent="0.2">
      <c r="A1757" s="25"/>
      <c r="B1757" s="8" t="s">
        <v>22</v>
      </c>
      <c r="C1757" s="26"/>
      <c r="D1757" s="7"/>
      <c r="E1757" s="7"/>
      <c r="F1757" s="7"/>
      <c r="G1757" s="7"/>
      <c r="H1757" s="7" t="e">
        <f t="shared" si="132"/>
        <v>#DIV/0!</v>
      </c>
      <c r="I1757" s="7" t="e">
        <f t="shared" si="133"/>
        <v>#DIV/0!</v>
      </c>
      <c r="J1757" s="12" t="e">
        <f t="shared" si="131"/>
        <v>#DIV/0!</v>
      </c>
    </row>
    <row r="1758" spans="1:10" x14ac:dyDescent="0.2">
      <c r="A1758" s="19" t="s">
        <v>14</v>
      </c>
      <c r="B1758" s="5" t="s">
        <v>20</v>
      </c>
      <c r="C1758" s="22">
        <v>10</v>
      </c>
      <c r="D1758" s="4"/>
      <c r="E1758" s="4"/>
      <c r="F1758" s="4"/>
      <c r="G1758" s="4"/>
      <c r="H1758" s="4" t="e">
        <f t="shared" si="132"/>
        <v>#DIV/0!</v>
      </c>
      <c r="I1758" s="4" t="e">
        <f t="shared" si="133"/>
        <v>#DIV/0!</v>
      </c>
      <c r="J1758" s="10" t="e">
        <f t="shared" si="131"/>
        <v>#DIV/0!</v>
      </c>
    </row>
    <row r="1759" spans="1:10" x14ac:dyDescent="0.2">
      <c r="A1759" s="20"/>
      <c r="B1759" s="6" t="s">
        <v>21</v>
      </c>
      <c r="C1759" s="23"/>
      <c r="H1759" t="e">
        <f t="shared" si="132"/>
        <v>#DIV/0!</v>
      </c>
      <c r="I1759" t="e">
        <f t="shared" si="133"/>
        <v>#DIV/0!</v>
      </c>
      <c r="J1759" s="11" t="e">
        <f t="shared" si="131"/>
        <v>#DIV/0!</v>
      </c>
    </row>
    <row r="1760" spans="1:10" ht="16" thickBot="1" x14ac:dyDescent="0.25">
      <c r="A1760" s="21"/>
      <c r="B1760" s="15" t="s">
        <v>22</v>
      </c>
      <c r="C1760" s="24"/>
      <c r="D1760" s="13"/>
      <c r="E1760" s="13"/>
      <c r="F1760" s="13"/>
      <c r="G1760" s="13"/>
      <c r="H1760" s="13" t="e">
        <f t="shared" si="132"/>
        <v>#DIV/0!</v>
      </c>
      <c r="I1760" s="13" t="e">
        <f t="shared" si="133"/>
        <v>#DIV/0!</v>
      </c>
      <c r="J1760" s="14" t="e">
        <f t="shared" si="131"/>
        <v>#DIV/0!</v>
      </c>
    </row>
    <row r="1761" spans="1:10" ht="16" thickBot="1" x14ac:dyDescent="0.25">
      <c r="A1761" s="44" t="s">
        <v>1</v>
      </c>
      <c r="B1761" s="33"/>
      <c r="C1761" s="33"/>
      <c r="D1761" s="33" t="s">
        <v>53</v>
      </c>
      <c r="E1761" s="34"/>
      <c r="F1761" s="9" t="s">
        <v>0</v>
      </c>
      <c r="G1761" s="18">
        <v>44157</v>
      </c>
      <c r="H1761" s="35" t="s">
        <v>24</v>
      </c>
      <c r="I1761" s="36"/>
      <c r="J1761" s="1">
        <v>110</v>
      </c>
    </row>
    <row r="1762" spans="1:10" ht="16" thickBot="1" x14ac:dyDescent="0.25">
      <c r="A1762" s="37" t="s">
        <v>2</v>
      </c>
      <c r="B1762" s="38"/>
      <c r="C1762" s="38"/>
      <c r="D1762" s="38"/>
      <c r="E1762" s="39"/>
      <c r="F1762" s="40"/>
      <c r="G1762" s="41"/>
      <c r="H1762" s="42" t="s">
        <v>25</v>
      </c>
      <c r="I1762" s="43"/>
      <c r="J1762" s="2">
        <v>36</v>
      </c>
    </row>
    <row r="1763" spans="1:10" ht="16" thickBot="1" x14ac:dyDescent="0.25">
      <c r="A1763" s="45" t="s">
        <v>27</v>
      </c>
      <c r="B1763" s="27"/>
      <c r="C1763" s="27"/>
      <c r="D1763" s="27" t="s">
        <v>36</v>
      </c>
      <c r="E1763" s="28"/>
      <c r="F1763" s="16" t="s">
        <v>30</v>
      </c>
      <c r="G1763" s="16">
        <v>3.81</v>
      </c>
      <c r="H1763" s="29" t="s">
        <v>26</v>
      </c>
      <c r="I1763" s="30"/>
      <c r="J1763" s="3">
        <v>53.5</v>
      </c>
    </row>
    <row r="1764" spans="1:10" x14ac:dyDescent="0.2">
      <c r="A1764" s="31"/>
      <c r="B1764" s="32"/>
      <c r="C1764" s="16" t="s">
        <v>29</v>
      </c>
      <c r="D1764" s="16" t="s">
        <v>19</v>
      </c>
      <c r="E1764" s="16" t="s">
        <v>15</v>
      </c>
      <c r="F1764" s="16" t="s">
        <v>18</v>
      </c>
      <c r="G1764" s="16" t="s">
        <v>17</v>
      </c>
      <c r="H1764" s="16" t="s">
        <v>28</v>
      </c>
      <c r="I1764" s="16" t="s">
        <v>16</v>
      </c>
      <c r="J1764" s="17" t="s">
        <v>23</v>
      </c>
    </row>
    <row r="1765" spans="1:10" x14ac:dyDescent="0.2">
      <c r="A1765" s="19" t="s">
        <v>3</v>
      </c>
      <c r="B1765" s="5" t="s">
        <v>20</v>
      </c>
      <c r="C1765" s="22">
        <v>10</v>
      </c>
      <c r="D1765" s="4"/>
      <c r="E1765" s="4">
        <v>2.427</v>
      </c>
      <c r="F1765" s="4">
        <v>3.8340000000000001</v>
      </c>
      <c r="G1765" s="4">
        <v>5.81</v>
      </c>
      <c r="H1765" s="4">
        <f>(F1765-(G1765-E1765))/F1765</f>
        <v>0.11763171622326565</v>
      </c>
      <c r="I1765" s="4">
        <f>D1765-H1765*D1765</f>
        <v>0</v>
      </c>
      <c r="J1765" s="10">
        <f t="shared" ref="J1765:J1800" si="134">I1765/($G$3^2*C1765*PI())</f>
        <v>0</v>
      </c>
    </row>
    <row r="1766" spans="1:10" x14ac:dyDescent="0.2">
      <c r="A1766" s="20"/>
      <c r="B1766" s="6" t="s">
        <v>21</v>
      </c>
      <c r="C1766" s="23"/>
      <c r="D1766">
        <v>699</v>
      </c>
      <c r="E1766">
        <v>2.4260000000000002</v>
      </c>
      <c r="F1766">
        <v>3.5950000000000002</v>
      </c>
      <c r="G1766">
        <v>5.5910000000000002</v>
      </c>
      <c r="H1766">
        <f t="shared" ref="H1766:H1800" si="135">(F1766-(G1766-E1766))/F1766</f>
        <v>0.11961057023643953</v>
      </c>
      <c r="I1766">
        <f t="shared" ref="I1766:I1800" si="136">D1766-H1766*D1766</f>
        <v>615.39221140472876</v>
      </c>
      <c r="J1766" s="11" t="e">
        <f t="shared" si="134"/>
        <v>#DIV/0!</v>
      </c>
    </row>
    <row r="1767" spans="1:10" x14ac:dyDescent="0.2">
      <c r="A1767" s="25"/>
      <c r="B1767" s="8" t="s">
        <v>22</v>
      </c>
      <c r="C1767" s="26"/>
      <c r="D1767" s="7"/>
      <c r="E1767" s="7">
        <v>2.4470000000000001</v>
      </c>
      <c r="F1767" s="7">
        <v>3.1549999999999998</v>
      </c>
      <c r="G1767" s="7">
        <v>5.2279999999999998</v>
      </c>
      <c r="H1767" s="7">
        <f t="shared" si="135"/>
        <v>0.11854199683042793</v>
      </c>
      <c r="I1767" s="7">
        <f t="shared" si="136"/>
        <v>0</v>
      </c>
      <c r="J1767" s="12" t="e">
        <f t="shared" si="134"/>
        <v>#DIV/0!</v>
      </c>
    </row>
    <row r="1768" spans="1:10" x14ac:dyDescent="0.2">
      <c r="A1768" s="19" t="s">
        <v>4</v>
      </c>
      <c r="B1768" s="5" t="s">
        <v>20</v>
      </c>
      <c r="C1768" s="23">
        <v>10</v>
      </c>
      <c r="E1768">
        <v>2.4609999999999999</v>
      </c>
      <c r="F1768">
        <v>3.5539999999999998</v>
      </c>
      <c r="G1768">
        <v>5.6360000000000001</v>
      </c>
      <c r="H1768" s="4">
        <f t="shared" si="135"/>
        <v>0.10664040517726493</v>
      </c>
      <c r="I1768" s="4">
        <f t="shared" si="136"/>
        <v>0</v>
      </c>
      <c r="J1768" s="10">
        <f t="shared" si="134"/>
        <v>0</v>
      </c>
    </row>
    <row r="1769" spans="1:10" x14ac:dyDescent="0.2">
      <c r="A1769" s="20"/>
      <c r="B1769" s="6" t="s">
        <v>21</v>
      </c>
      <c r="C1769" s="23"/>
      <c r="D1769">
        <v>735</v>
      </c>
      <c r="E1769">
        <v>2.444</v>
      </c>
      <c r="F1769">
        <v>3.1579999999999999</v>
      </c>
      <c r="G1769">
        <v>5.27</v>
      </c>
      <c r="H1769">
        <f t="shared" si="135"/>
        <v>0.10512982900569991</v>
      </c>
      <c r="I1769">
        <f t="shared" si="136"/>
        <v>657.72957568081051</v>
      </c>
      <c r="J1769" s="11" t="e">
        <f t="shared" si="134"/>
        <v>#DIV/0!</v>
      </c>
    </row>
    <row r="1770" spans="1:10" x14ac:dyDescent="0.2">
      <c r="A1770" s="25"/>
      <c r="B1770" s="8" t="s">
        <v>22</v>
      </c>
      <c r="C1770" s="26"/>
      <c r="D1770" s="7"/>
      <c r="E1770" s="7">
        <v>2.4420000000000002</v>
      </c>
      <c r="F1770" s="7">
        <v>3.2440000000000002</v>
      </c>
      <c r="G1770" s="7">
        <v>5.36</v>
      </c>
      <c r="H1770" s="7">
        <f t="shared" si="135"/>
        <v>0.10049321824907523</v>
      </c>
      <c r="I1770" s="7">
        <f t="shared" si="136"/>
        <v>0</v>
      </c>
      <c r="J1770" s="12" t="e">
        <f t="shared" si="134"/>
        <v>#DIV/0!</v>
      </c>
    </row>
    <row r="1771" spans="1:10" x14ac:dyDescent="0.2">
      <c r="A1771" s="19" t="s">
        <v>5</v>
      </c>
      <c r="B1771" s="5" t="s">
        <v>20</v>
      </c>
      <c r="C1771" s="22">
        <v>10</v>
      </c>
      <c r="D1771" s="4"/>
      <c r="E1771" s="4">
        <v>2.4460000000000002</v>
      </c>
      <c r="F1771" s="4">
        <v>3.577</v>
      </c>
      <c r="G1771" s="4">
        <v>5.6669999999999998</v>
      </c>
      <c r="H1771" s="4">
        <f t="shared" si="135"/>
        <v>9.9524741403410763E-2</v>
      </c>
      <c r="I1771" s="4">
        <f t="shared" si="136"/>
        <v>0</v>
      </c>
      <c r="J1771" s="10">
        <f t="shared" si="134"/>
        <v>0</v>
      </c>
    </row>
    <row r="1772" spans="1:10" x14ac:dyDescent="0.2">
      <c r="A1772" s="20"/>
      <c r="B1772" s="6" t="s">
        <v>21</v>
      </c>
      <c r="C1772" s="23"/>
      <c r="D1772">
        <v>805</v>
      </c>
      <c r="E1772">
        <v>2.4430000000000001</v>
      </c>
      <c r="F1772">
        <v>3.2010000000000001</v>
      </c>
      <c r="G1772">
        <v>5.3230000000000004</v>
      </c>
      <c r="H1772">
        <f t="shared" si="135"/>
        <v>0.10028116213683215</v>
      </c>
      <c r="I1772">
        <f t="shared" si="136"/>
        <v>724.27366447985014</v>
      </c>
      <c r="J1772" s="11" t="e">
        <f t="shared" si="134"/>
        <v>#DIV/0!</v>
      </c>
    </row>
    <row r="1773" spans="1:10" x14ac:dyDescent="0.2">
      <c r="A1773" s="25"/>
      <c r="B1773" s="8" t="s">
        <v>22</v>
      </c>
      <c r="C1773" s="26"/>
      <c r="D1773" s="7"/>
      <c r="E1773" s="7">
        <v>2.44</v>
      </c>
      <c r="F1773" s="7">
        <v>3.13</v>
      </c>
      <c r="G1773" s="7">
        <v>5.2489999999999997</v>
      </c>
      <c r="H1773" s="7">
        <f t="shared" si="135"/>
        <v>0.10255591054313105</v>
      </c>
      <c r="I1773" s="7">
        <f t="shared" si="136"/>
        <v>0</v>
      </c>
      <c r="J1773" s="12" t="e">
        <f t="shared" si="134"/>
        <v>#DIV/0!</v>
      </c>
    </row>
    <row r="1774" spans="1:10" x14ac:dyDescent="0.2">
      <c r="A1774" s="19" t="s">
        <v>6</v>
      </c>
      <c r="B1774" s="5" t="s">
        <v>20</v>
      </c>
      <c r="C1774" s="22">
        <v>10</v>
      </c>
      <c r="D1774" s="4"/>
      <c r="E1774" s="4">
        <v>2.444</v>
      </c>
      <c r="F1774" s="4">
        <v>3.7229999999999999</v>
      </c>
      <c r="G1774" s="4">
        <v>5.7869999999999999</v>
      </c>
      <c r="H1774" s="4">
        <f t="shared" si="135"/>
        <v>0.10206822455009398</v>
      </c>
      <c r="I1774" s="4">
        <f t="shared" si="136"/>
        <v>0</v>
      </c>
      <c r="J1774" s="10">
        <f t="shared" si="134"/>
        <v>0</v>
      </c>
    </row>
    <row r="1775" spans="1:10" x14ac:dyDescent="0.2">
      <c r="A1775" s="20"/>
      <c r="B1775" s="6" t="s">
        <v>21</v>
      </c>
      <c r="C1775" s="23"/>
      <c r="D1775">
        <v>874</v>
      </c>
      <c r="E1775">
        <v>2.4409999999999998</v>
      </c>
      <c r="F1775">
        <v>3.5710000000000002</v>
      </c>
      <c r="G1775">
        <v>5.6379999999999999</v>
      </c>
      <c r="H1775">
        <f t="shared" si="135"/>
        <v>0.104732567908149</v>
      </c>
      <c r="I1775">
        <f t="shared" si="136"/>
        <v>782.46373564827775</v>
      </c>
      <c r="J1775" s="11" t="e">
        <f t="shared" si="134"/>
        <v>#DIV/0!</v>
      </c>
    </row>
    <row r="1776" spans="1:10" x14ac:dyDescent="0.2">
      <c r="A1776" s="25"/>
      <c r="B1776" s="8" t="s">
        <v>22</v>
      </c>
      <c r="C1776" s="26"/>
      <c r="D1776" s="7"/>
      <c r="E1776" s="7">
        <v>2.4489999999999998</v>
      </c>
      <c r="F1776" s="7">
        <v>3.992</v>
      </c>
      <c r="G1776" s="7">
        <v>6.0179999999999998</v>
      </c>
      <c r="H1776" s="7">
        <f t="shared" si="135"/>
        <v>0.1059619238476954</v>
      </c>
      <c r="I1776" s="7">
        <f t="shared" si="136"/>
        <v>0</v>
      </c>
      <c r="J1776" s="12" t="e">
        <f t="shared" si="134"/>
        <v>#DIV/0!</v>
      </c>
    </row>
    <row r="1777" spans="1:10" x14ac:dyDescent="0.2">
      <c r="A1777" s="19" t="s">
        <v>7</v>
      </c>
      <c r="B1777" s="5" t="s">
        <v>20</v>
      </c>
      <c r="C1777" s="22">
        <v>10</v>
      </c>
      <c r="D1777" s="4"/>
      <c r="E1777" s="4">
        <v>2.4449999999999998</v>
      </c>
      <c r="F1777" s="4">
        <v>3.048</v>
      </c>
      <c r="G1777" s="4">
        <v>5.1440000000000001</v>
      </c>
      <c r="H1777" s="4">
        <f t="shared" si="135"/>
        <v>0.11450131233595792</v>
      </c>
      <c r="I1777" s="4">
        <f t="shared" si="136"/>
        <v>0</v>
      </c>
      <c r="J1777" s="10">
        <f t="shared" si="134"/>
        <v>0</v>
      </c>
    </row>
    <row r="1778" spans="1:10" x14ac:dyDescent="0.2">
      <c r="A1778" s="20"/>
      <c r="B1778" s="6" t="s">
        <v>21</v>
      </c>
      <c r="C1778" s="23"/>
      <c r="D1778">
        <v>824</v>
      </c>
      <c r="E1778">
        <v>2.4540000000000002</v>
      </c>
      <c r="F1778">
        <v>3.9740000000000002</v>
      </c>
      <c r="G1778">
        <v>5.984</v>
      </c>
      <c r="H1778">
        <f t="shared" si="135"/>
        <v>0.11172622043281338</v>
      </c>
      <c r="I1778">
        <f t="shared" si="136"/>
        <v>731.93759436336177</v>
      </c>
      <c r="J1778" s="11" t="e">
        <f t="shared" si="134"/>
        <v>#DIV/0!</v>
      </c>
    </row>
    <row r="1779" spans="1:10" x14ac:dyDescent="0.2">
      <c r="A1779" s="25"/>
      <c r="B1779" s="8" t="s">
        <v>22</v>
      </c>
      <c r="C1779" s="26"/>
      <c r="D1779" s="7"/>
      <c r="E1779" s="7">
        <v>2.423</v>
      </c>
      <c r="F1779" s="7">
        <v>3.6509999999999998</v>
      </c>
      <c r="G1779" s="7">
        <v>5.6639999999999997</v>
      </c>
      <c r="H1779" s="7">
        <f t="shared" si="135"/>
        <v>0.11229800054779517</v>
      </c>
      <c r="I1779" s="7">
        <f t="shared" si="136"/>
        <v>0</v>
      </c>
      <c r="J1779" s="12" t="e">
        <f t="shared" si="134"/>
        <v>#DIV/0!</v>
      </c>
    </row>
    <row r="1780" spans="1:10" x14ac:dyDescent="0.2">
      <c r="A1780" s="19" t="s">
        <v>8</v>
      </c>
      <c r="B1780" s="5" t="s">
        <v>20</v>
      </c>
      <c r="C1780" s="22">
        <v>10</v>
      </c>
      <c r="D1780" s="4"/>
      <c r="E1780" s="4">
        <v>2.4239999999999999</v>
      </c>
      <c r="F1780" s="4">
        <v>3.5339999999999998</v>
      </c>
      <c r="G1780" s="4">
        <v>5.6360000000000001</v>
      </c>
      <c r="H1780" s="4">
        <f t="shared" si="135"/>
        <v>9.1114883984153835E-2</v>
      </c>
      <c r="I1780" s="4">
        <f t="shared" si="136"/>
        <v>0</v>
      </c>
      <c r="J1780" s="10">
        <f t="shared" si="134"/>
        <v>0</v>
      </c>
    </row>
    <row r="1781" spans="1:10" x14ac:dyDescent="0.2">
      <c r="A1781" s="20"/>
      <c r="B1781" s="6" t="s">
        <v>21</v>
      </c>
      <c r="C1781" s="23"/>
      <c r="D1781">
        <v>748</v>
      </c>
      <c r="E1781">
        <v>2.42</v>
      </c>
      <c r="F1781">
        <v>3.0960000000000001</v>
      </c>
      <c r="G1781">
        <v>5.21</v>
      </c>
      <c r="H1781">
        <f t="shared" si="135"/>
        <v>9.883720930232559E-2</v>
      </c>
      <c r="I1781">
        <f t="shared" si="136"/>
        <v>674.06976744186045</v>
      </c>
      <c r="J1781" s="11" t="e">
        <f t="shared" si="134"/>
        <v>#DIV/0!</v>
      </c>
    </row>
    <row r="1782" spans="1:10" x14ac:dyDescent="0.2">
      <c r="A1782" s="25"/>
      <c r="B1782" s="8" t="s">
        <v>22</v>
      </c>
      <c r="C1782" s="26"/>
      <c r="D1782" s="7"/>
      <c r="E1782" s="7">
        <v>2.4180000000000001</v>
      </c>
      <c r="F1782" s="7">
        <v>3.97</v>
      </c>
      <c r="G1782" s="7">
        <v>6.0540000000000003</v>
      </c>
      <c r="H1782" s="7">
        <f t="shared" si="135"/>
        <v>8.4130982367758206E-2</v>
      </c>
      <c r="I1782" s="7">
        <f t="shared" si="136"/>
        <v>0</v>
      </c>
      <c r="J1782" s="12" t="e">
        <f t="shared" si="134"/>
        <v>#DIV/0!</v>
      </c>
    </row>
    <row r="1783" spans="1:10" x14ac:dyDescent="0.2">
      <c r="A1783" s="19" t="s">
        <v>9</v>
      </c>
      <c r="B1783" s="5" t="s">
        <v>20</v>
      </c>
      <c r="C1783" s="22">
        <v>10</v>
      </c>
      <c r="D1783" s="4"/>
      <c r="E1783" s="4">
        <v>2.4239999999999999</v>
      </c>
      <c r="F1783" s="4">
        <v>3.544</v>
      </c>
      <c r="G1783" s="4">
        <v>5.7060000000000004</v>
      </c>
      <c r="H1783" s="4">
        <f t="shared" si="135"/>
        <v>7.3927765237020188E-2</v>
      </c>
      <c r="I1783" s="4">
        <f t="shared" si="136"/>
        <v>0</v>
      </c>
      <c r="J1783" s="10">
        <f t="shared" si="134"/>
        <v>0</v>
      </c>
    </row>
    <row r="1784" spans="1:10" x14ac:dyDescent="0.2">
      <c r="A1784" s="20"/>
      <c r="B1784" s="6" t="s">
        <v>21</v>
      </c>
      <c r="C1784" s="23"/>
      <c r="D1784">
        <v>805</v>
      </c>
      <c r="E1784">
        <v>2.4239999999999999</v>
      </c>
      <c r="F1784">
        <v>3.53</v>
      </c>
      <c r="G1784">
        <v>5.6740000000000004</v>
      </c>
      <c r="H1784">
        <f t="shared" si="135"/>
        <v>7.932011331444741E-2</v>
      </c>
      <c r="I1784">
        <f t="shared" si="136"/>
        <v>741.14730878186981</v>
      </c>
      <c r="J1784" s="11" t="e">
        <f t="shared" si="134"/>
        <v>#DIV/0!</v>
      </c>
    </row>
    <row r="1785" spans="1:10" x14ac:dyDescent="0.2">
      <c r="A1785" s="25"/>
      <c r="B1785" s="8" t="s">
        <v>22</v>
      </c>
      <c r="C1785" s="26"/>
      <c r="D1785" s="7"/>
      <c r="E1785" s="7">
        <v>2.4329999999999998</v>
      </c>
      <c r="F1785" s="7">
        <v>3.375</v>
      </c>
      <c r="G1785" s="7">
        <v>5.5339999999999998</v>
      </c>
      <c r="H1785" s="7">
        <f t="shared" si="135"/>
        <v>8.1185185185185194E-2</v>
      </c>
      <c r="I1785" s="7">
        <f t="shared" si="136"/>
        <v>0</v>
      </c>
      <c r="J1785" s="12" t="e">
        <f t="shared" si="134"/>
        <v>#DIV/0!</v>
      </c>
    </row>
    <row r="1786" spans="1:10" x14ac:dyDescent="0.2">
      <c r="A1786" s="19" t="s">
        <v>10</v>
      </c>
      <c r="B1786" s="5" t="s">
        <v>20</v>
      </c>
      <c r="C1786" s="22">
        <v>10</v>
      </c>
      <c r="D1786" s="4"/>
      <c r="E1786" s="4">
        <v>2.423</v>
      </c>
      <c r="F1786" s="4">
        <v>3.6419999999999999</v>
      </c>
      <c r="G1786" s="4">
        <v>5.8570000000000002</v>
      </c>
      <c r="H1786" s="4">
        <f t="shared" si="135"/>
        <v>5.7111477210323926E-2</v>
      </c>
      <c r="I1786" s="4">
        <f t="shared" si="136"/>
        <v>0</v>
      </c>
      <c r="J1786" s="10">
        <f t="shared" si="134"/>
        <v>0</v>
      </c>
    </row>
    <row r="1787" spans="1:10" x14ac:dyDescent="0.2">
      <c r="A1787" s="20"/>
      <c r="B1787" s="6" t="s">
        <v>21</v>
      </c>
      <c r="C1787" s="23"/>
      <c r="D1787">
        <v>836</v>
      </c>
      <c r="E1787">
        <v>2.42</v>
      </c>
      <c r="F1787">
        <v>3.2250000000000001</v>
      </c>
      <c r="G1787">
        <v>5.46</v>
      </c>
      <c r="H1787">
        <f t="shared" si="135"/>
        <v>5.7364341085271331E-2</v>
      </c>
      <c r="I1787">
        <f t="shared" si="136"/>
        <v>788.04341085271312</v>
      </c>
      <c r="J1787" s="11" t="e">
        <f t="shared" si="134"/>
        <v>#DIV/0!</v>
      </c>
    </row>
    <row r="1788" spans="1:10" x14ac:dyDescent="0.2">
      <c r="A1788" s="25"/>
      <c r="B1788" s="8" t="s">
        <v>22</v>
      </c>
      <c r="C1788" s="26"/>
      <c r="D1788" s="7"/>
      <c r="E1788" s="7">
        <v>2.448</v>
      </c>
      <c r="F1788" s="7">
        <v>3.57</v>
      </c>
      <c r="G1788" s="7">
        <v>5.827</v>
      </c>
      <c r="H1788" s="7">
        <f t="shared" si="135"/>
        <v>5.3501400560224045E-2</v>
      </c>
      <c r="I1788" s="7">
        <f t="shared" si="136"/>
        <v>0</v>
      </c>
      <c r="J1788" s="12" t="e">
        <f t="shared" si="134"/>
        <v>#DIV/0!</v>
      </c>
    </row>
    <row r="1789" spans="1:10" x14ac:dyDescent="0.2">
      <c r="A1789" s="19" t="s">
        <v>11</v>
      </c>
      <c r="B1789" s="5" t="s">
        <v>20</v>
      </c>
      <c r="C1789" s="22">
        <v>10</v>
      </c>
      <c r="D1789" s="4"/>
      <c r="E1789" s="4">
        <v>2.4420000000000002</v>
      </c>
      <c r="F1789" s="4">
        <v>3.4249999999999998</v>
      </c>
      <c r="G1789" s="4">
        <v>5.6509999999999998</v>
      </c>
      <c r="H1789" s="4">
        <f t="shared" si="135"/>
        <v>6.3065693430656988E-2</v>
      </c>
      <c r="I1789" s="4">
        <f t="shared" si="136"/>
        <v>0</v>
      </c>
      <c r="J1789" s="10">
        <f t="shared" si="134"/>
        <v>0</v>
      </c>
    </row>
    <row r="1790" spans="1:10" x14ac:dyDescent="0.2">
      <c r="A1790" s="20"/>
      <c r="B1790" s="6" t="s">
        <v>21</v>
      </c>
      <c r="C1790" s="23"/>
      <c r="D1790">
        <v>982</v>
      </c>
      <c r="E1790">
        <v>2.4249999999999998</v>
      </c>
      <c r="F1790">
        <v>3.3180000000000001</v>
      </c>
      <c r="G1790">
        <v>5.5170000000000003</v>
      </c>
      <c r="H1790">
        <f t="shared" si="135"/>
        <v>6.81133212778781E-2</v>
      </c>
      <c r="I1790">
        <f t="shared" si="136"/>
        <v>915.11271850512367</v>
      </c>
      <c r="J1790" s="11" t="e">
        <f t="shared" si="134"/>
        <v>#DIV/0!</v>
      </c>
    </row>
    <row r="1791" spans="1:10" x14ac:dyDescent="0.2">
      <c r="A1791" s="25"/>
      <c r="B1791" s="8" t="s">
        <v>22</v>
      </c>
      <c r="C1791" s="26"/>
      <c r="D1791" s="7"/>
      <c r="E1791" s="7">
        <v>2.4329999999999998</v>
      </c>
      <c r="F1791" s="7">
        <v>3.0579999999999998</v>
      </c>
      <c r="G1791" s="7">
        <v>5.16</v>
      </c>
      <c r="H1791" s="7">
        <f t="shared" si="135"/>
        <v>0.10824068018312608</v>
      </c>
      <c r="I1791" s="7">
        <f t="shared" si="136"/>
        <v>0</v>
      </c>
      <c r="J1791" s="12" t="e">
        <f t="shared" si="134"/>
        <v>#DIV/0!</v>
      </c>
    </row>
    <row r="1792" spans="1:10" x14ac:dyDescent="0.2">
      <c r="A1792" s="19" t="s">
        <v>12</v>
      </c>
      <c r="B1792" s="5" t="s">
        <v>20</v>
      </c>
      <c r="C1792" s="22">
        <v>10</v>
      </c>
      <c r="D1792" s="4"/>
      <c r="E1792" s="4">
        <v>2.431</v>
      </c>
      <c r="F1792" s="4">
        <v>3.1459999999999999</v>
      </c>
      <c r="G1792" s="4">
        <v>4.9980000000000002</v>
      </c>
      <c r="H1792" s="4">
        <f t="shared" si="135"/>
        <v>0.18404322949777488</v>
      </c>
      <c r="I1792" s="4">
        <f t="shared" si="136"/>
        <v>0</v>
      </c>
      <c r="J1792" s="10">
        <f t="shared" si="134"/>
        <v>0</v>
      </c>
    </row>
    <row r="1793" spans="1:10" x14ac:dyDescent="0.2">
      <c r="A1793" s="20"/>
      <c r="B1793" s="6" t="s">
        <v>21</v>
      </c>
      <c r="C1793" s="23"/>
      <c r="D1793">
        <v>876</v>
      </c>
      <c r="E1793">
        <v>2.423</v>
      </c>
      <c r="F1793">
        <v>3.3029999999999999</v>
      </c>
      <c r="G1793">
        <v>5.1180000000000003</v>
      </c>
      <c r="H1793">
        <f t="shared" si="135"/>
        <v>0.18407508325764446</v>
      </c>
      <c r="I1793">
        <f t="shared" si="136"/>
        <v>714.75022706630341</v>
      </c>
      <c r="J1793" s="11" t="e">
        <f t="shared" si="134"/>
        <v>#DIV/0!</v>
      </c>
    </row>
    <row r="1794" spans="1:10" x14ac:dyDescent="0.2">
      <c r="A1794" s="25"/>
      <c r="B1794" s="8" t="s">
        <v>22</v>
      </c>
      <c r="C1794" s="26"/>
      <c r="D1794" s="7"/>
      <c r="E1794" s="7">
        <v>2.4420000000000002</v>
      </c>
      <c r="F1794" s="7">
        <v>3.1589999999999998</v>
      </c>
      <c r="G1794" s="7">
        <v>5.0179999999999998</v>
      </c>
      <c r="H1794" s="7">
        <f t="shared" si="135"/>
        <v>0.18455207344096239</v>
      </c>
      <c r="I1794" s="7">
        <f t="shared" si="136"/>
        <v>0</v>
      </c>
      <c r="J1794" s="12" t="e">
        <f t="shared" si="134"/>
        <v>#DIV/0!</v>
      </c>
    </row>
    <row r="1795" spans="1:10" x14ac:dyDescent="0.2">
      <c r="A1795" s="19" t="s">
        <v>13</v>
      </c>
      <c r="B1795" s="5" t="s">
        <v>20</v>
      </c>
      <c r="C1795" s="22">
        <v>10</v>
      </c>
      <c r="D1795" s="4"/>
      <c r="E1795" s="4"/>
      <c r="F1795" s="4"/>
      <c r="G1795" s="4"/>
      <c r="H1795" s="4" t="e">
        <f t="shared" si="135"/>
        <v>#DIV/0!</v>
      </c>
      <c r="I1795" s="4" t="e">
        <f t="shared" si="136"/>
        <v>#DIV/0!</v>
      </c>
      <c r="J1795" s="10" t="e">
        <f t="shared" si="134"/>
        <v>#DIV/0!</v>
      </c>
    </row>
    <row r="1796" spans="1:10" x14ac:dyDescent="0.2">
      <c r="A1796" s="20"/>
      <c r="B1796" s="6" t="s">
        <v>21</v>
      </c>
      <c r="C1796" s="23"/>
      <c r="H1796" t="e">
        <f t="shared" si="135"/>
        <v>#DIV/0!</v>
      </c>
      <c r="I1796" t="e">
        <f t="shared" si="136"/>
        <v>#DIV/0!</v>
      </c>
      <c r="J1796" s="11" t="e">
        <f t="shared" si="134"/>
        <v>#DIV/0!</v>
      </c>
    </row>
    <row r="1797" spans="1:10" x14ac:dyDescent="0.2">
      <c r="A1797" s="25"/>
      <c r="B1797" s="8" t="s">
        <v>22</v>
      </c>
      <c r="C1797" s="26"/>
      <c r="D1797" s="7"/>
      <c r="E1797" s="7"/>
      <c r="F1797" s="7"/>
      <c r="G1797" s="7"/>
      <c r="H1797" s="7" t="e">
        <f t="shared" si="135"/>
        <v>#DIV/0!</v>
      </c>
      <c r="I1797" s="7" t="e">
        <f t="shared" si="136"/>
        <v>#DIV/0!</v>
      </c>
      <c r="J1797" s="12" t="e">
        <f t="shared" si="134"/>
        <v>#DIV/0!</v>
      </c>
    </row>
    <row r="1798" spans="1:10" x14ac:dyDescent="0.2">
      <c r="A1798" s="19" t="s">
        <v>14</v>
      </c>
      <c r="B1798" s="5" t="s">
        <v>20</v>
      </c>
      <c r="C1798" s="22">
        <v>10</v>
      </c>
      <c r="D1798" s="4"/>
      <c r="E1798" s="4"/>
      <c r="F1798" s="4"/>
      <c r="G1798" s="4"/>
      <c r="H1798" s="4" t="e">
        <f t="shared" si="135"/>
        <v>#DIV/0!</v>
      </c>
      <c r="I1798" s="4" t="e">
        <f t="shared" si="136"/>
        <v>#DIV/0!</v>
      </c>
      <c r="J1798" s="10" t="e">
        <f t="shared" si="134"/>
        <v>#DIV/0!</v>
      </c>
    </row>
    <row r="1799" spans="1:10" x14ac:dyDescent="0.2">
      <c r="A1799" s="20"/>
      <c r="B1799" s="6" t="s">
        <v>21</v>
      </c>
      <c r="C1799" s="23"/>
      <c r="H1799" t="e">
        <f t="shared" si="135"/>
        <v>#DIV/0!</v>
      </c>
      <c r="I1799" t="e">
        <f t="shared" si="136"/>
        <v>#DIV/0!</v>
      </c>
      <c r="J1799" s="11" t="e">
        <f t="shared" si="134"/>
        <v>#DIV/0!</v>
      </c>
    </row>
    <row r="1800" spans="1:10" ht="16" thickBot="1" x14ac:dyDescent="0.25">
      <c r="A1800" s="21"/>
      <c r="B1800" s="15" t="s">
        <v>22</v>
      </c>
      <c r="C1800" s="24"/>
      <c r="D1800" s="13"/>
      <c r="E1800" s="13"/>
      <c r="F1800" s="13"/>
      <c r="G1800" s="13"/>
      <c r="H1800" s="13" t="e">
        <f t="shared" si="135"/>
        <v>#DIV/0!</v>
      </c>
      <c r="I1800" s="13" t="e">
        <f t="shared" si="136"/>
        <v>#DIV/0!</v>
      </c>
      <c r="J1800" s="14" t="e">
        <f t="shared" si="134"/>
        <v>#DIV/0!</v>
      </c>
    </row>
    <row r="1801" spans="1:10" ht="16" thickBot="1" x14ac:dyDescent="0.25">
      <c r="A1801" s="44" t="s">
        <v>1</v>
      </c>
      <c r="B1801" s="33"/>
      <c r="C1801" s="33"/>
      <c r="D1801" s="33" t="s">
        <v>54</v>
      </c>
      <c r="E1801" s="34"/>
      <c r="F1801" s="9" t="s">
        <v>0</v>
      </c>
      <c r="G1801" s="18">
        <v>44157</v>
      </c>
      <c r="H1801" s="35" t="s">
        <v>24</v>
      </c>
      <c r="I1801" s="36"/>
      <c r="J1801" s="1">
        <v>80</v>
      </c>
    </row>
    <row r="1802" spans="1:10" ht="16" thickBot="1" x14ac:dyDescent="0.25">
      <c r="A1802" s="37" t="s">
        <v>2</v>
      </c>
      <c r="B1802" s="38"/>
      <c r="C1802" s="38"/>
      <c r="D1802" s="38"/>
      <c r="E1802" s="39"/>
      <c r="F1802" s="40"/>
      <c r="G1802" s="41"/>
      <c r="H1802" s="42" t="s">
        <v>25</v>
      </c>
      <c r="I1802" s="43"/>
      <c r="J1802" s="2">
        <v>23</v>
      </c>
    </row>
    <row r="1803" spans="1:10" ht="16" thickBot="1" x14ac:dyDescent="0.25">
      <c r="A1803" s="45" t="s">
        <v>27</v>
      </c>
      <c r="B1803" s="27"/>
      <c r="C1803" s="27"/>
      <c r="D1803" s="27" t="s">
        <v>36</v>
      </c>
      <c r="E1803" s="28"/>
      <c r="F1803" s="16" t="s">
        <v>30</v>
      </c>
      <c r="G1803" s="16">
        <v>3.81</v>
      </c>
      <c r="H1803" s="29" t="s">
        <v>26</v>
      </c>
      <c r="I1803" s="30"/>
      <c r="J1803" s="3">
        <v>38</v>
      </c>
    </row>
    <row r="1804" spans="1:10" x14ac:dyDescent="0.2">
      <c r="A1804" s="31"/>
      <c r="B1804" s="32"/>
      <c r="C1804" s="16" t="s">
        <v>29</v>
      </c>
      <c r="D1804" s="16" t="s">
        <v>19</v>
      </c>
      <c r="E1804" s="16" t="s">
        <v>15</v>
      </c>
      <c r="F1804" s="16" t="s">
        <v>18</v>
      </c>
      <c r="G1804" s="16" t="s">
        <v>17</v>
      </c>
      <c r="H1804" s="16" t="s">
        <v>28</v>
      </c>
      <c r="I1804" s="16" t="s">
        <v>16</v>
      </c>
      <c r="J1804" s="17" t="s">
        <v>23</v>
      </c>
    </row>
    <row r="1805" spans="1:10" x14ac:dyDescent="0.2">
      <c r="A1805" s="19" t="s">
        <v>3</v>
      </c>
      <c r="B1805" s="5" t="s">
        <v>20</v>
      </c>
      <c r="C1805" s="22">
        <v>10</v>
      </c>
      <c r="D1805" s="4"/>
      <c r="E1805" s="4">
        <v>1.73</v>
      </c>
      <c r="F1805" s="4">
        <v>3.0939999999999999</v>
      </c>
      <c r="G1805" s="4">
        <v>4.3949999999999996</v>
      </c>
      <c r="H1805" s="4">
        <f>(F1805-(G1805-E1805))/F1805</f>
        <v>0.13865546218487404</v>
      </c>
      <c r="I1805" s="4">
        <f>D1805-H1805*D1805</f>
        <v>0</v>
      </c>
      <c r="J1805" s="10">
        <f t="shared" ref="J1805:J1840" si="137">I1805/($G$3^2*C1805*PI())</f>
        <v>0</v>
      </c>
    </row>
    <row r="1806" spans="1:10" x14ac:dyDescent="0.2">
      <c r="A1806" s="20"/>
      <c r="B1806" s="6" t="s">
        <v>21</v>
      </c>
      <c r="C1806" s="23"/>
      <c r="D1806">
        <v>354</v>
      </c>
      <c r="E1806">
        <v>1.7270000000000001</v>
      </c>
      <c r="F1806">
        <v>3.1579999999999999</v>
      </c>
      <c r="G1806">
        <v>4.4329999999999998</v>
      </c>
      <c r="H1806">
        <f t="shared" ref="H1806:H1840" si="138">(F1806-(G1806-E1806))/F1806</f>
        <v>0.1431285623812541</v>
      </c>
      <c r="I1806">
        <f t="shared" ref="I1806:I1840" si="139">D1806-H1806*D1806</f>
        <v>303.33248891703607</v>
      </c>
      <c r="J1806" s="11" t="e">
        <f t="shared" si="137"/>
        <v>#DIV/0!</v>
      </c>
    </row>
    <row r="1807" spans="1:10" x14ac:dyDescent="0.2">
      <c r="A1807" s="25"/>
      <c r="B1807" s="8" t="s">
        <v>22</v>
      </c>
      <c r="C1807" s="26"/>
      <c r="D1807" s="7"/>
      <c r="E1807" s="7">
        <v>1.7310000000000001</v>
      </c>
      <c r="F1807" s="7">
        <v>3.6190000000000002</v>
      </c>
      <c r="G1807" s="7">
        <v>4.8499999999999996</v>
      </c>
      <c r="H1807" s="7">
        <f t="shared" si="138"/>
        <v>0.13815971262779786</v>
      </c>
      <c r="I1807" s="7">
        <f t="shared" si="139"/>
        <v>0</v>
      </c>
      <c r="J1807" s="12" t="e">
        <f t="shared" si="137"/>
        <v>#DIV/0!</v>
      </c>
    </row>
    <row r="1808" spans="1:10" x14ac:dyDescent="0.2">
      <c r="A1808" s="19" t="s">
        <v>4</v>
      </c>
      <c r="B1808" s="5" t="s">
        <v>20</v>
      </c>
      <c r="C1808" s="23">
        <v>10</v>
      </c>
      <c r="E1808">
        <v>1.736</v>
      </c>
      <c r="F1808">
        <v>3.431</v>
      </c>
      <c r="G1808">
        <v>4.7149999999999999</v>
      </c>
      <c r="H1808" s="4">
        <f t="shared" si="138"/>
        <v>0.13174001748761294</v>
      </c>
      <c r="I1808" s="4">
        <f t="shared" si="139"/>
        <v>0</v>
      </c>
      <c r="J1808" s="10">
        <f t="shared" si="137"/>
        <v>0</v>
      </c>
    </row>
    <row r="1809" spans="1:10" x14ac:dyDescent="0.2">
      <c r="A1809" s="20"/>
      <c r="B1809" s="6" t="s">
        <v>21</v>
      </c>
      <c r="C1809" s="23"/>
      <c r="D1809">
        <v>695</v>
      </c>
      <c r="E1809">
        <v>1.7310000000000001</v>
      </c>
      <c r="F1809">
        <v>3.0430000000000001</v>
      </c>
      <c r="G1809">
        <v>4.4539999999999997</v>
      </c>
      <c r="H1809">
        <f t="shared" si="138"/>
        <v>0.10515938218862973</v>
      </c>
      <c r="I1809">
        <f t="shared" si="139"/>
        <v>621.91422937890229</v>
      </c>
      <c r="J1809" s="11" t="e">
        <f t="shared" si="137"/>
        <v>#DIV/0!</v>
      </c>
    </row>
    <row r="1810" spans="1:10" x14ac:dyDescent="0.2">
      <c r="A1810" s="25"/>
      <c r="B1810" s="8" t="s">
        <v>22</v>
      </c>
      <c r="C1810" s="26"/>
      <c r="D1810" s="7"/>
      <c r="E1810" s="7">
        <v>1.7130000000000001</v>
      </c>
      <c r="F1810" s="7">
        <v>3.0379999999999998</v>
      </c>
      <c r="G1810" s="7">
        <v>4.3760000000000003</v>
      </c>
      <c r="H1810" s="7">
        <f t="shared" si="138"/>
        <v>0.12343647136273851</v>
      </c>
      <c r="I1810" s="7">
        <f t="shared" si="139"/>
        <v>0</v>
      </c>
      <c r="J1810" s="12" t="e">
        <f t="shared" si="137"/>
        <v>#DIV/0!</v>
      </c>
    </row>
    <row r="1811" spans="1:10" x14ac:dyDescent="0.2">
      <c r="A1811" s="19" t="s">
        <v>5</v>
      </c>
      <c r="B1811" s="5" t="s">
        <v>20</v>
      </c>
      <c r="C1811" s="22">
        <v>10</v>
      </c>
      <c r="D1811" s="4"/>
      <c r="E1811" s="4">
        <v>1.7470000000000001</v>
      </c>
      <c r="F1811" s="4">
        <v>3.089</v>
      </c>
      <c r="G1811" s="4">
        <v>4.5720000000000001</v>
      </c>
      <c r="H1811" s="4">
        <f t="shared" si="138"/>
        <v>8.5464551634833213E-2</v>
      </c>
      <c r="I1811" s="4">
        <f t="shared" si="139"/>
        <v>0</v>
      </c>
      <c r="J1811" s="10">
        <f t="shared" si="137"/>
        <v>0</v>
      </c>
    </row>
    <row r="1812" spans="1:10" x14ac:dyDescent="0.2">
      <c r="A1812" s="20"/>
      <c r="B1812" s="6" t="s">
        <v>21</v>
      </c>
      <c r="C1812" s="23"/>
      <c r="D1812">
        <v>860</v>
      </c>
      <c r="E1812">
        <v>1.716</v>
      </c>
      <c r="F1812">
        <v>3.3109999999999999</v>
      </c>
      <c r="G1812">
        <v>4.8280000000000003</v>
      </c>
      <c r="H1812">
        <f t="shared" si="138"/>
        <v>6.0102688009664708E-2</v>
      </c>
      <c r="I1812">
        <f t="shared" si="139"/>
        <v>808.31168831168839</v>
      </c>
      <c r="J1812" s="11" t="e">
        <f t="shared" si="137"/>
        <v>#DIV/0!</v>
      </c>
    </row>
    <row r="1813" spans="1:10" x14ac:dyDescent="0.2">
      <c r="A1813" s="25"/>
      <c r="B1813" s="8" t="s">
        <v>22</v>
      </c>
      <c r="C1813" s="26"/>
      <c r="D1813" s="7"/>
      <c r="E1813" s="7">
        <v>1.706</v>
      </c>
      <c r="F1813" s="7">
        <v>3.2559999999999998</v>
      </c>
      <c r="G1813" s="7">
        <v>4.6180000000000003</v>
      </c>
      <c r="H1813" s="7">
        <f t="shared" si="138"/>
        <v>0.10565110565110548</v>
      </c>
      <c r="I1813" s="7">
        <f t="shared" si="139"/>
        <v>0</v>
      </c>
      <c r="J1813" s="12" t="e">
        <f t="shared" si="137"/>
        <v>#DIV/0!</v>
      </c>
    </row>
    <row r="1814" spans="1:10" x14ac:dyDescent="0.2">
      <c r="A1814" s="19" t="s">
        <v>6</v>
      </c>
      <c r="B1814" s="5" t="s">
        <v>20</v>
      </c>
      <c r="C1814" s="22">
        <v>10</v>
      </c>
      <c r="D1814" s="4"/>
      <c r="E1814" s="4">
        <v>1.7170000000000001</v>
      </c>
      <c r="F1814" s="4">
        <v>3.8109999999999999</v>
      </c>
      <c r="G1814" s="4">
        <v>5.3010000000000002</v>
      </c>
      <c r="H1814" s="4">
        <f t="shared" si="138"/>
        <v>5.9564418787719724E-2</v>
      </c>
      <c r="I1814" s="4">
        <f t="shared" si="139"/>
        <v>0</v>
      </c>
      <c r="J1814" s="10">
        <f t="shared" si="137"/>
        <v>0</v>
      </c>
    </row>
    <row r="1815" spans="1:10" x14ac:dyDescent="0.2">
      <c r="A1815" s="20"/>
      <c r="B1815" s="6" t="s">
        <v>21</v>
      </c>
      <c r="C1815" s="23"/>
      <c r="D1815">
        <v>837</v>
      </c>
      <c r="E1815">
        <v>1.74</v>
      </c>
      <c r="F1815">
        <v>3.3220000000000001</v>
      </c>
      <c r="G1815">
        <v>4.67</v>
      </c>
      <c r="H1815">
        <f t="shared" si="138"/>
        <v>0.11800120409391943</v>
      </c>
      <c r="I1815">
        <f t="shared" si="139"/>
        <v>738.23299217338945</v>
      </c>
      <c r="J1815" s="11" t="e">
        <f t="shared" si="137"/>
        <v>#DIV/0!</v>
      </c>
    </row>
    <row r="1816" spans="1:10" x14ac:dyDescent="0.2">
      <c r="A1816" s="25"/>
      <c r="B1816" s="8" t="s">
        <v>22</v>
      </c>
      <c r="C1816" s="26"/>
      <c r="D1816" s="7"/>
      <c r="E1816" s="7">
        <v>1.7170000000000001</v>
      </c>
      <c r="F1816" s="7">
        <v>3.92</v>
      </c>
      <c r="G1816" s="7">
        <v>5.3730000000000002</v>
      </c>
      <c r="H1816" s="7">
        <f t="shared" si="138"/>
        <v>6.7346938775510151E-2</v>
      </c>
      <c r="I1816" s="7">
        <f t="shared" si="139"/>
        <v>0</v>
      </c>
      <c r="J1816" s="12" t="e">
        <f t="shared" si="137"/>
        <v>#DIV/0!</v>
      </c>
    </row>
    <row r="1817" spans="1:10" x14ac:dyDescent="0.2">
      <c r="A1817" s="19" t="s">
        <v>7</v>
      </c>
      <c r="B1817" s="5" t="s">
        <v>20</v>
      </c>
      <c r="C1817" s="22">
        <v>10</v>
      </c>
      <c r="D1817" s="4"/>
      <c r="E1817" s="4">
        <v>1.7210000000000001</v>
      </c>
      <c r="F1817" s="4">
        <v>3.8839999999999999</v>
      </c>
      <c r="G1817" s="4">
        <v>5.37</v>
      </c>
      <c r="H1817" s="4">
        <f t="shared" si="138"/>
        <v>6.050463439752829E-2</v>
      </c>
      <c r="I1817" s="4">
        <f t="shared" si="139"/>
        <v>0</v>
      </c>
      <c r="J1817" s="10">
        <f t="shared" si="137"/>
        <v>0</v>
      </c>
    </row>
    <row r="1818" spans="1:10" x14ac:dyDescent="0.2">
      <c r="A1818" s="20"/>
      <c r="B1818" s="6" t="s">
        <v>21</v>
      </c>
      <c r="C1818" s="23"/>
      <c r="D1818">
        <v>839</v>
      </c>
      <c r="E1818">
        <v>1.728</v>
      </c>
      <c r="F1818">
        <v>3.1230000000000002</v>
      </c>
      <c r="G1818">
        <v>4.6459999999999999</v>
      </c>
      <c r="H1818">
        <f t="shared" si="138"/>
        <v>6.564201088696768E-2</v>
      </c>
      <c r="I1818">
        <f t="shared" si="139"/>
        <v>783.92635286583413</v>
      </c>
      <c r="J1818" s="11" t="e">
        <f t="shared" si="137"/>
        <v>#DIV/0!</v>
      </c>
    </row>
    <row r="1819" spans="1:10" x14ac:dyDescent="0.2">
      <c r="A1819" s="25"/>
      <c r="B1819" s="8" t="s">
        <v>22</v>
      </c>
      <c r="C1819" s="26"/>
      <c r="D1819" s="7"/>
      <c r="E1819" s="7">
        <v>1.716</v>
      </c>
      <c r="F1819" s="7">
        <v>3.2269999999999999</v>
      </c>
      <c r="G1819" s="7">
        <v>4.7859999999999996</v>
      </c>
      <c r="H1819" s="7">
        <f t="shared" si="138"/>
        <v>4.8651998760458781E-2</v>
      </c>
      <c r="I1819" s="7">
        <f t="shared" si="139"/>
        <v>0</v>
      </c>
      <c r="J1819" s="12" t="e">
        <f t="shared" si="137"/>
        <v>#DIV/0!</v>
      </c>
    </row>
    <row r="1820" spans="1:10" x14ac:dyDescent="0.2">
      <c r="A1820" s="19" t="s">
        <v>8</v>
      </c>
      <c r="B1820" s="5" t="s">
        <v>20</v>
      </c>
      <c r="C1820" s="22">
        <v>10</v>
      </c>
      <c r="D1820" s="4"/>
      <c r="E1820" s="4">
        <v>1.748</v>
      </c>
      <c r="F1820" s="4">
        <v>3.944</v>
      </c>
      <c r="G1820" s="4">
        <v>5.4740000000000002</v>
      </c>
      <c r="H1820" s="4">
        <f t="shared" si="138"/>
        <v>5.527383367139959E-2</v>
      </c>
      <c r="I1820" s="4">
        <f t="shared" si="139"/>
        <v>0</v>
      </c>
      <c r="J1820" s="10">
        <f t="shared" si="137"/>
        <v>0</v>
      </c>
    </row>
    <row r="1821" spans="1:10" x14ac:dyDescent="0.2">
      <c r="A1821" s="20"/>
      <c r="B1821" s="6" t="s">
        <v>21</v>
      </c>
      <c r="C1821" s="23"/>
      <c r="D1821">
        <v>921</v>
      </c>
      <c r="E1821">
        <v>1.716</v>
      </c>
      <c r="F1821">
        <v>3.1379999999999999</v>
      </c>
      <c r="G1821">
        <v>4.6870000000000003</v>
      </c>
      <c r="H1821">
        <f t="shared" si="138"/>
        <v>5.3218610579987197E-2</v>
      </c>
      <c r="I1821">
        <f t="shared" si="139"/>
        <v>871.9856596558318</v>
      </c>
      <c r="J1821" s="11" t="e">
        <f t="shared" si="137"/>
        <v>#DIV/0!</v>
      </c>
    </row>
    <row r="1822" spans="1:10" x14ac:dyDescent="0.2">
      <c r="A1822" s="25"/>
      <c r="B1822" s="8" t="s">
        <v>22</v>
      </c>
      <c r="C1822" s="26"/>
      <c r="D1822" s="7"/>
      <c r="E1822" s="7">
        <v>1.712</v>
      </c>
      <c r="F1822" s="7">
        <v>3.7559999999999998</v>
      </c>
      <c r="G1822" s="7">
        <v>5.26</v>
      </c>
      <c r="H1822" s="7">
        <f t="shared" si="138"/>
        <v>5.5378061767838063E-2</v>
      </c>
      <c r="I1822" s="7">
        <f t="shared" si="139"/>
        <v>0</v>
      </c>
      <c r="J1822" s="12" t="e">
        <f t="shared" si="137"/>
        <v>#DIV/0!</v>
      </c>
    </row>
    <row r="1823" spans="1:10" x14ac:dyDescent="0.2">
      <c r="A1823" s="19" t="s">
        <v>9</v>
      </c>
      <c r="B1823" s="5" t="s">
        <v>20</v>
      </c>
      <c r="C1823" s="22">
        <v>10</v>
      </c>
      <c r="D1823" s="4"/>
      <c r="E1823" s="4">
        <v>1.7150000000000001</v>
      </c>
      <c r="F1823" s="4">
        <v>3.6190000000000002</v>
      </c>
      <c r="G1823" s="4">
        <v>4.7699999999999996</v>
      </c>
      <c r="H1823" s="4">
        <f t="shared" si="138"/>
        <v>0.15584415584415598</v>
      </c>
      <c r="I1823" s="4">
        <f t="shared" si="139"/>
        <v>0</v>
      </c>
      <c r="J1823" s="10">
        <f t="shared" si="137"/>
        <v>0</v>
      </c>
    </row>
    <row r="1824" spans="1:10" x14ac:dyDescent="0.2">
      <c r="A1824" s="20"/>
      <c r="B1824" s="6" t="s">
        <v>21</v>
      </c>
      <c r="C1824" s="23"/>
      <c r="D1824">
        <v>1165</v>
      </c>
      <c r="E1824">
        <v>1.736</v>
      </c>
      <c r="F1824">
        <v>3.1070000000000002</v>
      </c>
      <c r="G1824">
        <v>4.3049999999999997</v>
      </c>
      <c r="H1824">
        <f t="shared" si="138"/>
        <v>0.17315738654650795</v>
      </c>
      <c r="I1824">
        <f t="shared" si="139"/>
        <v>963.27164467331818</v>
      </c>
      <c r="J1824" s="11" t="e">
        <f t="shared" si="137"/>
        <v>#DIV/0!</v>
      </c>
    </row>
    <row r="1825" spans="1:10" x14ac:dyDescent="0.2">
      <c r="A1825" s="25"/>
      <c r="B1825" s="8" t="s">
        <v>22</v>
      </c>
      <c r="C1825" s="26"/>
      <c r="D1825" s="7"/>
      <c r="E1825" s="7">
        <v>1.738</v>
      </c>
      <c r="F1825" s="7">
        <v>3.3820000000000001</v>
      </c>
      <c r="G1825" s="7">
        <v>4.548</v>
      </c>
      <c r="H1825" s="7">
        <f t="shared" si="138"/>
        <v>0.16913069189828506</v>
      </c>
      <c r="I1825" s="7">
        <f t="shared" si="139"/>
        <v>0</v>
      </c>
      <c r="J1825" s="12" t="e">
        <f t="shared" si="137"/>
        <v>#DIV/0!</v>
      </c>
    </row>
    <row r="1826" spans="1:10" x14ac:dyDescent="0.2">
      <c r="A1826" s="19" t="s">
        <v>10</v>
      </c>
      <c r="B1826" s="5" t="s">
        <v>20</v>
      </c>
      <c r="C1826" s="22">
        <v>10</v>
      </c>
      <c r="D1826" s="4"/>
      <c r="E1826" s="4">
        <v>1.7290000000000001</v>
      </c>
      <c r="F1826" s="4">
        <v>3.359</v>
      </c>
      <c r="G1826" s="4">
        <v>4.6379999999999999</v>
      </c>
      <c r="H1826" s="4">
        <f t="shared" si="138"/>
        <v>0.13396844298898486</v>
      </c>
      <c r="I1826" s="4">
        <f t="shared" si="139"/>
        <v>0</v>
      </c>
      <c r="J1826" s="10">
        <f t="shared" si="137"/>
        <v>0</v>
      </c>
    </row>
    <row r="1827" spans="1:10" x14ac:dyDescent="0.2">
      <c r="A1827" s="20"/>
      <c r="B1827" s="6" t="s">
        <v>21</v>
      </c>
      <c r="C1827" s="23"/>
      <c r="D1827">
        <v>996</v>
      </c>
      <c r="E1827">
        <v>1.718</v>
      </c>
      <c r="F1827">
        <v>3.4169999999999998</v>
      </c>
      <c r="G1827">
        <v>4.444</v>
      </c>
      <c r="H1827">
        <f t="shared" si="138"/>
        <v>0.20222417325139008</v>
      </c>
      <c r="I1827">
        <f t="shared" si="139"/>
        <v>794.58472344161544</v>
      </c>
      <c r="J1827" s="11" t="e">
        <f t="shared" si="137"/>
        <v>#DIV/0!</v>
      </c>
    </row>
    <row r="1828" spans="1:10" x14ac:dyDescent="0.2">
      <c r="A1828" s="25"/>
      <c r="B1828" s="8" t="s">
        <v>22</v>
      </c>
      <c r="C1828" s="26"/>
      <c r="D1828" s="7"/>
      <c r="E1828" s="7">
        <v>1.7230000000000001</v>
      </c>
      <c r="F1828" s="7">
        <v>3.2349999999999999</v>
      </c>
      <c r="G1828" s="7">
        <v>4.3949999999999996</v>
      </c>
      <c r="H1828" s="7">
        <f t="shared" si="138"/>
        <v>0.17403400309119016</v>
      </c>
      <c r="I1828" s="7">
        <f t="shared" si="139"/>
        <v>0</v>
      </c>
      <c r="J1828" s="12" t="e">
        <f t="shared" si="137"/>
        <v>#DIV/0!</v>
      </c>
    </row>
    <row r="1829" spans="1:10" x14ac:dyDescent="0.2">
      <c r="A1829" s="19" t="s">
        <v>11</v>
      </c>
      <c r="B1829" s="5" t="s">
        <v>20</v>
      </c>
      <c r="C1829" s="22">
        <v>10</v>
      </c>
      <c r="D1829" s="4"/>
      <c r="E1829" s="4"/>
      <c r="F1829" s="4"/>
      <c r="G1829" s="4"/>
      <c r="H1829" s="4" t="e">
        <f t="shared" si="138"/>
        <v>#DIV/0!</v>
      </c>
      <c r="I1829" s="4" t="e">
        <f t="shared" si="139"/>
        <v>#DIV/0!</v>
      </c>
      <c r="J1829" s="10" t="e">
        <f t="shared" si="137"/>
        <v>#DIV/0!</v>
      </c>
    </row>
    <row r="1830" spans="1:10" x14ac:dyDescent="0.2">
      <c r="A1830" s="20"/>
      <c r="B1830" s="6" t="s">
        <v>21</v>
      </c>
      <c r="C1830" s="23"/>
      <c r="H1830" t="e">
        <f t="shared" si="138"/>
        <v>#DIV/0!</v>
      </c>
      <c r="I1830" t="e">
        <f t="shared" si="139"/>
        <v>#DIV/0!</v>
      </c>
      <c r="J1830" s="11" t="e">
        <f t="shared" si="137"/>
        <v>#DIV/0!</v>
      </c>
    </row>
    <row r="1831" spans="1:10" x14ac:dyDescent="0.2">
      <c r="A1831" s="25"/>
      <c r="B1831" s="8" t="s">
        <v>22</v>
      </c>
      <c r="C1831" s="26"/>
      <c r="D1831" s="7"/>
      <c r="E1831" s="7"/>
      <c r="F1831" s="7"/>
      <c r="G1831" s="7"/>
      <c r="H1831" s="7" t="e">
        <f t="shared" si="138"/>
        <v>#DIV/0!</v>
      </c>
      <c r="I1831" s="7" t="e">
        <f t="shared" si="139"/>
        <v>#DIV/0!</v>
      </c>
      <c r="J1831" s="12" t="e">
        <f t="shared" si="137"/>
        <v>#DIV/0!</v>
      </c>
    </row>
    <row r="1832" spans="1:10" x14ac:dyDescent="0.2">
      <c r="A1832" s="19" t="s">
        <v>12</v>
      </c>
      <c r="B1832" s="5" t="s">
        <v>20</v>
      </c>
      <c r="C1832" s="22">
        <v>10</v>
      </c>
      <c r="D1832" s="4"/>
      <c r="E1832" s="4"/>
      <c r="F1832" s="4"/>
      <c r="G1832" s="4"/>
      <c r="H1832" s="4" t="e">
        <f t="shared" si="138"/>
        <v>#DIV/0!</v>
      </c>
      <c r="I1832" s="4" t="e">
        <f t="shared" si="139"/>
        <v>#DIV/0!</v>
      </c>
      <c r="J1832" s="10" t="e">
        <f t="shared" si="137"/>
        <v>#DIV/0!</v>
      </c>
    </row>
    <row r="1833" spans="1:10" x14ac:dyDescent="0.2">
      <c r="A1833" s="20"/>
      <c r="B1833" s="6" t="s">
        <v>21</v>
      </c>
      <c r="C1833" s="23"/>
      <c r="H1833" t="e">
        <f t="shared" si="138"/>
        <v>#DIV/0!</v>
      </c>
      <c r="I1833" t="e">
        <f t="shared" si="139"/>
        <v>#DIV/0!</v>
      </c>
      <c r="J1833" s="11" t="e">
        <f t="shared" si="137"/>
        <v>#DIV/0!</v>
      </c>
    </row>
    <row r="1834" spans="1:10" x14ac:dyDescent="0.2">
      <c r="A1834" s="25"/>
      <c r="B1834" s="8" t="s">
        <v>22</v>
      </c>
      <c r="C1834" s="26"/>
      <c r="D1834" s="7"/>
      <c r="E1834" s="7"/>
      <c r="F1834" s="7"/>
      <c r="G1834" s="7"/>
      <c r="H1834" s="7" t="e">
        <f t="shared" si="138"/>
        <v>#DIV/0!</v>
      </c>
      <c r="I1834" s="7" t="e">
        <f t="shared" si="139"/>
        <v>#DIV/0!</v>
      </c>
      <c r="J1834" s="12" t="e">
        <f t="shared" si="137"/>
        <v>#DIV/0!</v>
      </c>
    </row>
    <row r="1835" spans="1:10" x14ac:dyDescent="0.2">
      <c r="A1835" s="19" t="s">
        <v>13</v>
      </c>
      <c r="B1835" s="5" t="s">
        <v>20</v>
      </c>
      <c r="C1835" s="22">
        <v>10</v>
      </c>
      <c r="D1835" s="4"/>
      <c r="E1835" s="4"/>
      <c r="F1835" s="4"/>
      <c r="G1835" s="4"/>
      <c r="H1835" s="4" t="e">
        <f t="shared" si="138"/>
        <v>#DIV/0!</v>
      </c>
      <c r="I1835" s="4" t="e">
        <f t="shared" si="139"/>
        <v>#DIV/0!</v>
      </c>
      <c r="J1835" s="10" t="e">
        <f t="shared" si="137"/>
        <v>#DIV/0!</v>
      </c>
    </row>
    <row r="1836" spans="1:10" x14ac:dyDescent="0.2">
      <c r="A1836" s="20"/>
      <c r="B1836" s="6" t="s">
        <v>21</v>
      </c>
      <c r="C1836" s="23"/>
      <c r="H1836" t="e">
        <f t="shared" si="138"/>
        <v>#DIV/0!</v>
      </c>
      <c r="I1836" t="e">
        <f t="shared" si="139"/>
        <v>#DIV/0!</v>
      </c>
      <c r="J1836" s="11" t="e">
        <f t="shared" si="137"/>
        <v>#DIV/0!</v>
      </c>
    </row>
    <row r="1837" spans="1:10" x14ac:dyDescent="0.2">
      <c r="A1837" s="25"/>
      <c r="B1837" s="8" t="s">
        <v>22</v>
      </c>
      <c r="C1837" s="26"/>
      <c r="D1837" s="7"/>
      <c r="E1837" s="7"/>
      <c r="F1837" s="7"/>
      <c r="G1837" s="7"/>
      <c r="H1837" s="7" t="e">
        <f t="shared" si="138"/>
        <v>#DIV/0!</v>
      </c>
      <c r="I1837" s="7" t="e">
        <f t="shared" si="139"/>
        <v>#DIV/0!</v>
      </c>
      <c r="J1837" s="12" t="e">
        <f t="shared" si="137"/>
        <v>#DIV/0!</v>
      </c>
    </row>
    <row r="1838" spans="1:10" x14ac:dyDescent="0.2">
      <c r="A1838" s="19" t="s">
        <v>14</v>
      </c>
      <c r="B1838" s="5" t="s">
        <v>20</v>
      </c>
      <c r="C1838" s="22">
        <v>10</v>
      </c>
      <c r="D1838" s="4"/>
      <c r="E1838" s="4"/>
      <c r="F1838" s="4"/>
      <c r="G1838" s="4"/>
      <c r="H1838" s="4" t="e">
        <f t="shared" si="138"/>
        <v>#DIV/0!</v>
      </c>
      <c r="I1838" s="4" t="e">
        <f t="shared" si="139"/>
        <v>#DIV/0!</v>
      </c>
      <c r="J1838" s="10" t="e">
        <f t="shared" si="137"/>
        <v>#DIV/0!</v>
      </c>
    </row>
    <row r="1839" spans="1:10" x14ac:dyDescent="0.2">
      <c r="A1839" s="20"/>
      <c r="B1839" s="6" t="s">
        <v>21</v>
      </c>
      <c r="C1839" s="23"/>
      <c r="H1839" t="e">
        <f t="shared" si="138"/>
        <v>#DIV/0!</v>
      </c>
      <c r="I1839" t="e">
        <f t="shared" si="139"/>
        <v>#DIV/0!</v>
      </c>
      <c r="J1839" s="11" t="e">
        <f t="shared" si="137"/>
        <v>#DIV/0!</v>
      </c>
    </row>
    <row r="1840" spans="1:10" ht="16" thickBot="1" x14ac:dyDescent="0.25">
      <c r="A1840" s="21"/>
      <c r="B1840" s="15" t="s">
        <v>22</v>
      </c>
      <c r="C1840" s="24"/>
      <c r="D1840" s="13"/>
      <c r="E1840" s="13"/>
      <c r="F1840" s="13"/>
      <c r="G1840" s="13"/>
      <c r="H1840" s="13" t="e">
        <f t="shared" si="138"/>
        <v>#DIV/0!</v>
      </c>
      <c r="I1840" s="13" t="e">
        <f t="shared" si="139"/>
        <v>#DIV/0!</v>
      </c>
      <c r="J1840" s="14" t="e">
        <f t="shared" si="137"/>
        <v>#DIV/0!</v>
      </c>
    </row>
    <row r="1841" spans="1:10" ht="16" thickBot="1" x14ac:dyDescent="0.25">
      <c r="A1841" s="44" t="s">
        <v>1</v>
      </c>
      <c r="B1841" s="33"/>
      <c r="C1841" s="33"/>
      <c r="D1841" s="33" t="s">
        <v>55</v>
      </c>
      <c r="E1841" s="34"/>
      <c r="F1841" s="9" t="s">
        <v>0</v>
      </c>
      <c r="G1841" s="18">
        <v>44157</v>
      </c>
      <c r="H1841" s="35" t="s">
        <v>24</v>
      </c>
      <c r="I1841" s="36"/>
      <c r="J1841" s="1">
        <v>110</v>
      </c>
    </row>
    <row r="1842" spans="1:10" ht="16" thickBot="1" x14ac:dyDescent="0.25">
      <c r="A1842" s="37" t="s">
        <v>2</v>
      </c>
      <c r="B1842" s="38"/>
      <c r="C1842" s="38"/>
      <c r="D1842" s="38"/>
      <c r="E1842" s="39"/>
      <c r="F1842" s="40"/>
      <c r="G1842" s="41"/>
      <c r="H1842" s="42" t="s">
        <v>25</v>
      </c>
      <c r="I1842" s="43"/>
      <c r="J1842" s="2">
        <v>28</v>
      </c>
    </row>
    <row r="1843" spans="1:10" ht="16" thickBot="1" x14ac:dyDescent="0.25">
      <c r="A1843" s="45" t="s">
        <v>27</v>
      </c>
      <c r="B1843" s="27"/>
      <c r="C1843" s="27"/>
      <c r="D1843" s="27" t="s">
        <v>36</v>
      </c>
      <c r="E1843" s="28"/>
      <c r="F1843" s="16" t="s">
        <v>30</v>
      </c>
      <c r="G1843" s="16">
        <v>3.81</v>
      </c>
      <c r="H1843" s="29" t="s">
        <v>26</v>
      </c>
      <c r="I1843" s="30"/>
      <c r="J1843" s="3">
        <v>51</v>
      </c>
    </row>
    <row r="1844" spans="1:10" x14ac:dyDescent="0.2">
      <c r="A1844" s="31"/>
      <c r="B1844" s="32"/>
      <c r="C1844" s="16" t="s">
        <v>29</v>
      </c>
      <c r="D1844" s="16" t="s">
        <v>19</v>
      </c>
      <c r="E1844" s="16" t="s">
        <v>15</v>
      </c>
      <c r="F1844" s="16" t="s">
        <v>18</v>
      </c>
      <c r="G1844" s="16" t="s">
        <v>17</v>
      </c>
      <c r="H1844" s="16" t="s">
        <v>28</v>
      </c>
      <c r="I1844" s="16" t="s">
        <v>16</v>
      </c>
      <c r="J1844" s="17" t="s">
        <v>23</v>
      </c>
    </row>
    <row r="1845" spans="1:10" x14ac:dyDescent="0.2">
      <c r="A1845" s="19" t="s">
        <v>3</v>
      </c>
      <c r="B1845" s="5" t="s">
        <v>20</v>
      </c>
      <c r="C1845" s="22">
        <v>10</v>
      </c>
      <c r="D1845" s="4"/>
      <c r="E1845" s="4">
        <v>2.4089999999999998</v>
      </c>
      <c r="F1845" s="4">
        <v>3.7959999999999998</v>
      </c>
      <c r="G1845" s="4">
        <v>5.2149999999999999</v>
      </c>
      <c r="H1845" s="4">
        <f>(F1845-(G1845-E1845))/F1845</f>
        <v>0.26080084299262379</v>
      </c>
      <c r="I1845" s="4">
        <f>D1845-H1845*D1845</f>
        <v>0</v>
      </c>
      <c r="J1845" s="10">
        <f t="shared" ref="J1845:J1880" si="140">I1845/($G$3^2*C1845*PI())</f>
        <v>0</v>
      </c>
    </row>
    <row r="1846" spans="1:10" x14ac:dyDescent="0.2">
      <c r="A1846" s="20"/>
      <c r="B1846" s="6" t="s">
        <v>21</v>
      </c>
      <c r="C1846" s="23"/>
      <c r="D1846">
        <v>590</v>
      </c>
      <c r="E1846">
        <v>2.4079999999999999</v>
      </c>
      <c r="F1846">
        <v>3.722</v>
      </c>
      <c r="G1846">
        <v>5.28</v>
      </c>
      <c r="H1846">
        <f t="shared" ref="H1846:H1880" si="141">(F1846-(G1846-E1846))/F1846</f>
        <v>0.22837184309511005</v>
      </c>
      <c r="I1846">
        <f t="shared" ref="I1846:I1880" si="142">D1846-H1846*D1846</f>
        <v>455.26061257388506</v>
      </c>
      <c r="J1846" s="11" t="e">
        <f t="shared" si="140"/>
        <v>#DIV/0!</v>
      </c>
    </row>
    <row r="1847" spans="1:10" x14ac:dyDescent="0.2">
      <c r="A1847" s="25"/>
      <c r="B1847" s="8" t="s">
        <v>22</v>
      </c>
      <c r="C1847" s="26"/>
      <c r="D1847" s="7"/>
      <c r="E1847" s="7">
        <v>2.4300000000000002</v>
      </c>
      <c r="F1847" s="7">
        <v>3.806</v>
      </c>
      <c r="G1847" s="7">
        <v>5.31</v>
      </c>
      <c r="H1847" s="7">
        <f t="shared" si="141"/>
        <v>0.24330005254860762</v>
      </c>
      <c r="I1847" s="7">
        <f t="shared" si="142"/>
        <v>0</v>
      </c>
      <c r="J1847" s="12" t="e">
        <f t="shared" si="140"/>
        <v>#DIV/0!</v>
      </c>
    </row>
    <row r="1848" spans="1:10" x14ac:dyDescent="0.2">
      <c r="A1848" s="19" t="s">
        <v>4</v>
      </c>
      <c r="B1848" s="5" t="s">
        <v>20</v>
      </c>
      <c r="C1848" s="23">
        <v>10</v>
      </c>
      <c r="E1848">
        <v>2.4820000000000002</v>
      </c>
      <c r="F1848">
        <v>3.4670000000000001</v>
      </c>
      <c r="G1848">
        <v>5.1479999999999997</v>
      </c>
      <c r="H1848" s="4">
        <f t="shared" si="141"/>
        <v>0.23103547735794652</v>
      </c>
      <c r="I1848" s="4">
        <f t="shared" si="142"/>
        <v>0</v>
      </c>
      <c r="J1848" s="10">
        <f t="shared" si="140"/>
        <v>0</v>
      </c>
    </row>
    <row r="1849" spans="1:10" x14ac:dyDescent="0.2">
      <c r="A1849" s="20"/>
      <c r="B1849" s="6" t="s">
        <v>21</v>
      </c>
      <c r="C1849" s="23"/>
      <c r="D1849">
        <v>644</v>
      </c>
      <c r="E1849">
        <v>2.4700000000000002</v>
      </c>
      <c r="F1849">
        <v>3.2530000000000001</v>
      </c>
      <c r="G1849">
        <v>5.0999999999999996</v>
      </c>
      <c r="H1849">
        <f t="shared" si="141"/>
        <v>0.19151552413157105</v>
      </c>
      <c r="I1849">
        <f t="shared" si="142"/>
        <v>520.6640024592682</v>
      </c>
      <c r="J1849" s="11" t="e">
        <f t="shared" si="140"/>
        <v>#DIV/0!</v>
      </c>
    </row>
    <row r="1850" spans="1:10" x14ac:dyDescent="0.2">
      <c r="A1850" s="25"/>
      <c r="B1850" s="8" t="s">
        <v>22</v>
      </c>
      <c r="C1850" s="26"/>
      <c r="D1850" s="7"/>
      <c r="E1850" s="7">
        <v>2.4670000000000001</v>
      </c>
      <c r="F1850" s="7">
        <v>3.2690000000000001</v>
      </c>
      <c r="G1850" s="7">
        <v>5.0529999999999999</v>
      </c>
      <c r="H1850" s="7">
        <f t="shared" si="141"/>
        <v>0.20893239522789853</v>
      </c>
      <c r="I1850" s="7">
        <f t="shared" si="142"/>
        <v>0</v>
      </c>
      <c r="J1850" s="12" t="e">
        <f t="shared" si="140"/>
        <v>#DIV/0!</v>
      </c>
    </row>
    <row r="1851" spans="1:10" x14ac:dyDescent="0.2">
      <c r="A1851" s="19" t="s">
        <v>5</v>
      </c>
      <c r="B1851" s="5" t="s">
        <v>20</v>
      </c>
      <c r="C1851" s="22">
        <v>10</v>
      </c>
      <c r="D1851" s="4"/>
      <c r="E1851" s="4">
        <v>2.4319999999999999</v>
      </c>
      <c r="F1851" s="4">
        <v>3.2229999999999999</v>
      </c>
      <c r="G1851" s="4">
        <v>5.0659999999999998</v>
      </c>
      <c r="H1851" s="4">
        <f t="shared" si="141"/>
        <v>0.18274899162271177</v>
      </c>
      <c r="I1851" s="4">
        <f t="shared" si="142"/>
        <v>0</v>
      </c>
      <c r="J1851" s="10">
        <f t="shared" si="140"/>
        <v>0</v>
      </c>
    </row>
    <row r="1852" spans="1:10" x14ac:dyDescent="0.2">
      <c r="A1852" s="20"/>
      <c r="B1852" s="6" t="s">
        <v>21</v>
      </c>
      <c r="C1852" s="23"/>
      <c r="D1852">
        <v>735</v>
      </c>
      <c r="E1852">
        <v>2.468</v>
      </c>
      <c r="F1852">
        <v>3.3929999999999998</v>
      </c>
      <c r="G1852">
        <v>5.2370000000000001</v>
      </c>
      <c r="H1852">
        <f t="shared" si="141"/>
        <v>0.18390804597701141</v>
      </c>
      <c r="I1852">
        <f t="shared" si="142"/>
        <v>599.82758620689663</v>
      </c>
      <c r="J1852" s="11" t="e">
        <f t="shared" si="140"/>
        <v>#DIV/0!</v>
      </c>
    </row>
    <row r="1853" spans="1:10" x14ac:dyDescent="0.2">
      <c r="A1853" s="25"/>
      <c r="B1853" s="8" t="s">
        <v>22</v>
      </c>
      <c r="C1853" s="26"/>
      <c r="D1853" s="7"/>
      <c r="E1853" s="7">
        <v>2.484</v>
      </c>
      <c r="F1853" s="7">
        <v>3.1309999999999998</v>
      </c>
      <c r="G1853" s="7">
        <v>5.0590000000000002</v>
      </c>
      <c r="H1853" s="7">
        <f t="shared" si="141"/>
        <v>0.17757904822740328</v>
      </c>
      <c r="I1853" s="7">
        <f t="shared" si="142"/>
        <v>0</v>
      </c>
      <c r="J1853" s="12" t="e">
        <f t="shared" si="140"/>
        <v>#DIV/0!</v>
      </c>
    </row>
    <row r="1854" spans="1:10" x14ac:dyDescent="0.2">
      <c r="A1854" s="19" t="s">
        <v>6</v>
      </c>
      <c r="B1854" s="5" t="s">
        <v>20</v>
      </c>
      <c r="C1854" s="22">
        <v>10</v>
      </c>
      <c r="D1854" s="4"/>
      <c r="E1854" s="4">
        <v>2.44</v>
      </c>
      <c r="F1854" s="4">
        <v>3.343</v>
      </c>
      <c r="G1854" s="4">
        <v>5.1859999999999999</v>
      </c>
      <c r="H1854" s="4">
        <f t="shared" si="141"/>
        <v>0.17858211187556086</v>
      </c>
      <c r="I1854" s="4">
        <f t="shared" si="142"/>
        <v>0</v>
      </c>
      <c r="J1854" s="10">
        <f t="shared" si="140"/>
        <v>0</v>
      </c>
    </row>
    <row r="1855" spans="1:10" x14ac:dyDescent="0.2">
      <c r="A1855" s="20"/>
      <c r="B1855" s="6" t="s">
        <v>21</v>
      </c>
      <c r="C1855" s="23"/>
      <c r="D1855">
        <v>797</v>
      </c>
      <c r="E1855">
        <v>2.4380000000000002</v>
      </c>
      <c r="F1855">
        <v>3.2290000000000001</v>
      </c>
      <c r="G1855">
        <v>5.0910000000000002</v>
      </c>
      <c r="H1855">
        <f t="shared" si="141"/>
        <v>0.17838340043357079</v>
      </c>
      <c r="I1855">
        <f t="shared" si="142"/>
        <v>654.82842985444404</v>
      </c>
      <c r="J1855" s="11" t="e">
        <f t="shared" si="140"/>
        <v>#DIV/0!</v>
      </c>
    </row>
    <row r="1856" spans="1:10" x14ac:dyDescent="0.2">
      <c r="A1856" s="25"/>
      <c r="B1856" s="8" t="s">
        <v>22</v>
      </c>
      <c r="C1856" s="26"/>
      <c r="D1856" s="7"/>
      <c r="E1856" s="7">
        <v>2.4849999999999999</v>
      </c>
      <c r="F1856" s="7">
        <v>3.19</v>
      </c>
      <c r="G1856" s="7">
        <v>5.0999999999999996</v>
      </c>
      <c r="H1856" s="7">
        <f t="shared" si="141"/>
        <v>0.18025078369905961</v>
      </c>
      <c r="I1856" s="7">
        <f t="shared" si="142"/>
        <v>0</v>
      </c>
      <c r="J1856" s="12" t="e">
        <f t="shared" si="140"/>
        <v>#DIV/0!</v>
      </c>
    </row>
    <row r="1857" spans="1:10" x14ac:dyDescent="0.2">
      <c r="A1857" s="19" t="s">
        <v>7</v>
      </c>
      <c r="B1857" s="5" t="s">
        <v>20</v>
      </c>
      <c r="C1857" s="22">
        <v>10</v>
      </c>
      <c r="D1857" s="4"/>
      <c r="E1857" s="4">
        <v>2.4169999999999998</v>
      </c>
      <c r="F1857" s="4">
        <v>3.3730000000000002</v>
      </c>
      <c r="G1857" s="4">
        <v>5.1230000000000002</v>
      </c>
      <c r="H1857" s="4">
        <f t="shared" si="141"/>
        <v>0.19774681292617841</v>
      </c>
      <c r="I1857" s="4">
        <f t="shared" si="142"/>
        <v>0</v>
      </c>
      <c r="J1857" s="10">
        <f t="shared" si="140"/>
        <v>0</v>
      </c>
    </row>
    <row r="1858" spans="1:10" x14ac:dyDescent="0.2">
      <c r="A1858" s="20"/>
      <c r="B1858" s="6" t="s">
        <v>21</v>
      </c>
      <c r="C1858" s="23"/>
      <c r="D1858">
        <v>786</v>
      </c>
      <c r="E1858">
        <v>2.4409999999999998</v>
      </c>
      <c r="F1858">
        <v>3.173</v>
      </c>
      <c r="G1858">
        <v>4.9909999999999997</v>
      </c>
      <c r="H1858">
        <f t="shared" si="141"/>
        <v>0.1963441537976679</v>
      </c>
      <c r="I1858">
        <f t="shared" si="142"/>
        <v>631.67349511503301</v>
      </c>
      <c r="J1858" s="11" t="e">
        <f t="shared" si="140"/>
        <v>#DIV/0!</v>
      </c>
    </row>
    <row r="1859" spans="1:10" x14ac:dyDescent="0.2">
      <c r="A1859" s="25"/>
      <c r="B1859" s="8" t="s">
        <v>22</v>
      </c>
      <c r="C1859" s="26"/>
      <c r="D1859" s="7"/>
      <c r="E1859" s="7">
        <v>2.4009999999999998</v>
      </c>
      <c r="F1859" s="7">
        <v>3.073</v>
      </c>
      <c r="G1859" s="7">
        <v>4.8860000000000001</v>
      </c>
      <c r="H1859" s="7">
        <f t="shared" si="141"/>
        <v>0.19134396355353064</v>
      </c>
      <c r="I1859" s="7">
        <f t="shared" si="142"/>
        <v>0</v>
      </c>
      <c r="J1859" s="12" t="e">
        <f t="shared" si="140"/>
        <v>#DIV/0!</v>
      </c>
    </row>
    <row r="1860" spans="1:10" x14ac:dyDescent="0.2">
      <c r="A1860" s="19" t="s">
        <v>8</v>
      </c>
      <c r="B1860" s="5" t="s">
        <v>20</v>
      </c>
      <c r="C1860" s="22">
        <v>10</v>
      </c>
      <c r="D1860" s="4"/>
      <c r="E1860" s="4">
        <v>2.423</v>
      </c>
      <c r="F1860" s="4">
        <v>3.6110000000000002</v>
      </c>
      <c r="G1860" s="4">
        <v>5.3250000000000002</v>
      </c>
      <c r="H1860" s="4">
        <f t="shared" si="141"/>
        <v>0.1963445029077818</v>
      </c>
      <c r="I1860" s="4">
        <f t="shared" si="142"/>
        <v>0</v>
      </c>
      <c r="J1860" s="10">
        <f t="shared" si="140"/>
        <v>0</v>
      </c>
    </row>
    <row r="1861" spans="1:10" x14ac:dyDescent="0.2">
      <c r="A1861" s="20"/>
      <c r="B1861" s="6" t="s">
        <v>21</v>
      </c>
      <c r="C1861" s="23"/>
      <c r="D1861">
        <v>859</v>
      </c>
      <c r="E1861">
        <v>2.4180000000000001</v>
      </c>
      <c r="F1861">
        <v>3.5510000000000002</v>
      </c>
      <c r="G1861">
        <v>5.2750000000000004</v>
      </c>
      <c r="H1861">
        <f t="shared" si="141"/>
        <v>0.19543790481554491</v>
      </c>
      <c r="I1861">
        <f t="shared" si="142"/>
        <v>691.11883976344689</v>
      </c>
      <c r="J1861" s="11" t="e">
        <f t="shared" si="140"/>
        <v>#DIV/0!</v>
      </c>
    </row>
    <row r="1862" spans="1:10" x14ac:dyDescent="0.2">
      <c r="A1862" s="25"/>
      <c r="B1862" s="8" t="s">
        <v>22</v>
      </c>
      <c r="C1862" s="26"/>
      <c r="D1862" s="7"/>
      <c r="E1862" s="7">
        <v>2.4470000000000001</v>
      </c>
      <c r="F1862" s="7">
        <v>3.0379999999999998</v>
      </c>
      <c r="G1862" s="7">
        <v>4.8600000000000003</v>
      </c>
      <c r="H1862" s="7">
        <f t="shared" si="141"/>
        <v>0.20572745227123093</v>
      </c>
      <c r="I1862" s="7">
        <f t="shared" si="142"/>
        <v>0</v>
      </c>
      <c r="J1862" s="12" t="e">
        <f t="shared" si="140"/>
        <v>#DIV/0!</v>
      </c>
    </row>
    <row r="1863" spans="1:10" x14ac:dyDescent="0.2">
      <c r="A1863" s="19" t="s">
        <v>9</v>
      </c>
      <c r="B1863" s="5" t="s">
        <v>20</v>
      </c>
      <c r="C1863" s="22">
        <v>10</v>
      </c>
      <c r="D1863" s="4"/>
      <c r="E1863" s="4">
        <v>2.4489999999999998</v>
      </c>
      <c r="F1863" s="4">
        <v>3.1629999999999998</v>
      </c>
      <c r="G1863" s="4">
        <v>5.0640000000000001</v>
      </c>
      <c r="H1863" s="4">
        <f t="shared" si="141"/>
        <v>0.1732532405943723</v>
      </c>
      <c r="I1863" s="4">
        <f t="shared" si="142"/>
        <v>0</v>
      </c>
      <c r="J1863" s="10">
        <f t="shared" si="140"/>
        <v>0</v>
      </c>
    </row>
    <row r="1864" spans="1:10" x14ac:dyDescent="0.2">
      <c r="A1864" s="20"/>
      <c r="B1864" s="6" t="s">
        <v>21</v>
      </c>
      <c r="C1864" s="23"/>
      <c r="D1864">
        <v>802</v>
      </c>
      <c r="E1864">
        <v>2.444</v>
      </c>
      <c r="F1864">
        <v>3.1240000000000001</v>
      </c>
      <c r="G1864">
        <v>5.9939999999999998</v>
      </c>
      <c r="H1864">
        <f t="shared" si="141"/>
        <v>-0.13636363636363627</v>
      </c>
      <c r="I1864">
        <f t="shared" si="142"/>
        <v>911.36363636363626</v>
      </c>
      <c r="J1864" s="11" t="e">
        <f t="shared" si="140"/>
        <v>#DIV/0!</v>
      </c>
    </row>
    <row r="1865" spans="1:10" x14ac:dyDescent="0.2">
      <c r="A1865" s="25"/>
      <c r="B1865" s="8" t="s">
        <v>22</v>
      </c>
      <c r="C1865" s="26"/>
      <c r="D1865" s="7"/>
      <c r="E1865" s="7">
        <v>2.4510000000000001</v>
      </c>
      <c r="F1865" s="7">
        <v>3.3050000000000002</v>
      </c>
      <c r="G1865" s="7">
        <v>5.14</v>
      </c>
      <c r="H1865" s="7">
        <f t="shared" si="141"/>
        <v>0.18638426626323767</v>
      </c>
      <c r="I1865" s="7">
        <f t="shared" si="142"/>
        <v>0</v>
      </c>
      <c r="J1865" s="12" t="e">
        <f t="shared" si="140"/>
        <v>#DIV/0!</v>
      </c>
    </row>
    <row r="1866" spans="1:10" x14ac:dyDescent="0.2">
      <c r="A1866" s="19" t="s">
        <v>10</v>
      </c>
      <c r="B1866" s="5" t="s">
        <v>20</v>
      </c>
      <c r="C1866" s="22">
        <v>10</v>
      </c>
      <c r="D1866" s="4"/>
      <c r="E1866" s="4">
        <v>2.4449999999999998</v>
      </c>
      <c r="F1866" s="4">
        <v>3.3090000000000002</v>
      </c>
      <c r="G1866" s="4">
        <v>5.0389999999999997</v>
      </c>
      <c r="H1866" s="4">
        <f t="shared" si="141"/>
        <v>0.21607736476276829</v>
      </c>
      <c r="I1866" s="4">
        <f t="shared" si="142"/>
        <v>0</v>
      </c>
      <c r="J1866" s="10">
        <f t="shared" si="140"/>
        <v>0</v>
      </c>
    </row>
    <row r="1867" spans="1:10" x14ac:dyDescent="0.2">
      <c r="A1867" s="20"/>
      <c r="B1867" s="6" t="s">
        <v>21</v>
      </c>
      <c r="C1867" s="23"/>
      <c r="D1867">
        <v>798</v>
      </c>
      <c r="E1867">
        <v>2.4470000000000001</v>
      </c>
      <c r="F1867">
        <v>3.3860000000000001</v>
      </c>
      <c r="G1867">
        <v>5.1950000000000003</v>
      </c>
      <c r="H1867">
        <f t="shared" si="141"/>
        <v>0.18842291789722382</v>
      </c>
      <c r="I1867">
        <f t="shared" si="142"/>
        <v>647.63851151801543</v>
      </c>
      <c r="J1867" s="11" t="e">
        <f t="shared" si="140"/>
        <v>#DIV/0!</v>
      </c>
    </row>
    <row r="1868" spans="1:10" x14ac:dyDescent="0.2">
      <c r="A1868" s="25"/>
      <c r="B1868" s="8" t="s">
        <v>22</v>
      </c>
      <c r="C1868" s="26"/>
      <c r="D1868" s="7"/>
      <c r="E1868" s="7">
        <v>2.468</v>
      </c>
      <c r="F1868" s="7">
        <v>3.4409999999999998</v>
      </c>
      <c r="G1868" s="7">
        <v>5.2130000000000001</v>
      </c>
      <c r="H1868" s="7">
        <f t="shared" si="141"/>
        <v>0.20226678291194414</v>
      </c>
      <c r="I1868" s="7">
        <f t="shared" si="142"/>
        <v>0</v>
      </c>
      <c r="J1868" s="12" t="e">
        <f t="shared" si="140"/>
        <v>#DIV/0!</v>
      </c>
    </row>
    <row r="1869" spans="1:10" x14ac:dyDescent="0.2">
      <c r="A1869" s="19" t="s">
        <v>11</v>
      </c>
      <c r="B1869" s="5" t="s">
        <v>20</v>
      </c>
      <c r="C1869" s="22">
        <v>10</v>
      </c>
      <c r="D1869" s="4"/>
      <c r="E1869" s="4">
        <v>2.4569999999999999</v>
      </c>
      <c r="F1869" s="4">
        <v>3.6230000000000002</v>
      </c>
      <c r="G1869" s="4">
        <v>5.3730000000000002</v>
      </c>
      <c r="H1869" s="4">
        <f t="shared" si="141"/>
        <v>0.1951421473916643</v>
      </c>
      <c r="I1869" s="4">
        <f t="shared" si="142"/>
        <v>0</v>
      </c>
      <c r="J1869" s="10">
        <f t="shared" si="140"/>
        <v>0</v>
      </c>
    </row>
    <row r="1870" spans="1:10" x14ac:dyDescent="0.2">
      <c r="A1870" s="20"/>
      <c r="B1870" s="6" t="s">
        <v>21</v>
      </c>
      <c r="C1870" s="23"/>
      <c r="D1870">
        <v>748</v>
      </c>
      <c r="E1870">
        <v>2.4409999999999998</v>
      </c>
      <c r="F1870">
        <v>3.5619999999999998</v>
      </c>
      <c r="G1870">
        <v>5.1210000000000004</v>
      </c>
      <c r="H1870">
        <f t="shared" si="141"/>
        <v>0.2476137001684445</v>
      </c>
      <c r="I1870">
        <f t="shared" si="142"/>
        <v>562.78495227400344</v>
      </c>
      <c r="J1870" s="11" t="e">
        <f t="shared" si="140"/>
        <v>#DIV/0!</v>
      </c>
    </row>
    <row r="1871" spans="1:10" x14ac:dyDescent="0.2">
      <c r="A1871" s="25"/>
      <c r="B1871" s="8" t="s">
        <v>22</v>
      </c>
      <c r="C1871" s="26"/>
      <c r="D1871" s="7"/>
      <c r="E1871" s="7">
        <v>2.431</v>
      </c>
      <c r="F1871" s="7">
        <v>3.4220000000000002</v>
      </c>
      <c r="G1871" s="7">
        <v>5.1849999999999996</v>
      </c>
      <c r="H1871" s="7">
        <f t="shared" si="141"/>
        <v>0.19520748100526025</v>
      </c>
      <c r="I1871" s="7">
        <f t="shared" si="142"/>
        <v>0</v>
      </c>
      <c r="J1871" s="12" t="e">
        <f t="shared" si="140"/>
        <v>#DIV/0!</v>
      </c>
    </row>
    <row r="1872" spans="1:10" x14ac:dyDescent="0.2">
      <c r="A1872" s="19" t="s">
        <v>12</v>
      </c>
      <c r="B1872" s="5" t="s">
        <v>20</v>
      </c>
      <c r="C1872" s="22">
        <v>10</v>
      </c>
      <c r="D1872" s="4"/>
      <c r="E1872" s="4">
        <v>2.4489999999999998</v>
      </c>
      <c r="F1872" s="4">
        <v>3.08</v>
      </c>
      <c r="G1872" s="4">
        <v>4.9160000000000004</v>
      </c>
      <c r="H1872" s="4">
        <f t="shared" si="141"/>
        <v>0.19902597402597388</v>
      </c>
      <c r="I1872" s="4">
        <f t="shared" si="142"/>
        <v>0</v>
      </c>
      <c r="J1872" s="10">
        <f t="shared" si="140"/>
        <v>0</v>
      </c>
    </row>
    <row r="1873" spans="1:10" x14ac:dyDescent="0.2">
      <c r="A1873" s="20"/>
      <c r="B1873" s="6" t="s">
        <v>21</v>
      </c>
      <c r="C1873" s="23"/>
      <c r="D1873">
        <v>754</v>
      </c>
      <c r="E1873">
        <v>2.444</v>
      </c>
      <c r="F1873">
        <v>3.9220000000000002</v>
      </c>
      <c r="G1873">
        <v>5.5350000000000001</v>
      </c>
      <c r="H1873">
        <f t="shared" si="141"/>
        <v>0.21188169301376847</v>
      </c>
      <c r="I1873">
        <f t="shared" si="142"/>
        <v>594.24120346761856</v>
      </c>
      <c r="J1873" s="11" t="e">
        <f t="shared" si="140"/>
        <v>#DIV/0!</v>
      </c>
    </row>
    <row r="1874" spans="1:10" x14ac:dyDescent="0.2">
      <c r="A1874" s="25"/>
      <c r="B1874" s="8" t="s">
        <v>22</v>
      </c>
      <c r="C1874" s="26"/>
      <c r="D1874" s="7"/>
      <c r="E1874" s="7">
        <v>2.427</v>
      </c>
      <c r="F1874" s="7">
        <v>3.3540000000000001</v>
      </c>
      <c r="G1874" s="7">
        <v>5.1349999999999998</v>
      </c>
      <c r="H1874" s="7">
        <f t="shared" si="141"/>
        <v>0.19260584376863457</v>
      </c>
      <c r="I1874" s="7">
        <f t="shared" si="142"/>
        <v>0</v>
      </c>
      <c r="J1874" s="12" t="e">
        <f t="shared" si="140"/>
        <v>#DIV/0!</v>
      </c>
    </row>
    <row r="1875" spans="1:10" x14ac:dyDescent="0.2">
      <c r="A1875" s="19" t="s">
        <v>13</v>
      </c>
      <c r="B1875" s="5" t="s">
        <v>20</v>
      </c>
      <c r="C1875" s="22">
        <v>10</v>
      </c>
      <c r="D1875" s="4"/>
      <c r="E1875" s="4">
        <v>2.444</v>
      </c>
      <c r="F1875" s="4">
        <v>3.1589999999999998</v>
      </c>
      <c r="G1875" s="4">
        <v>4.9829999999999997</v>
      </c>
      <c r="H1875" s="4">
        <f t="shared" si="141"/>
        <v>0.1962646407090852</v>
      </c>
      <c r="I1875" s="4">
        <f t="shared" si="142"/>
        <v>0</v>
      </c>
      <c r="J1875" s="10">
        <f t="shared" si="140"/>
        <v>0</v>
      </c>
    </row>
    <row r="1876" spans="1:10" x14ac:dyDescent="0.2">
      <c r="A1876" s="20"/>
      <c r="B1876" s="6" t="s">
        <v>21</v>
      </c>
      <c r="C1876" s="23"/>
      <c r="D1876">
        <v>828</v>
      </c>
      <c r="E1876">
        <v>2.4380000000000002</v>
      </c>
      <c r="F1876">
        <v>3.3530000000000002</v>
      </c>
      <c r="G1876">
        <v>5.1740000000000004</v>
      </c>
      <c r="H1876">
        <f t="shared" si="141"/>
        <v>0.18401431553832387</v>
      </c>
      <c r="I1876">
        <f t="shared" si="142"/>
        <v>675.63614673426787</v>
      </c>
      <c r="J1876" s="11" t="e">
        <f t="shared" si="140"/>
        <v>#DIV/0!</v>
      </c>
    </row>
    <row r="1877" spans="1:10" x14ac:dyDescent="0.2">
      <c r="A1877" s="25"/>
      <c r="B1877" s="8" t="s">
        <v>22</v>
      </c>
      <c r="C1877" s="26"/>
      <c r="D1877" s="7"/>
      <c r="E1877" s="7">
        <v>2.4449999999999998</v>
      </c>
      <c r="F1877" s="7">
        <v>3.145</v>
      </c>
      <c r="G1877" s="7">
        <v>5.01</v>
      </c>
      <c r="H1877" s="7">
        <f t="shared" si="141"/>
        <v>0.18441971383147857</v>
      </c>
      <c r="I1877" s="7">
        <f t="shared" si="142"/>
        <v>0</v>
      </c>
      <c r="J1877" s="12" t="e">
        <f t="shared" si="140"/>
        <v>#DIV/0!</v>
      </c>
    </row>
    <row r="1878" spans="1:10" x14ac:dyDescent="0.2">
      <c r="A1878" s="19" t="s">
        <v>14</v>
      </c>
      <c r="B1878" s="5" t="s">
        <v>20</v>
      </c>
      <c r="C1878" s="22">
        <v>10</v>
      </c>
      <c r="D1878" s="4"/>
      <c r="E1878" s="4"/>
      <c r="F1878" s="4"/>
      <c r="G1878" s="4"/>
      <c r="H1878" s="4" t="e">
        <f t="shared" si="141"/>
        <v>#DIV/0!</v>
      </c>
      <c r="I1878" s="4" t="e">
        <f t="shared" si="142"/>
        <v>#DIV/0!</v>
      </c>
      <c r="J1878" s="10" t="e">
        <f t="shared" si="140"/>
        <v>#DIV/0!</v>
      </c>
    </row>
    <row r="1879" spans="1:10" x14ac:dyDescent="0.2">
      <c r="A1879" s="20"/>
      <c r="B1879" s="6" t="s">
        <v>21</v>
      </c>
      <c r="C1879" s="23"/>
      <c r="H1879" t="e">
        <f t="shared" si="141"/>
        <v>#DIV/0!</v>
      </c>
      <c r="I1879" t="e">
        <f t="shared" si="142"/>
        <v>#DIV/0!</v>
      </c>
      <c r="J1879" s="11" t="e">
        <f t="shared" si="140"/>
        <v>#DIV/0!</v>
      </c>
    </row>
    <row r="1880" spans="1:10" ht="16" thickBot="1" x14ac:dyDescent="0.25">
      <c r="A1880" s="21"/>
      <c r="B1880" s="15" t="s">
        <v>22</v>
      </c>
      <c r="C1880" s="24"/>
      <c r="D1880" s="13"/>
      <c r="E1880" s="13"/>
      <c r="F1880" s="13"/>
      <c r="G1880" s="13"/>
      <c r="H1880" s="13" t="e">
        <f t="shared" si="141"/>
        <v>#DIV/0!</v>
      </c>
      <c r="I1880" s="13" t="e">
        <f t="shared" si="142"/>
        <v>#DIV/0!</v>
      </c>
      <c r="J1880" s="14" t="e">
        <f t="shared" si="140"/>
        <v>#DIV/0!</v>
      </c>
    </row>
    <row r="1881" spans="1:10" ht="16" thickBot="1" x14ac:dyDescent="0.25">
      <c r="A1881" s="44" t="s">
        <v>1</v>
      </c>
      <c r="B1881" s="33"/>
      <c r="C1881" s="33"/>
      <c r="D1881" s="33" t="s">
        <v>46</v>
      </c>
      <c r="E1881" s="34"/>
      <c r="F1881" s="9" t="s">
        <v>0</v>
      </c>
      <c r="G1881" s="18">
        <v>44157</v>
      </c>
      <c r="H1881" s="35" t="s">
        <v>24</v>
      </c>
      <c r="I1881" s="36"/>
      <c r="J1881" s="1">
        <v>110</v>
      </c>
    </row>
    <row r="1882" spans="1:10" ht="16" thickBot="1" x14ac:dyDescent="0.25">
      <c r="A1882" s="37" t="s">
        <v>2</v>
      </c>
      <c r="B1882" s="38"/>
      <c r="C1882" s="38"/>
      <c r="D1882" s="38"/>
      <c r="E1882" s="39"/>
      <c r="F1882" s="40"/>
      <c r="G1882" s="41"/>
      <c r="H1882" s="42" t="s">
        <v>25</v>
      </c>
      <c r="I1882" s="43"/>
      <c r="J1882" s="2">
        <v>22.5</v>
      </c>
    </row>
    <row r="1883" spans="1:10" ht="16" thickBot="1" x14ac:dyDescent="0.25">
      <c r="A1883" s="45" t="s">
        <v>27</v>
      </c>
      <c r="B1883" s="27"/>
      <c r="C1883" s="27"/>
      <c r="D1883" s="27" t="s">
        <v>36</v>
      </c>
      <c r="E1883" s="28"/>
      <c r="F1883" s="16" t="s">
        <v>30</v>
      </c>
      <c r="G1883" s="16">
        <v>3.81</v>
      </c>
      <c r="H1883" s="29" t="s">
        <v>26</v>
      </c>
      <c r="I1883" s="30"/>
      <c r="J1883" s="3">
        <v>51</v>
      </c>
    </row>
    <row r="1884" spans="1:10" x14ac:dyDescent="0.2">
      <c r="A1884" s="31"/>
      <c r="B1884" s="32"/>
      <c r="C1884" s="16" t="s">
        <v>29</v>
      </c>
      <c r="D1884" s="16" t="s">
        <v>19</v>
      </c>
      <c r="E1884" s="16" t="s">
        <v>15</v>
      </c>
      <c r="F1884" s="16" t="s">
        <v>18</v>
      </c>
      <c r="G1884" s="16" t="s">
        <v>17</v>
      </c>
      <c r="H1884" s="16" t="s">
        <v>28</v>
      </c>
      <c r="I1884" s="16" t="s">
        <v>16</v>
      </c>
      <c r="J1884" s="17" t="s">
        <v>23</v>
      </c>
    </row>
    <row r="1885" spans="1:10" x14ac:dyDescent="0.2">
      <c r="A1885" s="19" t="s">
        <v>3</v>
      </c>
      <c r="B1885" s="5" t="s">
        <v>20</v>
      </c>
      <c r="C1885" s="22">
        <v>10</v>
      </c>
      <c r="D1885" s="4"/>
      <c r="E1885" s="4">
        <v>2.4670000000000001</v>
      </c>
      <c r="F1885" s="4">
        <v>3.117</v>
      </c>
      <c r="G1885" s="4">
        <v>4.915</v>
      </c>
      <c r="H1885" s="4">
        <f>(F1885-(G1885-E1885))/F1885</f>
        <v>0.21462945139557268</v>
      </c>
      <c r="I1885" s="4">
        <f>D1885-H1885*D1885</f>
        <v>0</v>
      </c>
      <c r="J1885" s="10">
        <f t="shared" ref="J1885:J1920" si="143">I1885/($G$3^2*C1885*PI())</f>
        <v>0</v>
      </c>
    </row>
    <row r="1886" spans="1:10" x14ac:dyDescent="0.2">
      <c r="A1886" s="20"/>
      <c r="B1886" s="6" t="s">
        <v>21</v>
      </c>
      <c r="C1886" s="23"/>
      <c r="D1886">
        <v>647</v>
      </c>
      <c r="E1886">
        <v>2.4889999999999999</v>
      </c>
      <c r="F1886">
        <v>3.254</v>
      </c>
      <c r="G1886">
        <v>5.0419999999999998</v>
      </c>
      <c r="H1886">
        <f t="shared" ref="H1886:H1920" si="144">(F1886-(G1886-E1886))/F1886</f>
        <v>0.21542716656422867</v>
      </c>
      <c r="I1886">
        <f t="shared" ref="I1886:I1920" si="145">D1886-H1886*D1886</f>
        <v>507.61862323294406</v>
      </c>
      <c r="J1886" s="11" t="e">
        <f t="shared" si="143"/>
        <v>#DIV/0!</v>
      </c>
    </row>
    <row r="1887" spans="1:10" x14ac:dyDescent="0.2">
      <c r="A1887" s="25"/>
      <c r="B1887" s="8" t="s">
        <v>22</v>
      </c>
      <c r="C1887" s="26"/>
      <c r="D1887" s="7"/>
      <c r="E1887" s="7">
        <v>2.456</v>
      </c>
      <c r="F1887" s="7">
        <v>3.4670000000000001</v>
      </c>
      <c r="G1887" s="7">
        <v>5.1289999999999996</v>
      </c>
      <c r="H1887" s="7">
        <f t="shared" si="144"/>
        <v>0.22901644072685332</v>
      </c>
      <c r="I1887" s="7">
        <f t="shared" si="145"/>
        <v>0</v>
      </c>
      <c r="J1887" s="12" t="e">
        <f t="shared" si="143"/>
        <v>#DIV/0!</v>
      </c>
    </row>
    <row r="1888" spans="1:10" x14ac:dyDescent="0.2">
      <c r="A1888" s="19" t="s">
        <v>4</v>
      </c>
      <c r="B1888" s="5" t="s">
        <v>20</v>
      </c>
      <c r="C1888" s="23">
        <v>10</v>
      </c>
      <c r="E1888">
        <v>2.4119999999999999</v>
      </c>
      <c r="F1888">
        <v>3.573</v>
      </c>
      <c r="G1888">
        <v>5.3860000000000001</v>
      </c>
      <c r="H1888" s="4">
        <f t="shared" si="144"/>
        <v>0.16764623565631115</v>
      </c>
      <c r="I1888" s="4">
        <f t="shared" si="145"/>
        <v>0</v>
      </c>
      <c r="J1888" s="10">
        <f t="shared" si="143"/>
        <v>0</v>
      </c>
    </row>
    <row r="1889" spans="1:10" x14ac:dyDescent="0.2">
      <c r="A1889" s="20"/>
      <c r="B1889" s="6" t="s">
        <v>21</v>
      </c>
      <c r="C1889" s="23"/>
      <c r="D1889">
        <v>789</v>
      </c>
      <c r="E1889">
        <v>2.44</v>
      </c>
      <c r="F1889">
        <v>3.6789999999999998</v>
      </c>
      <c r="G1889">
        <v>5.5659999999999998</v>
      </c>
      <c r="H1889">
        <f t="shared" si="144"/>
        <v>0.15031258494156019</v>
      </c>
      <c r="I1889">
        <f t="shared" si="145"/>
        <v>670.40337048110905</v>
      </c>
      <c r="J1889" s="11" t="e">
        <f t="shared" si="143"/>
        <v>#DIV/0!</v>
      </c>
    </row>
    <row r="1890" spans="1:10" x14ac:dyDescent="0.2">
      <c r="A1890" s="25"/>
      <c r="B1890" s="8" t="s">
        <v>22</v>
      </c>
      <c r="C1890" s="26"/>
      <c r="D1890" s="7"/>
      <c r="E1890" s="7">
        <v>2.44</v>
      </c>
      <c r="F1890" s="7">
        <v>3.7810000000000001</v>
      </c>
      <c r="G1890" s="7">
        <v>5.4539999999999997</v>
      </c>
      <c r="H1890" s="7">
        <f t="shared" si="144"/>
        <v>0.20285638719915375</v>
      </c>
      <c r="I1890" s="7">
        <f t="shared" si="145"/>
        <v>0</v>
      </c>
      <c r="J1890" s="12" t="e">
        <f t="shared" si="143"/>
        <v>#DIV/0!</v>
      </c>
    </row>
    <row r="1891" spans="1:10" x14ac:dyDescent="0.2">
      <c r="A1891" s="19" t="s">
        <v>5</v>
      </c>
      <c r="B1891" s="5" t="s">
        <v>20</v>
      </c>
      <c r="C1891" s="22">
        <v>10</v>
      </c>
      <c r="D1891" s="4"/>
      <c r="E1891" s="4">
        <v>2.419</v>
      </c>
      <c r="F1891" s="4">
        <v>3.355</v>
      </c>
      <c r="G1891" s="4">
        <v>5.141</v>
      </c>
      <c r="H1891" s="4">
        <f t="shared" si="144"/>
        <v>0.1886736214605067</v>
      </c>
      <c r="I1891" s="4">
        <f t="shared" si="145"/>
        <v>0</v>
      </c>
      <c r="J1891" s="10">
        <f t="shared" si="143"/>
        <v>0</v>
      </c>
    </row>
    <row r="1892" spans="1:10" x14ac:dyDescent="0.2">
      <c r="A1892" s="20"/>
      <c r="B1892" s="6" t="s">
        <v>21</v>
      </c>
      <c r="C1892" s="23"/>
      <c r="D1892">
        <v>645</v>
      </c>
      <c r="E1892">
        <v>2.4580000000000002</v>
      </c>
      <c r="F1892">
        <v>3.4990000000000001</v>
      </c>
      <c r="G1892">
        <v>5.194</v>
      </c>
      <c r="H1892">
        <f t="shared" si="144"/>
        <v>0.21806230351529018</v>
      </c>
      <c r="I1892">
        <f t="shared" si="145"/>
        <v>504.34981423263787</v>
      </c>
      <c r="J1892" s="11" t="e">
        <f t="shared" si="143"/>
        <v>#DIV/0!</v>
      </c>
    </row>
    <row r="1893" spans="1:10" x14ac:dyDescent="0.2">
      <c r="A1893" s="25"/>
      <c r="B1893" s="8" t="s">
        <v>22</v>
      </c>
      <c r="C1893" s="26"/>
      <c r="D1893" s="7"/>
      <c r="E1893" s="7">
        <v>2.4380000000000002</v>
      </c>
      <c r="F1893" s="7">
        <v>3.0649999999999999</v>
      </c>
      <c r="G1893" s="7">
        <v>4.8890000000000002</v>
      </c>
      <c r="H1893" s="7">
        <f t="shared" si="144"/>
        <v>0.20032626427406194</v>
      </c>
      <c r="I1893" s="7">
        <f t="shared" si="145"/>
        <v>0</v>
      </c>
      <c r="J1893" s="12" t="e">
        <f t="shared" si="143"/>
        <v>#DIV/0!</v>
      </c>
    </row>
    <row r="1894" spans="1:10" x14ac:dyDescent="0.2">
      <c r="A1894" s="19" t="s">
        <v>6</v>
      </c>
      <c r="B1894" s="5" t="s">
        <v>20</v>
      </c>
      <c r="C1894" s="22">
        <v>10</v>
      </c>
      <c r="D1894" s="4"/>
      <c r="E1894" s="4">
        <v>2.4630000000000001</v>
      </c>
      <c r="F1894" s="4">
        <v>3.6429999999999998</v>
      </c>
      <c r="G1894" s="4">
        <v>5.3760000000000003</v>
      </c>
      <c r="H1894" s="4">
        <f t="shared" si="144"/>
        <v>0.20038429865495458</v>
      </c>
      <c r="I1894" s="4">
        <f t="shared" si="145"/>
        <v>0</v>
      </c>
      <c r="J1894" s="10">
        <f t="shared" si="143"/>
        <v>0</v>
      </c>
    </row>
    <row r="1895" spans="1:10" x14ac:dyDescent="0.2">
      <c r="A1895" s="20"/>
      <c r="B1895" s="6" t="s">
        <v>21</v>
      </c>
      <c r="C1895" s="23"/>
      <c r="D1895">
        <v>715</v>
      </c>
      <c r="E1895">
        <v>2.4430000000000001</v>
      </c>
      <c r="F1895">
        <v>3.6819999999999999</v>
      </c>
      <c r="G1895">
        <v>5.359</v>
      </c>
      <c r="H1895">
        <f t="shared" si="144"/>
        <v>0.2080391091797936</v>
      </c>
      <c r="I1895">
        <f t="shared" si="145"/>
        <v>566.25203693644755</v>
      </c>
      <c r="J1895" s="11" t="e">
        <f t="shared" si="143"/>
        <v>#DIV/0!</v>
      </c>
    </row>
    <row r="1896" spans="1:10" x14ac:dyDescent="0.2">
      <c r="A1896" s="25"/>
      <c r="B1896" s="8" t="s">
        <v>22</v>
      </c>
      <c r="C1896" s="26"/>
      <c r="D1896" s="7"/>
      <c r="E1896" s="7">
        <v>2.4510000000000001</v>
      </c>
      <c r="F1896" s="7">
        <v>3.157</v>
      </c>
      <c r="G1896" s="7">
        <v>4.9800000000000004</v>
      </c>
      <c r="H1896" s="7">
        <f t="shared" si="144"/>
        <v>0.19892302819132077</v>
      </c>
      <c r="I1896" s="7">
        <f t="shared" si="145"/>
        <v>0</v>
      </c>
      <c r="J1896" s="12" t="e">
        <f t="shared" si="143"/>
        <v>#DIV/0!</v>
      </c>
    </row>
    <row r="1897" spans="1:10" x14ac:dyDescent="0.2">
      <c r="A1897" s="19" t="s">
        <v>7</v>
      </c>
      <c r="B1897" s="5" t="s">
        <v>20</v>
      </c>
      <c r="C1897" s="22">
        <v>10</v>
      </c>
      <c r="D1897" s="4"/>
      <c r="E1897" s="4">
        <v>2.4750000000000001</v>
      </c>
      <c r="F1897" s="4">
        <v>3.948</v>
      </c>
      <c r="G1897" s="4">
        <v>5.6870000000000003</v>
      </c>
      <c r="H1897" s="4">
        <f t="shared" si="144"/>
        <v>0.18642350557244169</v>
      </c>
      <c r="I1897" s="4">
        <f t="shared" si="145"/>
        <v>0</v>
      </c>
      <c r="J1897" s="10">
        <f t="shared" si="143"/>
        <v>0</v>
      </c>
    </row>
    <row r="1898" spans="1:10" x14ac:dyDescent="0.2">
      <c r="A1898" s="20"/>
      <c r="B1898" s="6" t="s">
        <v>21</v>
      </c>
      <c r="C1898" s="23"/>
      <c r="D1898">
        <v>790</v>
      </c>
      <c r="E1898">
        <v>2.4529999999999998</v>
      </c>
      <c r="F1898">
        <v>3.8319999999999999</v>
      </c>
      <c r="G1898">
        <v>5.5309999999999997</v>
      </c>
      <c r="H1898">
        <f t="shared" si="144"/>
        <v>0.19676409185803759</v>
      </c>
      <c r="I1898">
        <f t="shared" si="145"/>
        <v>634.5563674321503</v>
      </c>
      <c r="J1898" s="11" t="e">
        <f t="shared" si="143"/>
        <v>#DIV/0!</v>
      </c>
    </row>
    <row r="1899" spans="1:10" x14ac:dyDescent="0.2">
      <c r="A1899" s="25"/>
      <c r="B1899" s="8" t="s">
        <v>22</v>
      </c>
      <c r="C1899" s="26"/>
      <c r="D1899" s="7"/>
      <c r="E1899" s="7">
        <v>2.4529999999999998</v>
      </c>
      <c r="F1899" s="7">
        <v>3.0129999999999999</v>
      </c>
      <c r="G1899" s="7">
        <v>4.8979999999999997</v>
      </c>
      <c r="H1899" s="7">
        <f t="shared" si="144"/>
        <v>0.18851642880849653</v>
      </c>
      <c r="I1899" s="7">
        <f t="shared" si="145"/>
        <v>0</v>
      </c>
      <c r="J1899" s="12" t="e">
        <f t="shared" si="143"/>
        <v>#DIV/0!</v>
      </c>
    </row>
    <row r="1900" spans="1:10" x14ac:dyDescent="0.2">
      <c r="A1900" s="19" t="s">
        <v>8</v>
      </c>
      <c r="B1900" s="5" t="s">
        <v>20</v>
      </c>
      <c r="C1900" s="22">
        <v>10</v>
      </c>
      <c r="D1900" s="4"/>
      <c r="E1900" s="4">
        <v>2.4460000000000002</v>
      </c>
      <c r="F1900" s="4">
        <v>3.484</v>
      </c>
      <c r="G1900" s="4">
        <v>5.3170000000000002</v>
      </c>
      <c r="H1900" s="4">
        <f t="shared" si="144"/>
        <v>0.17594718714121699</v>
      </c>
      <c r="I1900" s="4">
        <f t="shared" si="145"/>
        <v>0</v>
      </c>
      <c r="J1900" s="10">
        <f t="shared" si="143"/>
        <v>0</v>
      </c>
    </row>
    <row r="1901" spans="1:10" x14ac:dyDescent="0.2">
      <c r="A1901" s="20"/>
      <c r="B1901" s="6" t="s">
        <v>21</v>
      </c>
      <c r="C1901" s="23"/>
      <c r="D1901">
        <v>840</v>
      </c>
      <c r="E1901">
        <v>2.4409999999999998</v>
      </c>
      <c r="F1901">
        <v>3.2650000000000001</v>
      </c>
      <c r="G1901">
        <v>5.1310000000000002</v>
      </c>
      <c r="H1901">
        <f t="shared" si="144"/>
        <v>0.17611026033690649</v>
      </c>
      <c r="I1901">
        <f t="shared" si="145"/>
        <v>692.06738131699854</v>
      </c>
      <c r="J1901" s="11" t="e">
        <f t="shared" si="143"/>
        <v>#DIV/0!</v>
      </c>
    </row>
    <row r="1902" spans="1:10" x14ac:dyDescent="0.2">
      <c r="A1902" s="25"/>
      <c r="B1902" s="8" t="s">
        <v>22</v>
      </c>
      <c r="C1902" s="26"/>
      <c r="D1902" s="7"/>
      <c r="E1902" s="7">
        <v>2.4340000000000002</v>
      </c>
      <c r="F1902" s="7">
        <v>3.367</v>
      </c>
      <c r="G1902" s="7">
        <v>5.24</v>
      </c>
      <c r="H1902" s="7">
        <f t="shared" si="144"/>
        <v>0.16661716661716661</v>
      </c>
      <c r="I1902" s="7">
        <f t="shared" si="145"/>
        <v>0</v>
      </c>
      <c r="J1902" s="12" t="e">
        <f t="shared" si="143"/>
        <v>#DIV/0!</v>
      </c>
    </row>
    <row r="1903" spans="1:10" x14ac:dyDescent="0.2">
      <c r="A1903" s="19" t="s">
        <v>9</v>
      </c>
      <c r="B1903" s="5" t="s">
        <v>20</v>
      </c>
      <c r="C1903" s="22">
        <v>10</v>
      </c>
      <c r="D1903" s="4"/>
      <c r="E1903" s="4">
        <v>2.4449999999999998</v>
      </c>
      <c r="F1903" s="4">
        <v>3.452</v>
      </c>
      <c r="G1903" s="4">
        <v>5.3109999999999999</v>
      </c>
      <c r="H1903" s="4">
        <f t="shared" si="144"/>
        <v>0.16975666280417145</v>
      </c>
      <c r="I1903" s="4">
        <f t="shared" si="145"/>
        <v>0</v>
      </c>
      <c r="J1903" s="10">
        <f t="shared" si="143"/>
        <v>0</v>
      </c>
    </row>
    <row r="1904" spans="1:10" x14ac:dyDescent="0.2">
      <c r="A1904" s="20"/>
      <c r="B1904" s="6" t="s">
        <v>21</v>
      </c>
      <c r="C1904" s="23"/>
      <c r="D1904">
        <v>962</v>
      </c>
      <c r="E1904">
        <v>2.4329999999999998</v>
      </c>
      <c r="F1904">
        <v>3.0409999999999999</v>
      </c>
      <c r="G1904">
        <v>4.915</v>
      </c>
      <c r="H1904">
        <f t="shared" si="144"/>
        <v>0.18382111147648791</v>
      </c>
      <c r="I1904">
        <f t="shared" si="145"/>
        <v>785.1640907596186</v>
      </c>
      <c r="J1904" s="11" t="e">
        <f t="shared" si="143"/>
        <v>#DIV/0!</v>
      </c>
    </row>
    <row r="1905" spans="1:10" x14ac:dyDescent="0.2">
      <c r="A1905" s="25"/>
      <c r="B1905" s="8" t="s">
        <v>22</v>
      </c>
      <c r="C1905" s="26"/>
      <c r="D1905" s="7"/>
      <c r="E1905" s="7">
        <v>2.4620000000000002</v>
      </c>
      <c r="F1905" s="7">
        <v>3.7069999999999999</v>
      </c>
      <c r="G1905" s="7">
        <v>5.4649999999999999</v>
      </c>
      <c r="H1905" s="7">
        <f t="shared" si="144"/>
        <v>0.18991097922848671</v>
      </c>
      <c r="I1905" s="7">
        <f t="shared" si="145"/>
        <v>0</v>
      </c>
      <c r="J1905" s="12" t="e">
        <f t="shared" si="143"/>
        <v>#DIV/0!</v>
      </c>
    </row>
    <row r="1906" spans="1:10" x14ac:dyDescent="0.2">
      <c r="A1906" s="19" t="s">
        <v>10</v>
      </c>
      <c r="B1906" s="5" t="s">
        <v>20</v>
      </c>
      <c r="C1906" s="22">
        <v>10</v>
      </c>
      <c r="D1906" s="4"/>
      <c r="E1906" s="4">
        <v>2.4460000000000002</v>
      </c>
      <c r="F1906" s="4">
        <v>3.0390000000000001</v>
      </c>
      <c r="G1906" s="4">
        <v>4.9160000000000004</v>
      </c>
      <c r="H1906" s="4">
        <f t="shared" si="144"/>
        <v>0.18723264231655148</v>
      </c>
      <c r="I1906" s="4">
        <f t="shared" si="145"/>
        <v>0</v>
      </c>
      <c r="J1906" s="10">
        <f t="shared" si="143"/>
        <v>0</v>
      </c>
    </row>
    <row r="1907" spans="1:10" x14ac:dyDescent="0.2">
      <c r="A1907" s="20"/>
      <c r="B1907" s="6" t="s">
        <v>21</v>
      </c>
      <c r="C1907" s="23"/>
      <c r="D1907">
        <v>874</v>
      </c>
      <c r="E1907">
        <v>2.4390000000000001</v>
      </c>
      <c r="F1907">
        <v>3.577</v>
      </c>
      <c r="G1907">
        <v>5.351</v>
      </c>
      <c r="H1907">
        <f t="shared" si="144"/>
        <v>0.18590998043052839</v>
      </c>
      <c r="I1907">
        <f t="shared" si="145"/>
        <v>711.51467710371821</v>
      </c>
      <c r="J1907" s="11" t="e">
        <f t="shared" si="143"/>
        <v>#DIV/0!</v>
      </c>
    </row>
    <row r="1908" spans="1:10" x14ac:dyDescent="0.2">
      <c r="A1908" s="25"/>
      <c r="B1908" s="8" t="s">
        <v>22</v>
      </c>
      <c r="C1908" s="26"/>
      <c r="D1908" s="7"/>
      <c r="E1908" s="7">
        <v>2.4689999999999999</v>
      </c>
      <c r="F1908" s="7">
        <v>3.1339999999999999</v>
      </c>
      <c r="G1908" s="7">
        <v>5.0389999999999997</v>
      </c>
      <c r="H1908" s="7">
        <f t="shared" si="144"/>
        <v>0.17996171027440971</v>
      </c>
      <c r="I1908" s="7">
        <f t="shared" si="145"/>
        <v>0</v>
      </c>
      <c r="J1908" s="12" t="e">
        <f t="shared" si="143"/>
        <v>#DIV/0!</v>
      </c>
    </row>
    <row r="1909" spans="1:10" x14ac:dyDescent="0.2">
      <c r="A1909" s="19" t="s">
        <v>11</v>
      </c>
      <c r="B1909" s="5" t="s">
        <v>20</v>
      </c>
      <c r="C1909" s="22">
        <v>10</v>
      </c>
      <c r="D1909" s="4"/>
      <c r="E1909" s="4">
        <v>2.4510000000000001</v>
      </c>
      <c r="F1909" s="4">
        <v>3.677</v>
      </c>
      <c r="G1909" s="4">
        <v>5.3949999999999996</v>
      </c>
      <c r="H1909" s="4">
        <f t="shared" si="144"/>
        <v>0.19934729398966564</v>
      </c>
      <c r="I1909" s="4">
        <f t="shared" si="145"/>
        <v>0</v>
      </c>
      <c r="J1909" s="10">
        <f t="shared" si="143"/>
        <v>0</v>
      </c>
    </row>
    <row r="1910" spans="1:10" x14ac:dyDescent="0.2">
      <c r="A1910" s="20"/>
      <c r="B1910" s="6" t="s">
        <v>21</v>
      </c>
      <c r="C1910" s="23"/>
      <c r="D1910">
        <v>925</v>
      </c>
      <c r="E1910">
        <v>2.4409999999999998</v>
      </c>
      <c r="F1910">
        <v>3.371</v>
      </c>
      <c r="G1910">
        <v>5.1840000000000002</v>
      </c>
      <c r="H1910">
        <f t="shared" si="144"/>
        <v>0.18629486799169376</v>
      </c>
      <c r="I1910">
        <f t="shared" si="145"/>
        <v>752.67724710768334</v>
      </c>
      <c r="J1910" s="11" t="e">
        <f t="shared" si="143"/>
        <v>#DIV/0!</v>
      </c>
    </row>
    <row r="1911" spans="1:10" x14ac:dyDescent="0.2">
      <c r="A1911" s="25"/>
      <c r="B1911" s="8" t="s">
        <v>22</v>
      </c>
      <c r="C1911" s="26"/>
      <c r="D1911" s="7"/>
      <c r="E1911" s="7">
        <v>2.41</v>
      </c>
      <c r="F1911" s="7">
        <v>3.8519999999999999</v>
      </c>
      <c r="G1911" s="7">
        <v>5.4610000000000003</v>
      </c>
      <c r="H1911" s="7">
        <f t="shared" si="144"/>
        <v>0.2079439252336448</v>
      </c>
      <c r="I1911" s="7">
        <f t="shared" si="145"/>
        <v>0</v>
      </c>
      <c r="J1911" s="12" t="e">
        <f t="shared" si="143"/>
        <v>#DIV/0!</v>
      </c>
    </row>
    <row r="1912" spans="1:10" x14ac:dyDescent="0.2">
      <c r="A1912" s="19" t="s">
        <v>12</v>
      </c>
      <c r="B1912" s="5" t="s">
        <v>20</v>
      </c>
      <c r="C1912" s="22">
        <v>10</v>
      </c>
      <c r="D1912" s="4"/>
      <c r="E1912" s="4">
        <v>2.4550000000000001</v>
      </c>
      <c r="F1912" s="4">
        <v>3.5089999999999999</v>
      </c>
      <c r="G1912" s="4">
        <v>5.1310000000000002</v>
      </c>
      <c r="H1912" s="4">
        <f t="shared" si="144"/>
        <v>0.23738956967797087</v>
      </c>
      <c r="I1912" s="4">
        <f t="shared" si="145"/>
        <v>0</v>
      </c>
      <c r="J1912" s="10">
        <f t="shared" si="143"/>
        <v>0</v>
      </c>
    </row>
    <row r="1913" spans="1:10" x14ac:dyDescent="0.2">
      <c r="A1913" s="20"/>
      <c r="B1913" s="6" t="s">
        <v>21</v>
      </c>
      <c r="C1913" s="23"/>
      <c r="D1913">
        <v>802</v>
      </c>
      <c r="E1913">
        <v>2.4580000000000002</v>
      </c>
      <c r="F1913">
        <v>3.597</v>
      </c>
      <c r="G1913">
        <v>5.3109999999999999</v>
      </c>
      <c r="H1913">
        <f t="shared" si="144"/>
        <v>0.20683903252710598</v>
      </c>
      <c r="I1913">
        <f t="shared" si="145"/>
        <v>636.11509591326103</v>
      </c>
      <c r="J1913" s="11" t="e">
        <f t="shared" si="143"/>
        <v>#DIV/0!</v>
      </c>
    </row>
    <row r="1914" spans="1:10" x14ac:dyDescent="0.2">
      <c r="A1914" s="25"/>
      <c r="B1914" s="8" t="s">
        <v>22</v>
      </c>
      <c r="C1914" s="26"/>
      <c r="D1914" s="7"/>
      <c r="E1914" s="7">
        <v>2.427</v>
      </c>
      <c r="F1914" s="7">
        <v>3.351</v>
      </c>
      <c r="G1914" s="7">
        <v>5.0289999999999999</v>
      </c>
      <c r="H1914" s="7">
        <f t="shared" si="144"/>
        <v>0.22351536854670251</v>
      </c>
      <c r="I1914" s="7">
        <f t="shared" si="145"/>
        <v>0</v>
      </c>
      <c r="J1914" s="12" t="e">
        <f t="shared" si="143"/>
        <v>#DIV/0!</v>
      </c>
    </row>
    <row r="1915" spans="1:10" x14ac:dyDescent="0.2">
      <c r="A1915" s="19" t="s">
        <v>13</v>
      </c>
      <c r="B1915" s="5" t="s">
        <v>20</v>
      </c>
      <c r="C1915" s="22">
        <v>10</v>
      </c>
      <c r="D1915" s="4"/>
      <c r="E1915" s="4">
        <v>2.4609999999999999</v>
      </c>
      <c r="F1915" s="4">
        <v>3.0190000000000001</v>
      </c>
      <c r="G1915" s="4">
        <v>4.7720000000000002</v>
      </c>
      <c r="H1915" s="4">
        <f t="shared" si="144"/>
        <v>0.23451473998012579</v>
      </c>
      <c r="I1915" s="4">
        <f t="shared" si="145"/>
        <v>0</v>
      </c>
      <c r="J1915" s="10">
        <f t="shared" si="143"/>
        <v>0</v>
      </c>
    </row>
    <row r="1916" spans="1:10" x14ac:dyDescent="0.2">
      <c r="A1916" s="20"/>
      <c r="B1916" s="6" t="s">
        <v>21</v>
      </c>
      <c r="C1916" s="23"/>
      <c r="D1916">
        <v>993</v>
      </c>
      <c r="E1916">
        <v>2.4790000000000001</v>
      </c>
      <c r="F1916">
        <v>3.3959999999999999</v>
      </c>
      <c r="G1916">
        <v>5.0519999999999996</v>
      </c>
      <c r="H1916">
        <f t="shared" si="144"/>
        <v>0.24234393404004723</v>
      </c>
      <c r="I1916">
        <f t="shared" si="145"/>
        <v>752.35247349823317</v>
      </c>
      <c r="J1916" s="11" t="e">
        <f t="shared" si="143"/>
        <v>#DIV/0!</v>
      </c>
    </row>
    <row r="1917" spans="1:10" x14ac:dyDescent="0.2">
      <c r="A1917" s="25"/>
      <c r="B1917" s="8" t="s">
        <v>22</v>
      </c>
      <c r="C1917" s="26"/>
      <c r="D1917" s="7"/>
      <c r="E1917" s="7">
        <v>2.464</v>
      </c>
      <c r="F1917" s="7">
        <v>3.6749999999999998</v>
      </c>
      <c r="G1917" s="7">
        <v>5.3529999999999998</v>
      </c>
      <c r="H1917" s="7">
        <f t="shared" si="144"/>
        <v>0.21387755102040817</v>
      </c>
      <c r="I1917" s="7">
        <f t="shared" si="145"/>
        <v>0</v>
      </c>
      <c r="J1917" s="12" t="e">
        <f t="shared" si="143"/>
        <v>#DIV/0!</v>
      </c>
    </row>
    <row r="1918" spans="1:10" x14ac:dyDescent="0.2">
      <c r="A1918" s="19" t="s">
        <v>14</v>
      </c>
      <c r="B1918" s="5" t="s">
        <v>20</v>
      </c>
      <c r="C1918" s="22">
        <v>10</v>
      </c>
      <c r="D1918" s="4"/>
      <c r="E1918" s="4"/>
      <c r="F1918" s="4"/>
      <c r="G1918" s="4"/>
      <c r="H1918" s="4" t="e">
        <f t="shared" si="144"/>
        <v>#DIV/0!</v>
      </c>
      <c r="I1918" s="4" t="e">
        <f t="shared" si="145"/>
        <v>#DIV/0!</v>
      </c>
      <c r="J1918" s="10" t="e">
        <f t="shared" si="143"/>
        <v>#DIV/0!</v>
      </c>
    </row>
    <row r="1919" spans="1:10" x14ac:dyDescent="0.2">
      <c r="A1919" s="20"/>
      <c r="B1919" s="6" t="s">
        <v>21</v>
      </c>
      <c r="C1919" s="23"/>
      <c r="H1919" t="e">
        <f t="shared" si="144"/>
        <v>#DIV/0!</v>
      </c>
      <c r="I1919" t="e">
        <f t="shared" si="145"/>
        <v>#DIV/0!</v>
      </c>
      <c r="J1919" s="11" t="e">
        <f t="shared" si="143"/>
        <v>#DIV/0!</v>
      </c>
    </row>
    <row r="1920" spans="1:10" ht="16" thickBot="1" x14ac:dyDescent="0.25">
      <c r="A1920" s="21"/>
      <c r="B1920" s="15" t="s">
        <v>22</v>
      </c>
      <c r="C1920" s="24"/>
      <c r="D1920" s="13"/>
      <c r="E1920" s="13"/>
      <c r="F1920" s="13"/>
      <c r="G1920" s="13"/>
      <c r="H1920" s="13" t="e">
        <f t="shared" si="144"/>
        <v>#DIV/0!</v>
      </c>
      <c r="I1920" s="13" t="e">
        <f t="shared" si="145"/>
        <v>#DIV/0!</v>
      </c>
      <c r="J1920" s="14" t="e">
        <f t="shared" si="143"/>
        <v>#DIV/0!</v>
      </c>
    </row>
    <row r="1921" spans="1:10" ht="16" thickBot="1" x14ac:dyDescent="0.25">
      <c r="A1921" s="44" t="s">
        <v>1</v>
      </c>
      <c r="B1921" s="33"/>
      <c r="C1921" s="33"/>
      <c r="D1921" s="33" t="s">
        <v>46</v>
      </c>
      <c r="E1921" s="34"/>
      <c r="F1921" s="9" t="s">
        <v>0</v>
      </c>
      <c r="G1921" s="18">
        <v>44157</v>
      </c>
      <c r="H1921" s="35" t="s">
        <v>24</v>
      </c>
      <c r="I1921" s="36"/>
      <c r="J1921" s="1">
        <v>109</v>
      </c>
    </row>
    <row r="1922" spans="1:10" ht="16" thickBot="1" x14ac:dyDescent="0.25">
      <c r="A1922" s="37" t="s">
        <v>2</v>
      </c>
      <c r="B1922" s="38"/>
      <c r="C1922" s="38"/>
      <c r="D1922" s="38"/>
      <c r="E1922" s="39"/>
      <c r="F1922" s="40"/>
      <c r="G1922" s="41"/>
      <c r="H1922" s="42" t="s">
        <v>25</v>
      </c>
      <c r="I1922" s="43"/>
      <c r="J1922" s="2">
        <v>28</v>
      </c>
    </row>
    <row r="1923" spans="1:10" ht="16" thickBot="1" x14ac:dyDescent="0.25">
      <c r="A1923" s="45" t="s">
        <v>27</v>
      </c>
      <c r="B1923" s="27"/>
      <c r="C1923" s="27"/>
      <c r="D1923" s="27" t="s">
        <v>56</v>
      </c>
      <c r="E1923" s="28"/>
      <c r="F1923" s="16" t="s">
        <v>30</v>
      </c>
      <c r="G1923" s="16">
        <v>3.81</v>
      </c>
      <c r="H1923" s="29" t="s">
        <v>26</v>
      </c>
      <c r="I1923" s="30"/>
      <c r="J1923" s="3">
        <v>39.5</v>
      </c>
    </row>
    <row r="1924" spans="1:10" x14ac:dyDescent="0.2">
      <c r="A1924" s="31"/>
      <c r="B1924" s="32"/>
      <c r="C1924" s="16" t="s">
        <v>29</v>
      </c>
      <c r="D1924" s="16" t="s">
        <v>19</v>
      </c>
      <c r="E1924" s="16" t="s">
        <v>15</v>
      </c>
      <c r="F1924" s="16" t="s">
        <v>18</v>
      </c>
      <c r="G1924" s="16" t="s">
        <v>17</v>
      </c>
      <c r="H1924" s="16" t="s">
        <v>28</v>
      </c>
      <c r="I1924" s="16" t="s">
        <v>16</v>
      </c>
      <c r="J1924" s="17" t="s">
        <v>23</v>
      </c>
    </row>
    <row r="1925" spans="1:10" x14ac:dyDescent="0.2">
      <c r="A1925" s="19" t="s">
        <v>3</v>
      </c>
      <c r="B1925" s="5" t="s">
        <v>20</v>
      </c>
      <c r="C1925" s="22">
        <v>10</v>
      </c>
      <c r="D1925" s="4"/>
      <c r="E1925" s="4">
        <v>2.4670000000000001</v>
      </c>
      <c r="F1925" s="4">
        <v>3.8140000000000001</v>
      </c>
      <c r="G1925" s="4">
        <v>5.4909999999999997</v>
      </c>
      <c r="H1925" s="4">
        <f>(F1925-(G1925-E1925))/F1925</f>
        <v>0.20713162034609348</v>
      </c>
      <c r="I1925" s="4">
        <f>D1925-H1925*D1925</f>
        <v>0</v>
      </c>
      <c r="J1925" s="10">
        <f t="shared" ref="J1925:J1960" si="146">I1925/($G$3^2*C1925*PI())</f>
        <v>0</v>
      </c>
    </row>
    <row r="1926" spans="1:10" x14ac:dyDescent="0.2">
      <c r="A1926" s="20"/>
      <c r="B1926" s="6" t="s">
        <v>21</v>
      </c>
      <c r="C1926" s="23"/>
      <c r="D1926">
        <v>785</v>
      </c>
      <c r="E1926">
        <v>2.4849999999999999</v>
      </c>
      <c r="F1926">
        <v>3.6120000000000001</v>
      </c>
      <c r="G1926">
        <v>5.3090000000000002</v>
      </c>
      <c r="H1926">
        <f t="shared" ref="H1926:H1960" si="147">(F1926-(G1926-E1926))/F1926</f>
        <v>0.21816168327796229</v>
      </c>
      <c r="I1926">
        <f t="shared" ref="I1926:I1960" si="148">D1926-H1926*D1926</f>
        <v>613.74307862679962</v>
      </c>
      <c r="J1926" s="11" t="e">
        <f t="shared" si="146"/>
        <v>#DIV/0!</v>
      </c>
    </row>
    <row r="1927" spans="1:10" x14ac:dyDescent="0.2">
      <c r="A1927" s="25"/>
      <c r="B1927" s="8" t="s">
        <v>22</v>
      </c>
      <c r="C1927" s="26"/>
      <c r="D1927" s="7"/>
      <c r="E1927" s="7">
        <v>2.4359999999999999</v>
      </c>
      <c r="F1927" s="7">
        <v>3.7490000000000001</v>
      </c>
      <c r="G1927" s="7">
        <v>5.3369999999999997</v>
      </c>
      <c r="H1927" s="7">
        <f t="shared" si="147"/>
        <v>0.22619365164043753</v>
      </c>
      <c r="I1927" s="7">
        <f t="shared" si="148"/>
        <v>0</v>
      </c>
      <c r="J1927" s="12" t="e">
        <f t="shared" si="146"/>
        <v>#DIV/0!</v>
      </c>
    </row>
    <row r="1928" spans="1:10" x14ac:dyDescent="0.2">
      <c r="A1928" s="19" t="s">
        <v>4</v>
      </c>
      <c r="B1928" s="5" t="s">
        <v>20</v>
      </c>
      <c r="C1928" s="23">
        <v>10</v>
      </c>
      <c r="E1928">
        <v>2.4049999999999998</v>
      </c>
      <c r="F1928">
        <v>3.1320000000000001</v>
      </c>
      <c r="G1928">
        <v>4.8410000000000002</v>
      </c>
      <c r="H1928" s="4">
        <f t="shared" si="147"/>
        <v>0.22222222222222213</v>
      </c>
      <c r="I1928" s="4">
        <f t="shared" si="148"/>
        <v>0</v>
      </c>
      <c r="J1928" s="10">
        <f t="shared" si="146"/>
        <v>0</v>
      </c>
    </row>
    <row r="1929" spans="1:10" x14ac:dyDescent="0.2">
      <c r="A1929" s="20"/>
      <c r="B1929" s="6" t="s">
        <v>21</v>
      </c>
      <c r="C1929" s="23"/>
      <c r="D1929">
        <v>770</v>
      </c>
      <c r="E1929">
        <v>2.4529999999999998</v>
      </c>
      <c r="F1929">
        <v>3.7250000000000001</v>
      </c>
      <c r="G1929">
        <v>5.4029999999999996</v>
      </c>
      <c r="H1929">
        <f t="shared" si="147"/>
        <v>0.20805369127516787</v>
      </c>
      <c r="I1929">
        <f t="shared" si="148"/>
        <v>609.79865771812069</v>
      </c>
      <c r="J1929" s="11" t="e">
        <f t="shared" si="146"/>
        <v>#DIV/0!</v>
      </c>
    </row>
    <row r="1930" spans="1:10" x14ac:dyDescent="0.2">
      <c r="A1930" s="25"/>
      <c r="B1930" s="8" t="s">
        <v>22</v>
      </c>
      <c r="C1930" s="26"/>
      <c r="D1930" s="7"/>
      <c r="E1930" s="7">
        <v>2.44</v>
      </c>
      <c r="F1930" s="7">
        <v>3.0950000000000002</v>
      </c>
      <c r="G1930" s="7">
        <v>4.9130000000000003</v>
      </c>
      <c r="H1930" s="7">
        <f t="shared" si="147"/>
        <v>0.20096930533117927</v>
      </c>
      <c r="I1930" s="7">
        <f t="shared" si="148"/>
        <v>0</v>
      </c>
      <c r="J1930" s="12" t="e">
        <f t="shared" si="146"/>
        <v>#DIV/0!</v>
      </c>
    </row>
    <row r="1931" spans="1:10" x14ac:dyDescent="0.2">
      <c r="A1931" s="19" t="s">
        <v>5</v>
      </c>
      <c r="B1931" s="5" t="s">
        <v>20</v>
      </c>
      <c r="C1931" s="22">
        <v>10</v>
      </c>
      <c r="D1931" s="4"/>
      <c r="E1931" s="4">
        <v>2.4769999999999999</v>
      </c>
      <c r="F1931" s="4">
        <v>3.722</v>
      </c>
      <c r="G1931" s="4">
        <v>5.3280000000000003</v>
      </c>
      <c r="H1931" s="4">
        <f t="shared" si="147"/>
        <v>0.23401397098334217</v>
      </c>
      <c r="I1931" s="4">
        <f t="shared" si="148"/>
        <v>0</v>
      </c>
      <c r="J1931" s="10">
        <f t="shared" si="146"/>
        <v>0</v>
      </c>
    </row>
    <row r="1932" spans="1:10" x14ac:dyDescent="0.2">
      <c r="A1932" s="20"/>
      <c r="B1932" s="6" t="s">
        <v>21</v>
      </c>
      <c r="C1932" s="23"/>
      <c r="D1932">
        <v>770</v>
      </c>
      <c r="E1932">
        <v>2.4540000000000002</v>
      </c>
      <c r="F1932">
        <v>3.0379999999999998</v>
      </c>
      <c r="G1932">
        <v>4.7679999999999998</v>
      </c>
      <c r="H1932">
        <f t="shared" si="147"/>
        <v>0.23831468071099415</v>
      </c>
      <c r="I1932">
        <f t="shared" si="148"/>
        <v>586.49769585253443</v>
      </c>
      <c r="J1932" s="11" t="e">
        <f t="shared" si="146"/>
        <v>#DIV/0!</v>
      </c>
    </row>
    <row r="1933" spans="1:10" x14ac:dyDescent="0.2">
      <c r="A1933" s="25"/>
      <c r="B1933" s="8" t="s">
        <v>22</v>
      </c>
      <c r="C1933" s="26"/>
      <c r="D1933" s="7"/>
      <c r="E1933" s="7">
        <v>2.4329999999999998</v>
      </c>
      <c r="F1933" s="7">
        <v>3.5910000000000002</v>
      </c>
      <c r="G1933" s="7">
        <v>5.2030000000000003</v>
      </c>
      <c r="H1933" s="7">
        <f t="shared" si="147"/>
        <v>0.22862712336396537</v>
      </c>
      <c r="I1933" s="7">
        <f t="shared" si="148"/>
        <v>0</v>
      </c>
      <c r="J1933" s="12" t="e">
        <f t="shared" si="146"/>
        <v>#DIV/0!</v>
      </c>
    </row>
    <row r="1934" spans="1:10" x14ac:dyDescent="0.2">
      <c r="A1934" s="19" t="s">
        <v>6</v>
      </c>
      <c r="B1934" s="5" t="s">
        <v>20</v>
      </c>
      <c r="C1934" s="22">
        <v>10</v>
      </c>
      <c r="D1934" s="4"/>
      <c r="E1934" s="4">
        <v>2.415</v>
      </c>
      <c r="F1934" s="4">
        <v>5.4690000000000003</v>
      </c>
      <c r="G1934" s="4">
        <v>5.109</v>
      </c>
      <c r="H1934" s="4">
        <f t="shared" si="147"/>
        <v>0.50740537575425126</v>
      </c>
      <c r="I1934" s="4">
        <f t="shared" si="148"/>
        <v>0</v>
      </c>
      <c r="J1934" s="10">
        <f t="shared" si="146"/>
        <v>0</v>
      </c>
    </row>
    <row r="1935" spans="1:10" x14ac:dyDescent="0.2">
      <c r="A1935" s="20"/>
      <c r="B1935" s="6" t="s">
        <v>21</v>
      </c>
      <c r="C1935" s="23"/>
      <c r="D1935">
        <v>788</v>
      </c>
      <c r="E1935">
        <v>2.4079999999999999</v>
      </c>
      <c r="F1935">
        <v>3.5430000000000001</v>
      </c>
      <c r="G1935">
        <v>5.1340000000000003</v>
      </c>
      <c r="H1935">
        <f t="shared" si="147"/>
        <v>0.230595540502399</v>
      </c>
      <c r="I1935">
        <f t="shared" si="148"/>
        <v>606.2907140841096</v>
      </c>
      <c r="J1935" s="11" t="e">
        <f t="shared" si="146"/>
        <v>#DIV/0!</v>
      </c>
    </row>
    <row r="1936" spans="1:10" x14ac:dyDescent="0.2">
      <c r="A1936" s="25"/>
      <c r="B1936" s="8" t="s">
        <v>22</v>
      </c>
      <c r="C1936" s="26"/>
      <c r="D1936" s="7"/>
      <c r="E1936" s="7">
        <v>2.4470000000000001</v>
      </c>
      <c r="F1936" s="7">
        <v>3.238</v>
      </c>
      <c r="G1936" s="7">
        <v>4.9779999999999998</v>
      </c>
      <c r="H1936" s="7">
        <f t="shared" si="147"/>
        <v>0.21834465719579996</v>
      </c>
      <c r="I1936" s="7">
        <f t="shared" si="148"/>
        <v>0</v>
      </c>
      <c r="J1936" s="12" t="e">
        <f t="shared" si="146"/>
        <v>#DIV/0!</v>
      </c>
    </row>
    <row r="1937" spans="1:10" x14ac:dyDescent="0.2">
      <c r="A1937" s="19" t="s">
        <v>7</v>
      </c>
      <c r="B1937" s="5" t="s">
        <v>20</v>
      </c>
      <c r="C1937" s="22">
        <v>10</v>
      </c>
      <c r="D1937" s="4"/>
      <c r="E1937" s="4">
        <v>2.4449999999999998</v>
      </c>
      <c r="F1937" s="4">
        <v>3.2810000000000001</v>
      </c>
      <c r="G1937" s="4">
        <v>5.0839999999999996</v>
      </c>
      <c r="H1937" s="4">
        <f t="shared" si="147"/>
        <v>0.19567205120390135</v>
      </c>
      <c r="I1937" s="4">
        <f t="shared" si="148"/>
        <v>0</v>
      </c>
      <c r="J1937" s="10">
        <f t="shared" si="146"/>
        <v>0</v>
      </c>
    </row>
    <row r="1938" spans="1:10" x14ac:dyDescent="0.2">
      <c r="A1938" s="20"/>
      <c r="B1938" s="6" t="s">
        <v>21</v>
      </c>
      <c r="C1938" s="23"/>
      <c r="D1938">
        <v>877</v>
      </c>
      <c r="E1938">
        <v>2.4340000000000002</v>
      </c>
      <c r="F1938">
        <v>3.552</v>
      </c>
      <c r="G1938">
        <v>5.2140000000000004</v>
      </c>
      <c r="H1938">
        <f t="shared" si="147"/>
        <v>0.21734234234234229</v>
      </c>
      <c r="I1938">
        <f t="shared" si="148"/>
        <v>686.39076576576576</v>
      </c>
      <c r="J1938" s="11" t="e">
        <f t="shared" si="146"/>
        <v>#DIV/0!</v>
      </c>
    </row>
    <row r="1939" spans="1:10" x14ac:dyDescent="0.2">
      <c r="A1939" s="25"/>
      <c r="B1939" s="8" t="s">
        <v>22</v>
      </c>
      <c r="C1939" s="26"/>
      <c r="D1939" s="7"/>
      <c r="E1939" s="7">
        <v>2.444</v>
      </c>
      <c r="F1939" s="7">
        <v>3.1</v>
      </c>
      <c r="G1939" s="7">
        <v>4.976</v>
      </c>
      <c r="H1939" s="7">
        <f t="shared" si="147"/>
        <v>0.1832258064516129</v>
      </c>
      <c r="I1939" s="7">
        <f t="shared" si="148"/>
        <v>0</v>
      </c>
      <c r="J1939" s="12" t="e">
        <f t="shared" si="146"/>
        <v>#DIV/0!</v>
      </c>
    </row>
    <row r="1940" spans="1:10" x14ac:dyDescent="0.2">
      <c r="A1940" s="19" t="s">
        <v>8</v>
      </c>
      <c r="B1940" s="5" t="s">
        <v>20</v>
      </c>
      <c r="C1940" s="22">
        <v>10</v>
      </c>
      <c r="D1940" s="4"/>
      <c r="E1940" s="4">
        <v>2.4089999999999998</v>
      </c>
      <c r="F1940" s="4">
        <v>3.298</v>
      </c>
      <c r="G1940" s="4">
        <v>5.0949999999999998</v>
      </c>
      <c r="H1940" s="4">
        <f t="shared" si="147"/>
        <v>0.18556701030927839</v>
      </c>
      <c r="I1940" s="4">
        <f t="shared" si="148"/>
        <v>0</v>
      </c>
      <c r="J1940" s="10">
        <f t="shared" si="146"/>
        <v>0</v>
      </c>
    </row>
    <row r="1941" spans="1:10" x14ac:dyDescent="0.2">
      <c r="A1941" s="20"/>
      <c r="B1941" s="6" t="s">
        <v>21</v>
      </c>
      <c r="C1941" s="23"/>
      <c r="D1941">
        <v>911</v>
      </c>
      <c r="E1941">
        <v>2.4390000000000001</v>
      </c>
      <c r="F1941">
        <v>3.3570000000000002</v>
      </c>
      <c r="G1941">
        <v>5.1980000000000004</v>
      </c>
      <c r="H1941">
        <f t="shared" si="147"/>
        <v>0.17813523979743814</v>
      </c>
      <c r="I1941">
        <f t="shared" si="148"/>
        <v>748.71879654453392</v>
      </c>
      <c r="J1941" s="11" t="e">
        <f t="shared" si="146"/>
        <v>#DIV/0!</v>
      </c>
    </row>
    <row r="1942" spans="1:10" x14ac:dyDescent="0.2">
      <c r="A1942" s="25"/>
      <c r="B1942" s="8" t="s">
        <v>22</v>
      </c>
      <c r="C1942" s="26"/>
      <c r="D1942" s="7"/>
      <c r="E1942" s="7">
        <v>2.4279999999999999</v>
      </c>
      <c r="F1942" s="7">
        <v>3.1949999999999998</v>
      </c>
      <c r="G1942" s="7">
        <v>4.9870000000000001</v>
      </c>
      <c r="H1942" s="7">
        <f t="shared" si="147"/>
        <v>0.19906103286384969</v>
      </c>
      <c r="I1942" s="7">
        <f t="shared" si="148"/>
        <v>0</v>
      </c>
      <c r="J1942" s="12" t="e">
        <f t="shared" si="146"/>
        <v>#DIV/0!</v>
      </c>
    </row>
    <row r="1943" spans="1:10" x14ac:dyDescent="0.2">
      <c r="A1943" s="19" t="s">
        <v>9</v>
      </c>
      <c r="B1943" s="5" t="s">
        <v>20</v>
      </c>
      <c r="C1943" s="22">
        <v>10</v>
      </c>
      <c r="D1943" s="4"/>
      <c r="E1943" s="4">
        <v>2.4319999999999999</v>
      </c>
      <c r="F1943" s="4">
        <v>3.0950000000000002</v>
      </c>
      <c r="G1943" s="4">
        <v>5.0250000000000004</v>
      </c>
      <c r="H1943" s="4">
        <f t="shared" si="147"/>
        <v>0.16219709208400637</v>
      </c>
      <c r="I1943" s="4">
        <f t="shared" si="148"/>
        <v>0</v>
      </c>
      <c r="J1943" s="10">
        <f t="shared" si="146"/>
        <v>0</v>
      </c>
    </row>
    <row r="1944" spans="1:10" x14ac:dyDescent="0.2">
      <c r="A1944" s="20"/>
      <c r="B1944" s="6" t="s">
        <v>21</v>
      </c>
      <c r="C1944" s="23"/>
      <c r="D1944">
        <v>752</v>
      </c>
      <c r="E1944">
        <v>2.4390000000000001</v>
      </c>
      <c r="F1944">
        <v>3.2719999999999998</v>
      </c>
      <c r="G1944">
        <v>5.157</v>
      </c>
      <c r="H1944">
        <f t="shared" si="147"/>
        <v>0.16931540342298285</v>
      </c>
      <c r="I1944">
        <f t="shared" si="148"/>
        <v>624.67481662591695</v>
      </c>
      <c r="J1944" s="11" t="e">
        <f t="shared" si="146"/>
        <v>#DIV/0!</v>
      </c>
    </row>
    <row r="1945" spans="1:10" x14ac:dyDescent="0.2">
      <c r="A1945" s="25"/>
      <c r="B1945" s="8" t="s">
        <v>22</v>
      </c>
      <c r="C1945" s="26"/>
      <c r="D1945" s="7"/>
      <c r="E1945" s="7">
        <v>2.4470000000000001</v>
      </c>
      <c r="F1945" s="7">
        <v>3.63</v>
      </c>
      <c r="G1945" s="7">
        <v>5.4530000000000003</v>
      </c>
      <c r="H1945" s="7">
        <f t="shared" si="147"/>
        <v>0.17190082644628091</v>
      </c>
      <c r="I1945" s="7">
        <f t="shared" si="148"/>
        <v>0</v>
      </c>
      <c r="J1945" s="12" t="e">
        <f t="shared" si="146"/>
        <v>#DIV/0!</v>
      </c>
    </row>
    <row r="1946" spans="1:10" x14ac:dyDescent="0.2">
      <c r="A1946" s="19" t="s">
        <v>10</v>
      </c>
      <c r="B1946" s="5" t="s">
        <v>20</v>
      </c>
      <c r="C1946" s="22">
        <v>10</v>
      </c>
      <c r="D1946" s="4"/>
      <c r="E1946" s="4">
        <v>2.4620000000000002</v>
      </c>
      <c r="F1946" s="4">
        <v>3.0779999999999998</v>
      </c>
      <c r="G1946" s="4">
        <v>4.8550000000000004</v>
      </c>
      <c r="H1946" s="4">
        <f t="shared" si="147"/>
        <v>0.22254710851202067</v>
      </c>
      <c r="I1946" s="4">
        <f t="shared" si="148"/>
        <v>0</v>
      </c>
      <c r="J1946" s="10">
        <f t="shared" si="146"/>
        <v>0</v>
      </c>
    </row>
    <row r="1947" spans="1:10" x14ac:dyDescent="0.2">
      <c r="A1947" s="20"/>
      <c r="B1947" s="6" t="s">
        <v>21</v>
      </c>
      <c r="C1947" s="23"/>
      <c r="D1947">
        <v>915</v>
      </c>
      <c r="E1947">
        <v>2.4289999999999998</v>
      </c>
      <c r="F1947">
        <v>3.5459999999999998</v>
      </c>
      <c r="G1947">
        <v>5.2240000000000002</v>
      </c>
      <c r="H1947">
        <f t="shared" si="147"/>
        <v>0.21178793006204158</v>
      </c>
      <c r="I1947">
        <f t="shared" si="148"/>
        <v>721.21404399323194</v>
      </c>
      <c r="J1947" s="11" t="e">
        <f t="shared" si="146"/>
        <v>#DIV/0!</v>
      </c>
    </row>
    <row r="1948" spans="1:10" x14ac:dyDescent="0.2">
      <c r="A1948" s="25"/>
      <c r="B1948" s="8" t="s">
        <v>22</v>
      </c>
      <c r="C1948" s="26"/>
      <c r="D1948" s="7"/>
      <c r="E1948" s="7">
        <v>2.4620000000000002</v>
      </c>
      <c r="F1948" s="7">
        <v>3.8980000000000001</v>
      </c>
      <c r="G1948" s="7">
        <v>5.5359999999999996</v>
      </c>
      <c r="H1948" s="7">
        <f t="shared" si="147"/>
        <v>0.21139045664443323</v>
      </c>
      <c r="I1948" s="7">
        <f t="shared" si="148"/>
        <v>0</v>
      </c>
      <c r="J1948" s="12" t="e">
        <f t="shared" si="146"/>
        <v>#DIV/0!</v>
      </c>
    </row>
    <row r="1949" spans="1:10" x14ac:dyDescent="0.2">
      <c r="A1949" s="19" t="s">
        <v>11</v>
      </c>
      <c r="B1949" s="5" t="s">
        <v>20</v>
      </c>
      <c r="C1949" s="22">
        <v>10</v>
      </c>
      <c r="D1949" s="4"/>
      <c r="E1949" s="4">
        <v>2.4289999999999998</v>
      </c>
      <c r="F1949" s="4">
        <v>3.677</v>
      </c>
      <c r="G1949" s="4">
        <v>5.3550000000000004</v>
      </c>
      <c r="H1949" s="4">
        <f t="shared" si="147"/>
        <v>0.20424258906717419</v>
      </c>
      <c r="I1949" s="4">
        <f t="shared" si="148"/>
        <v>0</v>
      </c>
      <c r="J1949" s="10">
        <f t="shared" si="146"/>
        <v>0</v>
      </c>
    </row>
    <row r="1950" spans="1:10" x14ac:dyDescent="0.2">
      <c r="A1950" s="20"/>
      <c r="B1950" s="6" t="s">
        <v>21</v>
      </c>
      <c r="C1950" s="23"/>
      <c r="D1950">
        <v>846</v>
      </c>
      <c r="E1950">
        <v>2.4460000000000002</v>
      </c>
      <c r="F1950">
        <v>3.081</v>
      </c>
      <c r="G1950">
        <v>4.9379999999999997</v>
      </c>
      <c r="H1950">
        <f t="shared" si="147"/>
        <v>0.19117169750081156</v>
      </c>
      <c r="I1950">
        <f t="shared" si="148"/>
        <v>684.2687439143134</v>
      </c>
      <c r="J1950" s="11" t="e">
        <f t="shared" si="146"/>
        <v>#DIV/0!</v>
      </c>
    </row>
    <row r="1951" spans="1:10" x14ac:dyDescent="0.2">
      <c r="A1951" s="25"/>
      <c r="B1951" s="8" t="s">
        <v>22</v>
      </c>
      <c r="C1951" s="26"/>
      <c r="D1951" s="7"/>
      <c r="E1951" s="7">
        <v>2.448</v>
      </c>
      <c r="F1951" s="7">
        <v>3.532</v>
      </c>
      <c r="G1951" s="7">
        <v>5.3010000000000002</v>
      </c>
      <c r="H1951" s="7">
        <f t="shared" si="147"/>
        <v>0.19224235560588895</v>
      </c>
      <c r="I1951" s="7">
        <f t="shared" si="148"/>
        <v>0</v>
      </c>
      <c r="J1951" s="12" t="e">
        <f t="shared" si="146"/>
        <v>#DIV/0!</v>
      </c>
    </row>
    <row r="1952" spans="1:10" x14ac:dyDescent="0.2">
      <c r="A1952" s="19" t="s">
        <v>12</v>
      </c>
      <c r="B1952" s="5" t="s">
        <v>20</v>
      </c>
      <c r="C1952" s="22">
        <v>10</v>
      </c>
      <c r="D1952" s="4"/>
      <c r="E1952" s="4">
        <v>2.4870000000000001</v>
      </c>
      <c r="F1952" s="4">
        <v>3.7789999999999999</v>
      </c>
      <c r="G1952" s="4">
        <v>5.4320000000000004</v>
      </c>
      <c r="H1952" s="4">
        <f t="shared" si="147"/>
        <v>0.22069330510717111</v>
      </c>
      <c r="I1952" s="4">
        <f t="shared" si="148"/>
        <v>0</v>
      </c>
      <c r="J1952" s="10">
        <f t="shared" si="146"/>
        <v>0</v>
      </c>
    </row>
    <row r="1953" spans="1:10" x14ac:dyDescent="0.2">
      <c r="A1953" s="20"/>
      <c r="B1953" s="6" t="s">
        <v>21</v>
      </c>
      <c r="C1953" s="23"/>
      <c r="D1953">
        <v>911</v>
      </c>
      <c r="E1953">
        <v>2.46</v>
      </c>
      <c r="F1953">
        <v>3.3370000000000002</v>
      </c>
      <c r="G1953">
        <v>5.032</v>
      </c>
      <c r="H1953">
        <f t="shared" si="147"/>
        <v>0.22924782738987118</v>
      </c>
      <c r="I1953">
        <f t="shared" si="148"/>
        <v>702.15522924782738</v>
      </c>
      <c r="J1953" s="11" t="e">
        <f t="shared" si="146"/>
        <v>#DIV/0!</v>
      </c>
    </row>
    <row r="1954" spans="1:10" x14ac:dyDescent="0.2">
      <c r="A1954" s="25"/>
      <c r="B1954" s="8" t="s">
        <v>22</v>
      </c>
      <c r="C1954" s="26"/>
      <c r="D1954" s="7"/>
      <c r="E1954" s="7">
        <v>2.4500000000000002</v>
      </c>
      <c r="F1954" s="7">
        <v>3.6269999999999998</v>
      </c>
      <c r="G1954" s="7">
        <v>5.234</v>
      </c>
      <c r="H1954" s="7">
        <f t="shared" si="147"/>
        <v>0.23242349048800662</v>
      </c>
      <c r="I1954" s="7">
        <f t="shared" si="148"/>
        <v>0</v>
      </c>
      <c r="J1954" s="12" t="e">
        <f t="shared" si="146"/>
        <v>#DIV/0!</v>
      </c>
    </row>
    <row r="1955" spans="1:10" x14ac:dyDescent="0.2">
      <c r="A1955" s="19" t="s">
        <v>13</v>
      </c>
      <c r="B1955" s="5" t="s">
        <v>20</v>
      </c>
      <c r="C1955" s="22">
        <v>8</v>
      </c>
      <c r="D1955" s="4"/>
      <c r="E1955" s="4">
        <v>2.4780000000000002</v>
      </c>
      <c r="F1955" s="4">
        <v>3.4969999999999999</v>
      </c>
      <c r="G1955" s="4">
        <v>5.17</v>
      </c>
      <c r="H1955" s="4">
        <f t="shared" si="147"/>
        <v>0.23019731198169865</v>
      </c>
      <c r="I1955" s="4">
        <f t="shared" si="148"/>
        <v>0</v>
      </c>
      <c r="J1955" s="10">
        <f t="shared" si="146"/>
        <v>0</v>
      </c>
    </row>
    <row r="1956" spans="1:10" x14ac:dyDescent="0.2">
      <c r="A1956" s="20"/>
      <c r="B1956" s="6" t="s">
        <v>21</v>
      </c>
      <c r="C1956" s="23"/>
      <c r="D1956">
        <v>629</v>
      </c>
      <c r="E1956">
        <v>2.48</v>
      </c>
      <c r="F1956">
        <v>3.35</v>
      </c>
      <c r="G1956">
        <v>5.0919999999999996</v>
      </c>
      <c r="H1956">
        <f t="shared" si="147"/>
        <v>0.2202985074626867</v>
      </c>
      <c r="I1956">
        <f t="shared" si="148"/>
        <v>490.43223880597009</v>
      </c>
      <c r="J1956" s="11" t="e">
        <f t="shared" si="146"/>
        <v>#DIV/0!</v>
      </c>
    </row>
    <row r="1957" spans="1:10" x14ac:dyDescent="0.2">
      <c r="A1957" s="25"/>
      <c r="B1957" s="8" t="s">
        <v>22</v>
      </c>
      <c r="C1957" s="26"/>
      <c r="D1957" s="7"/>
      <c r="E1957" s="7">
        <v>2.468</v>
      </c>
      <c r="F1957" s="7">
        <v>3.698</v>
      </c>
      <c r="G1957" s="7">
        <v>5.2789999999999999</v>
      </c>
      <c r="H1957" s="7">
        <f t="shared" si="147"/>
        <v>0.2398593834505138</v>
      </c>
      <c r="I1957" s="7">
        <f t="shared" si="148"/>
        <v>0</v>
      </c>
      <c r="J1957" s="12" t="e">
        <f t="shared" si="146"/>
        <v>#DIV/0!</v>
      </c>
    </row>
    <row r="1958" spans="1:10" x14ac:dyDescent="0.2">
      <c r="A1958" s="19" t="s">
        <v>14</v>
      </c>
      <c r="B1958" s="5" t="s">
        <v>20</v>
      </c>
      <c r="C1958" s="22">
        <v>10</v>
      </c>
      <c r="D1958" s="4"/>
      <c r="E1958" s="4"/>
      <c r="F1958" s="4"/>
      <c r="G1958" s="4"/>
      <c r="H1958" s="4" t="e">
        <f t="shared" si="147"/>
        <v>#DIV/0!</v>
      </c>
      <c r="I1958" s="4" t="e">
        <f t="shared" si="148"/>
        <v>#DIV/0!</v>
      </c>
      <c r="J1958" s="10" t="e">
        <f t="shared" si="146"/>
        <v>#DIV/0!</v>
      </c>
    </row>
    <row r="1959" spans="1:10" x14ac:dyDescent="0.2">
      <c r="A1959" s="20"/>
      <c r="B1959" s="6" t="s">
        <v>21</v>
      </c>
      <c r="C1959" s="23"/>
      <c r="H1959" t="e">
        <f t="shared" si="147"/>
        <v>#DIV/0!</v>
      </c>
      <c r="I1959" t="e">
        <f t="shared" si="148"/>
        <v>#DIV/0!</v>
      </c>
      <c r="J1959" s="11" t="e">
        <f t="shared" si="146"/>
        <v>#DIV/0!</v>
      </c>
    </row>
    <row r="1960" spans="1:10" ht="16" thickBot="1" x14ac:dyDescent="0.25">
      <c r="A1960" s="21"/>
      <c r="B1960" s="15" t="s">
        <v>22</v>
      </c>
      <c r="C1960" s="24"/>
      <c r="D1960" s="13"/>
      <c r="E1960" s="13"/>
      <c r="F1960" s="13"/>
      <c r="G1960" s="13"/>
      <c r="H1960" s="13" t="e">
        <f t="shared" si="147"/>
        <v>#DIV/0!</v>
      </c>
      <c r="I1960" s="13" t="e">
        <f t="shared" si="148"/>
        <v>#DIV/0!</v>
      </c>
      <c r="J1960" s="14" t="e">
        <f t="shared" si="146"/>
        <v>#DIV/0!</v>
      </c>
    </row>
    <row r="1961" spans="1:10" ht="16" thickBot="1" x14ac:dyDescent="0.25">
      <c r="A1961" s="44" t="s">
        <v>1</v>
      </c>
      <c r="B1961" s="33"/>
      <c r="C1961" s="33"/>
      <c r="D1961" s="33" t="s">
        <v>55</v>
      </c>
      <c r="E1961" s="34"/>
      <c r="F1961" s="9" t="s">
        <v>0</v>
      </c>
      <c r="G1961" s="18">
        <v>44157</v>
      </c>
      <c r="H1961" s="35" t="s">
        <v>24</v>
      </c>
      <c r="I1961" s="36"/>
      <c r="J1961" s="1">
        <v>120</v>
      </c>
    </row>
    <row r="1962" spans="1:10" ht="16" thickBot="1" x14ac:dyDescent="0.25">
      <c r="A1962" s="37" t="s">
        <v>2</v>
      </c>
      <c r="B1962" s="38"/>
      <c r="C1962" s="38"/>
      <c r="D1962" s="38"/>
      <c r="E1962" s="39"/>
      <c r="F1962" s="40"/>
      <c r="G1962" s="41"/>
      <c r="H1962" s="42" t="s">
        <v>25</v>
      </c>
      <c r="I1962" s="43"/>
      <c r="J1962" s="2">
        <v>23.5</v>
      </c>
    </row>
    <row r="1963" spans="1:10" ht="16" thickBot="1" x14ac:dyDescent="0.25">
      <c r="A1963" s="45" t="s">
        <v>27</v>
      </c>
      <c r="B1963" s="27"/>
      <c r="C1963" s="27"/>
      <c r="D1963" s="27" t="s">
        <v>32</v>
      </c>
      <c r="E1963" s="28"/>
      <c r="F1963" s="16" t="s">
        <v>30</v>
      </c>
      <c r="G1963" s="16">
        <v>3.81</v>
      </c>
      <c r="H1963" s="29" t="s">
        <v>26</v>
      </c>
      <c r="I1963" s="30"/>
      <c r="J1963" s="3">
        <v>48</v>
      </c>
    </row>
    <row r="1964" spans="1:10" x14ac:dyDescent="0.2">
      <c r="A1964" s="31"/>
      <c r="B1964" s="32"/>
      <c r="C1964" s="16" t="s">
        <v>29</v>
      </c>
      <c r="D1964" s="16" t="s">
        <v>19</v>
      </c>
      <c r="E1964" s="16" t="s">
        <v>15</v>
      </c>
      <c r="F1964" s="16" t="s">
        <v>18</v>
      </c>
      <c r="G1964" s="16" t="s">
        <v>17</v>
      </c>
      <c r="H1964" s="16" t="s">
        <v>28</v>
      </c>
      <c r="I1964" s="16" t="s">
        <v>16</v>
      </c>
      <c r="J1964" s="17" t="s">
        <v>23</v>
      </c>
    </row>
    <row r="1965" spans="1:10" x14ac:dyDescent="0.2">
      <c r="A1965" s="19" t="s">
        <v>3</v>
      </c>
      <c r="B1965" s="5" t="s">
        <v>20</v>
      </c>
      <c r="C1965" s="22">
        <v>10</v>
      </c>
      <c r="D1965" s="4"/>
      <c r="E1965" s="4">
        <v>2.4350000000000001</v>
      </c>
      <c r="F1965" s="4">
        <v>3.117</v>
      </c>
      <c r="G1965" s="4">
        <v>4.7759999999999998</v>
      </c>
      <c r="H1965" s="4">
        <f>(F1965-(G1965-E1965))/F1965</f>
        <v>0.24895733076676299</v>
      </c>
      <c r="I1965" s="4">
        <f>D1965-H1965*D1965</f>
        <v>0</v>
      </c>
      <c r="J1965" s="10">
        <f t="shared" ref="J1965:J2000" si="149">I1965/($G$3^2*C1965*PI())</f>
        <v>0</v>
      </c>
    </row>
    <row r="1966" spans="1:10" x14ac:dyDescent="0.2">
      <c r="A1966" s="20"/>
      <c r="B1966" s="6" t="s">
        <v>21</v>
      </c>
      <c r="C1966" s="23"/>
      <c r="D1966">
        <v>653</v>
      </c>
      <c r="E1966">
        <v>2.4209999999999998</v>
      </c>
      <c r="F1966">
        <v>3.2759999999999998</v>
      </c>
      <c r="G1966">
        <v>4.8789999999999996</v>
      </c>
      <c r="H1966">
        <f t="shared" ref="H1966:H2000" si="150">(F1966-(G1966-E1966))/F1966</f>
        <v>0.24969474969474972</v>
      </c>
      <c r="I1966">
        <f t="shared" ref="I1966:I2000" si="151">D1966-H1966*D1966</f>
        <v>489.94932844932839</v>
      </c>
      <c r="J1966" s="11" t="e">
        <f t="shared" si="149"/>
        <v>#DIV/0!</v>
      </c>
    </row>
    <row r="1967" spans="1:10" x14ac:dyDescent="0.2">
      <c r="A1967" s="25"/>
      <c r="B1967" s="8" t="s">
        <v>22</v>
      </c>
      <c r="C1967" s="26"/>
      <c r="D1967" s="7"/>
      <c r="E1967" s="7">
        <v>2.468</v>
      </c>
      <c r="F1967" s="7">
        <v>3.677</v>
      </c>
      <c r="G1967" s="7">
        <v>5.202</v>
      </c>
      <c r="H1967" s="7">
        <f t="shared" si="150"/>
        <v>0.2564590698939353</v>
      </c>
      <c r="I1967" s="7">
        <f t="shared" si="151"/>
        <v>0</v>
      </c>
      <c r="J1967" s="12" t="e">
        <f t="shared" si="149"/>
        <v>#DIV/0!</v>
      </c>
    </row>
    <row r="1968" spans="1:10" x14ac:dyDescent="0.2">
      <c r="A1968" s="19" t="s">
        <v>4</v>
      </c>
      <c r="B1968" s="5" t="s">
        <v>20</v>
      </c>
      <c r="C1968" s="23">
        <v>10</v>
      </c>
      <c r="E1968">
        <v>2.431</v>
      </c>
      <c r="F1968">
        <v>3.5710000000000002</v>
      </c>
      <c r="G1968">
        <v>5.3339999999999996</v>
      </c>
      <c r="H1968" s="4">
        <f t="shared" si="150"/>
        <v>0.18706244749369941</v>
      </c>
      <c r="I1968" s="4">
        <f t="shared" si="151"/>
        <v>0</v>
      </c>
      <c r="J1968" s="10">
        <f t="shared" si="149"/>
        <v>0</v>
      </c>
    </row>
    <row r="1969" spans="1:10" x14ac:dyDescent="0.2">
      <c r="A1969" s="20"/>
      <c r="B1969" s="6" t="s">
        <v>21</v>
      </c>
      <c r="C1969" s="23"/>
      <c r="D1969">
        <v>792</v>
      </c>
      <c r="E1969">
        <v>2.4620000000000002</v>
      </c>
      <c r="F1969">
        <v>3.1749999999999998</v>
      </c>
      <c r="G1969">
        <v>5.016</v>
      </c>
      <c r="H1969">
        <f t="shared" si="150"/>
        <v>0.19559055118110238</v>
      </c>
      <c r="I1969">
        <f t="shared" si="151"/>
        <v>637.09228346456689</v>
      </c>
      <c r="J1969" s="11" t="e">
        <f t="shared" si="149"/>
        <v>#DIV/0!</v>
      </c>
    </row>
    <row r="1970" spans="1:10" x14ac:dyDescent="0.2">
      <c r="A1970" s="25"/>
      <c r="B1970" s="8" t="s">
        <v>22</v>
      </c>
      <c r="C1970" s="26"/>
      <c r="D1970" s="7"/>
      <c r="E1970" s="7">
        <v>2.4180000000000001</v>
      </c>
      <c r="F1970" s="7">
        <v>3.4060000000000001</v>
      </c>
      <c r="G1970" s="7">
        <v>5.1689999999999996</v>
      </c>
      <c r="H1970" s="7">
        <f t="shared" si="150"/>
        <v>0.19230769230769251</v>
      </c>
      <c r="I1970" s="7">
        <f t="shared" si="151"/>
        <v>0</v>
      </c>
      <c r="J1970" s="12" t="e">
        <f t="shared" si="149"/>
        <v>#DIV/0!</v>
      </c>
    </row>
    <row r="1971" spans="1:10" x14ac:dyDescent="0.2">
      <c r="A1971" s="19" t="s">
        <v>5</v>
      </c>
      <c r="B1971" s="5" t="s">
        <v>20</v>
      </c>
      <c r="C1971" s="22">
        <v>10</v>
      </c>
      <c r="D1971" s="4"/>
      <c r="E1971" s="4">
        <v>2.4279999999999999</v>
      </c>
      <c r="F1971" s="4">
        <v>3.2949999999999999</v>
      </c>
      <c r="G1971" s="4">
        <v>5.1340000000000003</v>
      </c>
      <c r="H1971" s="4">
        <f t="shared" si="150"/>
        <v>0.17875569044006057</v>
      </c>
      <c r="I1971" s="4">
        <f t="shared" si="151"/>
        <v>0</v>
      </c>
      <c r="J1971" s="10">
        <f t="shared" si="149"/>
        <v>0</v>
      </c>
    </row>
    <row r="1972" spans="1:10" x14ac:dyDescent="0.2">
      <c r="A1972" s="20"/>
      <c r="B1972" s="6" t="s">
        <v>21</v>
      </c>
      <c r="C1972" s="23"/>
      <c r="D1972">
        <v>737</v>
      </c>
      <c r="E1972">
        <v>2.48</v>
      </c>
      <c r="F1972">
        <v>3.694</v>
      </c>
      <c r="G1972">
        <v>5.492</v>
      </c>
      <c r="H1972">
        <f t="shared" si="150"/>
        <v>0.18462371413102327</v>
      </c>
      <c r="I1972">
        <f t="shared" si="151"/>
        <v>600.93232268543579</v>
      </c>
      <c r="J1972" s="11" t="e">
        <f t="shared" si="149"/>
        <v>#DIV/0!</v>
      </c>
    </row>
    <row r="1973" spans="1:10" x14ac:dyDescent="0.2">
      <c r="A1973" s="25"/>
      <c r="B1973" s="8" t="s">
        <v>22</v>
      </c>
      <c r="C1973" s="26"/>
      <c r="D1973" s="7"/>
      <c r="E1973" s="7">
        <v>2.48</v>
      </c>
      <c r="F1973" s="7">
        <v>3.5950000000000002</v>
      </c>
      <c r="G1973" s="7">
        <v>5.4340000000000002</v>
      </c>
      <c r="H1973" s="7">
        <f t="shared" si="150"/>
        <v>0.17830319888734353</v>
      </c>
      <c r="I1973" s="7">
        <f t="shared" si="151"/>
        <v>0</v>
      </c>
      <c r="J1973" s="12" t="e">
        <f t="shared" si="149"/>
        <v>#DIV/0!</v>
      </c>
    </row>
    <row r="1974" spans="1:10" x14ac:dyDescent="0.2">
      <c r="A1974" s="19" t="s">
        <v>6</v>
      </c>
      <c r="B1974" s="5" t="s">
        <v>20</v>
      </c>
      <c r="C1974" s="22">
        <v>10</v>
      </c>
      <c r="D1974" s="4"/>
      <c r="E1974" s="4">
        <v>2.415</v>
      </c>
      <c r="F1974" s="4">
        <v>3.9950000000000001</v>
      </c>
      <c r="G1974" s="4">
        <v>5.6920000000000002</v>
      </c>
      <c r="H1974" s="4">
        <f t="shared" si="150"/>
        <v>0.1797246558197747</v>
      </c>
      <c r="I1974" s="4">
        <f t="shared" si="151"/>
        <v>0</v>
      </c>
      <c r="J1974" s="10">
        <f t="shared" si="149"/>
        <v>0</v>
      </c>
    </row>
    <row r="1975" spans="1:10" x14ac:dyDescent="0.2">
      <c r="A1975" s="20"/>
      <c r="B1975" s="6" t="s">
        <v>21</v>
      </c>
      <c r="C1975" s="23"/>
      <c r="D1975">
        <v>810</v>
      </c>
      <c r="E1975">
        <v>2.4420000000000002</v>
      </c>
      <c r="F1975">
        <v>3.9809999999999999</v>
      </c>
      <c r="G1975">
        <v>3.7130000000000001</v>
      </c>
      <c r="H1975">
        <f t="shared" si="150"/>
        <v>0.68073348404923384</v>
      </c>
      <c r="I1975">
        <f t="shared" si="151"/>
        <v>258.60587792012063</v>
      </c>
      <c r="J1975" s="11" t="e">
        <f t="shared" si="149"/>
        <v>#DIV/0!</v>
      </c>
    </row>
    <row r="1976" spans="1:10" x14ac:dyDescent="0.2">
      <c r="A1976" s="25"/>
      <c r="B1976" s="8" t="s">
        <v>22</v>
      </c>
      <c r="C1976" s="26"/>
      <c r="D1976" s="7"/>
      <c r="E1976" s="7">
        <v>2.4769999999999999</v>
      </c>
      <c r="F1976" s="7">
        <v>3.46</v>
      </c>
      <c r="G1976" s="7">
        <v>5.0940000000000003</v>
      </c>
      <c r="H1976" s="7">
        <f t="shared" si="150"/>
        <v>0.24364161849710969</v>
      </c>
      <c r="I1976" s="7">
        <f t="shared" si="151"/>
        <v>0</v>
      </c>
      <c r="J1976" s="12" t="e">
        <f t="shared" si="149"/>
        <v>#DIV/0!</v>
      </c>
    </row>
    <row r="1977" spans="1:10" x14ac:dyDescent="0.2">
      <c r="A1977" s="19" t="s">
        <v>7</v>
      </c>
      <c r="B1977" s="5" t="s">
        <v>20</v>
      </c>
      <c r="C1977" s="22">
        <v>10</v>
      </c>
      <c r="D1977" s="4"/>
      <c r="E1977" s="4">
        <v>2.415</v>
      </c>
      <c r="F1977" s="4">
        <v>3.0539999999999998</v>
      </c>
      <c r="G1977" s="4">
        <v>4.9379999999999997</v>
      </c>
      <c r="H1977" s="4">
        <f t="shared" si="150"/>
        <v>0.17387033398821222</v>
      </c>
      <c r="I1977" s="4">
        <f t="shared" si="151"/>
        <v>0</v>
      </c>
      <c r="J1977" s="10">
        <f t="shared" si="149"/>
        <v>0</v>
      </c>
    </row>
    <row r="1978" spans="1:10" x14ac:dyDescent="0.2">
      <c r="A1978" s="20"/>
      <c r="B1978" s="6" t="s">
        <v>21</v>
      </c>
      <c r="C1978" s="23"/>
      <c r="D1978">
        <v>855</v>
      </c>
      <c r="E1978">
        <v>2.4630000000000001</v>
      </c>
      <c r="F1978">
        <v>3.3839999999999999</v>
      </c>
      <c r="G1978">
        <v>5.2859999999999996</v>
      </c>
      <c r="H1978">
        <f t="shared" si="150"/>
        <v>0.16578014184397175</v>
      </c>
      <c r="I1978">
        <f t="shared" si="151"/>
        <v>713.25797872340422</v>
      </c>
      <c r="J1978" s="11" t="e">
        <f t="shared" si="149"/>
        <v>#DIV/0!</v>
      </c>
    </row>
    <row r="1979" spans="1:10" x14ac:dyDescent="0.2">
      <c r="A1979" s="25"/>
      <c r="B1979" s="8" t="s">
        <v>22</v>
      </c>
      <c r="C1979" s="26"/>
      <c r="D1979" s="7"/>
      <c r="E1979" s="7">
        <v>2.431</v>
      </c>
      <c r="F1979" s="7">
        <v>3.153</v>
      </c>
      <c r="G1979" s="7">
        <v>5.0449999999999999</v>
      </c>
      <c r="H1979" s="7">
        <f t="shared" si="150"/>
        <v>0.17094830320329849</v>
      </c>
      <c r="I1979" s="7">
        <f t="shared" si="151"/>
        <v>0</v>
      </c>
      <c r="J1979" s="12" t="e">
        <f t="shared" si="149"/>
        <v>#DIV/0!</v>
      </c>
    </row>
    <row r="1980" spans="1:10" x14ac:dyDescent="0.2">
      <c r="A1980" s="19" t="s">
        <v>8</v>
      </c>
      <c r="B1980" s="5" t="s">
        <v>20</v>
      </c>
      <c r="C1980" s="22">
        <v>10</v>
      </c>
      <c r="D1980" s="4"/>
      <c r="E1980" s="4">
        <v>2.4260000000000002</v>
      </c>
      <c r="F1980" s="4">
        <v>3.2170000000000001</v>
      </c>
      <c r="G1980" s="4">
        <v>5.032</v>
      </c>
      <c r="H1980" s="4">
        <f t="shared" si="150"/>
        <v>0.18992850481815363</v>
      </c>
      <c r="I1980" s="4">
        <f t="shared" si="151"/>
        <v>0</v>
      </c>
      <c r="J1980" s="10">
        <f t="shared" si="149"/>
        <v>0</v>
      </c>
    </row>
    <row r="1981" spans="1:10" x14ac:dyDescent="0.2">
      <c r="A1981" s="20"/>
      <c r="B1981" s="6" t="s">
        <v>21</v>
      </c>
      <c r="C1981" s="23"/>
      <c r="D1981">
        <v>796</v>
      </c>
      <c r="E1981">
        <v>2.4300000000000002</v>
      </c>
      <c r="F1981">
        <v>3.0550000000000002</v>
      </c>
      <c r="G1981">
        <v>4.8860000000000001</v>
      </c>
      <c r="H1981">
        <f t="shared" si="150"/>
        <v>0.19607201309328975</v>
      </c>
      <c r="I1981">
        <f t="shared" si="151"/>
        <v>639.92667757774132</v>
      </c>
      <c r="J1981" s="11" t="e">
        <f t="shared" si="149"/>
        <v>#DIV/0!</v>
      </c>
    </row>
    <row r="1982" spans="1:10" x14ac:dyDescent="0.2">
      <c r="A1982" s="25"/>
      <c r="B1982" s="8" t="s">
        <v>22</v>
      </c>
      <c r="C1982" s="26"/>
      <c r="D1982" s="7"/>
      <c r="E1982" s="7">
        <v>2.4790000000000001</v>
      </c>
      <c r="F1982" s="7">
        <v>3.5590000000000002</v>
      </c>
      <c r="G1982" s="7">
        <v>5.3049999999999997</v>
      </c>
      <c r="H1982" s="7">
        <f t="shared" si="150"/>
        <v>0.20595672941837609</v>
      </c>
      <c r="I1982" s="7">
        <f t="shared" si="151"/>
        <v>0</v>
      </c>
      <c r="J1982" s="12" t="e">
        <f t="shared" si="149"/>
        <v>#DIV/0!</v>
      </c>
    </row>
    <row r="1983" spans="1:10" x14ac:dyDescent="0.2">
      <c r="A1983" s="19" t="s">
        <v>9</v>
      </c>
      <c r="B1983" s="5" t="s">
        <v>20</v>
      </c>
      <c r="C1983" s="22">
        <v>10</v>
      </c>
      <c r="D1983" s="4"/>
      <c r="E1983" s="4">
        <v>2.4729999999999999</v>
      </c>
      <c r="F1983" s="4">
        <v>3.1549999999999998</v>
      </c>
      <c r="G1983" s="4">
        <v>4.9649999999999999</v>
      </c>
      <c r="H1983" s="4">
        <f t="shared" si="150"/>
        <v>0.2101426307448494</v>
      </c>
      <c r="I1983" s="4">
        <f t="shared" si="151"/>
        <v>0</v>
      </c>
      <c r="J1983" s="10">
        <f t="shared" si="149"/>
        <v>0</v>
      </c>
    </row>
    <row r="1984" spans="1:10" x14ac:dyDescent="0.2">
      <c r="A1984" s="20"/>
      <c r="B1984" s="6" t="s">
        <v>21</v>
      </c>
      <c r="C1984" s="23"/>
      <c r="D1984">
        <v>869</v>
      </c>
      <c r="E1984">
        <v>2.4430000000000001</v>
      </c>
      <c r="F1984">
        <v>3.0859999999999999</v>
      </c>
      <c r="G1984">
        <v>4.9370000000000003</v>
      </c>
      <c r="H1984">
        <f t="shared" si="150"/>
        <v>0.1918340894361632</v>
      </c>
      <c r="I1984">
        <f t="shared" si="151"/>
        <v>702.29617627997413</v>
      </c>
      <c r="J1984" s="11" t="e">
        <f t="shared" si="149"/>
        <v>#DIV/0!</v>
      </c>
    </row>
    <row r="1985" spans="1:10" x14ac:dyDescent="0.2">
      <c r="A1985" s="25"/>
      <c r="B1985" s="8" t="s">
        <v>22</v>
      </c>
      <c r="C1985" s="26"/>
      <c r="D1985" s="7"/>
      <c r="E1985" s="7">
        <v>2.4390000000000001</v>
      </c>
      <c r="F1985" s="7">
        <v>3.0350000000000001</v>
      </c>
      <c r="G1985" s="7">
        <v>4.899</v>
      </c>
      <c r="H1985" s="7">
        <f t="shared" si="150"/>
        <v>0.1894563426688633</v>
      </c>
      <c r="I1985" s="7">
        <f t="shared" si="151"/>
        <v>0</v>
      </c>
      <c r="J1985" s="12" t="e">
        <f t="shared" si="149"/>
        <v>#DIV/0!</v>
      </c>
    </row>
    <row r="1986" spans="1:10" x14ac:dyDescent="0.2">
      <c r="A1986" s="19" t="s">
        <v>10</v>
      </c>
      <c r="B1986" s="5" t="s">
        <v>20</v>
      </c>
      <c r="C1986" s="22">
        <v>10</v>
      </c>
      <c r="D1986" s="4"/>
      <c r="E1986" s="4">
        <v>2.452</v>
      </c>
      <c r="F1986" s="4">
        <v>3.673</v>
      </c>
      <c r="G1986" s="4">
        <v>5.407</v>
      </c>
      <c r="H1986" s="4">
        <f t="shared" si="150"/>
        <v>0.19548053362374079</v>
      </c>
      <c r="I1986" s="4">
        <f t="shared" si="151"/>
        <v>0</v>
      </c>
      <c r="J1986" s="10">
        <f t="shared" si="149"/>
        <v>0</v>
      </c>
    </row>
    <row r="1987" spans="1:10" x14ac:dyDescent="0.2">
      <c r="A1987" s="20"/>
      <c r="B1987" s="6" t="s">
        <v>21</v>
      </c>
      <c r="C1987" s="23"/>
      <c r="D1987">
        <v>783</v>
      </c>
      <c r="E1987">
        <v>2.4470000000000001</v>
      </c>
      <c r="F1987">
        <v>3.431</v>
      </c>
      <c r="G1987">
        <v>5.15</v>
      </c>
      <c r="H1987">
        <f t="shared" si="150"/>
        <v>0.21218303701544733</v>
      </c>
      <c r="I1987">
        <f t="shared" si="151"/>
        <v>616.86068201690478</v>
      </c>
      <c r="J1987" s="11" t="e">
        <f t="shared" si="149"/>
        <v>#DIV/0!</v>
      </c>
    </row>
    <row r="1988" spans="1:10" x14ac:dyDescent="0.2">
      <c r="A1988" s="25"/>
      <c r="B1988" s="8" t="s">
        <v>22</v>
      </c>
      <c r="C1988" s="26"/>
      <c r="D1988" s="7"/>
      <c r="E1988" s="7">
        <v>2.4289999999999998</v>
      </c>
      <c r="F1988" s="7">
        <v>3.4569999999999999</v>
      </c>
      <c r="G1988" s="7">
        <v>5.2450000000000001</v>
      </c>
      <c r="H1988" s="7">
        <f t="shared" si="150"/>
        <v>0.1854208851605437</v>
      </c>
      <c r="I1988" s="7">
        <f t="shared" si="151"/>
        <v>0</v>
      </c>
      <c r="J1988" s="12" t="e">
        <f t="shared" si="149"/>
        <v>#DIV/0!</v>
      </c>
    </row>
    <row r="1989" spans="1:10" x14ac:dyDescent="0.2">
      <c r="A1989" s="19" t="s">
        <v>11</v>
      </c>
      <c r="B1989" s="5" t="s">
        <v>20</v>
      </c>
      <c r="C1989" s="22">
        <v>10</v>
      </c>
      <c r="D1989" s="4"/>
      <c r="E1989" s="4">
        <v>2.4289999999999998</v>
      </c>
      <c r="F1989" s="4">
        <v>3.5670000000000002</v>
      </c>
      <c r="G1989" s="4">
        <v>5.2050000000000001</v>
      </c>
      <c r="H1989" s="4">
        <f t="shared" si="150"/>
        <v>0.22175497617045134</v>
      </c>
      <c r="I1989" s="4">
        <f t="shared" si="151"/>
        <v>0</v>
      </c>
      <c r="J1989" s="10">
        <f t="shared" si="149"/>
        <v>0</v>
      </c>
    </row>
    <row r="1990" spans="1:10" x14ac:dyDescent="0.2">
      <c r="A1990" s="20"/>
      <c r="B1990" s="6" t="s">
        <v>21</v>
      </c>
      <c r="C1990" s="23"/>
      <c r="D1990">
        <v>781</v>
      </c>
      <c r="E1990">
        <v>2.4359999999999999</v>
      </c>
      <c r="F1990">
        <v>3.294</v>
      </c>
      <c r="G1990">
        <v>5.0549999999999997</v>
      </c>
      <c r="H1990">
        <f t="shared" si="150"/>
        <v>0.20491803278688533</v>
      </c>
      <c r="I1990">
        <f t="shared" si="151"/>
        <v>620.95901639344254</v>
      </c>
      <c r="J1990" s="11" t="e">
        <f t="shared" si="149"/>
        <v>#DIV/0!</v>
      </c>
    </row>
    <row r="1991" spans="1:10" x14ac:dyDescent="0.2">
      <c r="A1991" s="25"/>
      <c r="B1991" s="8" t="s">
        <v>22</v>
      </c>
      <c r="C1991" s="26"/>
      <c r="D1991" s="7"/>
      <c r="E1991" s="7">
        <v>2.4380000000000002</v>
      </c>
      <c r="F1991" s="7">
        <v>3.1629999999999998</v>
      </c>
      <c r="G1991" s="7">
        <v>4.9729999999999999</v>
      </c>
      <c r="H1991" s="7">
        <f t="shared" si="150"/>
        <v>0.1985456844767626</v>
      </c>
      <c r="I1991" s="7">
        <f t="shared" si="151"/>
        <v>0</v>
      </c>
      <c r="J1991" s="12" t="e">
        <f t="shared" si="149"/>
        <v>#DIV/0!</v>
      </c>
    </row>
    <row r="1992" spans="1:10" x14ac:dyDescent="0.2">
      <c r="A1992" s="19" t="s">
        <v>12</v>
      </c>
      <c r="B1992" s="5" t="s">
        <v>20</v>
      </c>
      <c r="C1992" s="22">
        <v>10</v>
      </c>
      <c r="D1992" s="4"/>
      <c r="E1992" s="4">
        <v>2.4729999999999999</v>
      </c>
      <c r="F1992" s="4">
        <v>3.0859999999999999</v>
      </c>
      <c r="G1992" s="4">
        <v>4.9409999999999998</v>
      </c>
      <c r="H1992" s="4">
        <f t="shared" si="150"/>
        <v>0.20025923525599479</v>
      </c>
      <c r="I1992" s="4">
        <f t="shared" si="151"/>
        <v>0</v>
      </c>
      <c r="J1992" s="10">
        <f t="shared" si="149"/>
        <v>0</v>
      </c>
    </row>
    <row r="1993" spans="1:10" x14ac:dyDescent="0.2">
      <c r="A1993" s="20"/>
      <c r="B1993" s="6" t="s">
        <v>21</v>
      </c>
      <c r="C1993" s="23"/>
      <c r="D1993">
        <v>763</v>
      </c>
      <c r="E1993">
        <v>2.444</v>
      </c>
      <c r="F1993">
        <v>3.1080000000000001</v>
      </c>
      <c r="G1993">
        <v>4.8970000000000002</v>
      </c>
      <c r="H1993">
        <f t="shared" si="150"/>
        <v>0.21074646074646067</v>
      </c>
      <c r="I1993">
        <f t="shared" si="151"/>
        <v>602.20045045045049</v>
      </c>
      <c r="J1993" s="11" t="e">
        <f t="shared" si="149"/>
        <v>#DIV/0!</v>
      </c>
    </row>
    <row r="1994" spans="1:10" x14ac:dyDescent="0.2">
      <c r="A1994" s="25"/>
      <c r="B1994" s="8" t="s">
        <v>22</v>
      </c>
      <c r="C1994" s="26"/>
      <c r="D1994" s="7"/>
      <c r="E1994" s="7">
        <v>2.41</v>
      </c>
      <c r="F1994" s="7">
        <v>3.5219999999999998</v>
      </c>
      <c r="G1994" s="7">
        <v>5.29</v>
      </c>
      <c r="H1994" s="7">
        <f t="shared" si="150"/>
        <v>0.18228279386712093</v>
      </c>
      <c r="I1994" s="7">
        <f t="shared" si="151"/>
        <v>0</v>
      </c>
      <c r="J1994" s="12" t="e">
        <f t="shared" si="149"/>
        <v>#DIV/0!</v>
      </c>
    </row>
    <row r="1995" spans="1:10" x14ac:dyDescent="0.2">
      <c r="A1995" s="19" t="s">
        <v>13</v>
      </c>
      <c r="B1995" s="5" t="s">
        <v>20</v>
      </c>
      <c r="C1995" s="22">
        <v>10</v>
      </c>
      <c r="D1995" s="4"/>
      <c r="E1995" s="4">
        <v>2.4319999999999999</v>
      </c>
      <c r="F1995" s="4">
        <v>3.4</v>
      </c>
      <c r="G1995" s="4">
        <v>5.3760000000000003</v>
      </c>
      <c r="H1995" s="4">
        <f t="shared" si="150"/>
        <v>0.1341176470588234</v>
      </c>
      <c r="I1995" s="4">
        <f t="shared" si="151"/>
        <v>0</v>
      </c>
      <c r="J1995" s="10">
        <f t="shared" si="149"/>
        <v>0</v>
      </c>
    </row>
    <row r="1996" spans="1:10" x14ac:dyDescent="0.2">
      <c r="A1996" s="20"/>
      <c r="B1996" s="6" t="s">
        <v>21</v>
      </c>
      <c r="C1996" s="23"/>
      <c r="D1996">
        <v>673</v>
      </c>
      <c r="E1996">
        <v>2.4489999999999998</v>
      </c>
      <c r="F1996">
        <v>3.3839999999999999</v>
      </c>
      <c r="G1996">
        <v>5.2670000000000003</v>
      </c>
      <c r="H1996">
        <f t="shared" si="150"/>
        <v>0.16725768321512985</v>
      </c>
      <c r="I1996">
        <f t="shared" si="151"/>
        <v>560.43557919621765</v>
      </c>
      <c r="J1996" s="11" t="e">
        <f t="shared" si="149"/>
        <v>#DIV/0!</v>
      </c>
    </row>
    <row r="1997" spans="1:10" x14ac:dyDescent="0.2">
      <c r="A1997" s="25"/>
      <c r="B1997" s="8" t="s">
        <v>22</v>
      </c>
      <c r="C1997" s="26"/>
      <c r="D1997" s="7"/>
      <c r="E1997" s="7">
        <v>2.4500000000000002</v>
      </c>
      <c r="F1997" s="7">
        <v>3.5670000000000002</v>
      </c>
      <c r="G1997" s="7">
        <v>5.6029999999999998</v>
      </c>
      <c r="H1997" s="7">
        <f t="shared" si="150"/>
        <v>0.11606391925988241</v>
      </c>
      <c r="I1997" s="7">
        <f t="shared" si="151"/>
        <v>0</v>
      </c>
      <c r="J1997" s="12" t="e">
        <f t="shared" si="149"/>
        <v>#DIV/0!</v>
      </c>
    </row>
    <row r="1998" spans="1:10" x14ac:dyDescent="0.2">
      <c r="A1998" s="19" t="s">
        <v>14</v>
      </c>
      <c r="B1998" s="5" t="s">
        <v>20</v>
      </c>
      <c r="C1998" s="22">
        <v>9.5</v>
      </c>
      <c r="D1998" s="4"/>
      <c r="E1998" s="4">
        <v>2.4279999999999999</v>
      </c>
      <c r="F1998" s="4">
        <v>3.403</v>
      </c>
      <c r="G1998" s="4">
        <v>5.2729999999999997</v>
      </c>
      <c r="H1998" s="4">
        <f t="shared" si="150"/>
        <v>0.16397296503085521</v>
      </c>
      <c r="I1998" s="4">
        <f t="shared" si="151"/>
        <v>0</v>
      </c>
      <c r="J1998" s="10">
        <f t="shared" si="149"/>
        <v>0</v>
      </c>
    </row>
    <row r="1999" spans="1:10" x14ac:dyDescent="0.2">
      <c r="A1999" s="20"/>
      <c r="B1999" s="6" t="s">
        <v>21</v>
      </c>
      <c r="C1999" s="23"/>
      <c r="D1999">
        <v>639</v>
      </c>
      <c r="E1999">
        <v>2.4609999999999999</v>
      </c>
      <c r="F1999">
        <v>3.8919999999999999</v>
      </c>
      <c r="G1999">
        <v>5.7789999999999999</v>
      </c>
      <c r="H1999">
        <f t="shared" si="150"/>
        <v>0.14748201438848918</v>
      </c>
      <c r="I1999">
        <f t="shared" si="151"/>
        <v>544.75899280575538</v>
      </c>
      <c r="J1999" s="11" t="e">
        <f t="shared" si="149"/>
        <v>#DIV/0!</v>
      </c>
    </row>
    <row r="2000" spans="1:10" ht="16" thickBot="1" x14ac:dyDescent="0.25">
      <c r="A2000" s="21"/>
      <c r="B2000" s="15" t="s">
        <v>22</v>
      </c>
      <c r="C2000" s="24"/>
      <c r="D2000" s="13"/>
      <c r="E2000" s="13">
        <v>2.4430000000000001</v>
      </c>
      <c r="F2000" s="13">
        <v>3.23</v>
      </c>
      <c r="G2000" s="13">
        <v>5.2249999999999996</v>
      </c>
      <c r="H2000" s="13">
        <f t="shared" si="150"/>
        <v>0.1386996904024769</v>
      </c>
      <c r="I2000" s="13">
        <f t="shared" si="151"/>
        <v>0</v>
      </c>
      <c r="J2000" s="14" t="e">
        <f t="shared" si="149"/>
        <v>#DIV/0!</v>
      </c>
    </row>
    <row r="2001" spans="1:10" ht="16" thickBot="1" x14ac:dyDescent="0.25">
      <c r="A2001" s="44" t="s">
        <v>1</v>
      </c>
      <c r="B2001" s="33"/>
      <c r="C2001" s="33"/>
      <c r="D2001" s="33" t="s">
        <v>55</v>
      </c>
      <c r="E2001" s="34"/>
      <c r="F2001" s="9" t="s">
        <v>0</v>
      </c>
      <c r="G2001" s="18">
        <v>44157</v>
      </c>
      <c r="H2001" s="35" t="s">
        <v>24</v>
      </c>
      <c r="I2001" s="36"/>
      <c r="J2001" s="1">
        <v>112</v>
      </c>
    </row>
    <row r="2002" spans="1:10" ht="16" thickBot="1" x14ac:dyDescent="0.25">
      <c r="A2002" s="37" t="s">
        <v>2</v>
      </c>
      <c r="B2002" s="38"/>
      <c r="C2002" s="38"/>
      <c r="D2002" s="38"/>
      <c r="E2002" s="39"/>
      <c r="F2002" s="40"/>
      <c r="G2002" s="41"/>
      <c r="H2002" s="42" t="s">
        <v>25</v>
      </c>
      <c r="I2002" s="43"/>
      <c r="J2002" s="2">
        <v>28</v>
      </c>
    </row>
    <row r="2003" spans="1:10" ht="16" thickBot="1" x14ac:dyDescent="0.25">
      <c r="A2003" s="45" t="s">
        <v>27</v>
      </c>
      <c r="B2003" s="27"/>
      <c r="C2003" s="27"/>
      <c r="D2003" s="27" t="s">
        <v>33</v>
      </c>
      <c r="E2003" s="28"/>
      <c r="F2003" s="16" t="s">
        <v>30</v>
      </c>
      <c r="G2003" s="16">
        <v>3.81</v>
      </c>
      <c r="H2003" s="29" t="s">
        <v>26</v>
      </c>
      <c r="I2003" s="30"/>
      <c r="J2003" s="3">
        <v>52</v>
      </c>
    </row>
    <row r="2004" spans="1:10" x14ac:dyDescent="0.2">
      <c r="A2004" s="31"/>
      <c r="B2004" s="32"/>
      <c r="C2004" s="16" t="s">
        <v>29</v>
      </c>
      <c r="D2004" s="16" t="s">
        <v>19</v>
      </c>
      <c r="E2004" s="16" t="s">
        <v>15</v>
      </c>
      <c r="F2004" s="16" t="s">
        <v>18</v>
      </c>
      <c r="G2004" s="16" t="s">
        <v>17</v>
      </c>
      <c r="H2004" s="16" t="s">
        <v>28</v>
      </c>
      <c r="I2004" s="16" t="s">
        <v>16</v>
      </c>
      <c r="J2004" s="17" t="s">
        <v>23</v>
      </c>
    </row>
    <row r="2005" spans="1:10" x14ac:dyDescent="0.2">
      <c r="A2005" s="19" t="s">
        <v>3</v>
      </c>
      <c r="B2005" s="5" t="s">
        <v>20</v>
      </c>
      <c r="C2005" s="22">
        <v>10</v>
      </c>
      <c r="D2005" s="4"/>
      <c r="E2005" s="4">
        <v>2.4129999999999998</v>
      </c>
      <c r="F2005" s="4">
        <v>3.637</v>
      </c>
      <c r="G2005" s="4">
        <v>5.2149999999999999</v>
      </c>
      <c r="H2005" s="4">
        <f>(F2005-(G2005-E2005))/F2005</f>
        <v>0.22958482265603519</v>
      </c>
      <c r="I2005" s="4">
        <f>D2005-H2005*D2005</f>
        <v>0</v>
      </c>
      <c r="J2005" s="10">
        <f t="shared" ref="J2005:J2040" si="152">I2005/($G$3^2*C2005*PI())</f>
        <v>0</v>
      </c>
    </row>
    <row r="2006" spans="1:10" x14ac:dyDescent="0.2">
      <c r="A2006" s="20"/>
      <c r="B2006" s="6" t="s">
        <v>21</v>
      </c>
      <c r="C2006" s="23"/>
      <c r="D2006">
        <v>631</v>
      </c>
      <c r="E2006">
        <v>2.448</v>
      </c>
      <c r="F2006">
        <v>3.9460000000000002</v>
      </c>
      <c r="G2006">
        <v>5.4489999999999998</v>
      </c>
      <c r="H2006">
        <f t="shared" ref="H2006:H2040" si="153">(F2006-(G2006-E2006))/F2006</f>
        <v>0.23948302078053732</v>
      </c>
      <c r="I2006">
        <f t="shared" ref="I2006:I2040" si="154">D2006-H2006*D2006</f>
        <v>479.88621388748095</v>
      </c>
      <c r="J2006" s="11" t="e">
        <f t="shared" si="152"/>
        <v>#DIV/0!</v>
      </c>
    </row>
    <row r="2007" spans="1:10" x14ac:dyDescent="0.2">
      <c r="A2007" s="25"/>
      <c r="B2007" s="8" t="s">
        <v>22</v>
      </c>
      <c r="C2007" s="26"/>
      <c r="D2007" s="7"/>
      <c r="E2007" s="7">
        <v>2.4660000000000002</v>
      </c>
      <c r="F2007" s="7">
        <v>3.363</v>
      </c>
      <c r="G2007" s="7">
        <v>5.0579999999999998</v>
      </c>
      <c r="H2007" s="7">
        <f t="shared" si="153"/>
        <v>0.22925958965209645</v>
      </c>
      <c r="I2007" s="7">
        <f t="shared" si="154"/>
        <v>0</v>
      </c>
      <c r="J2007" s="12" t="e">
        <f t="shared" si="152"/>
        <v>#DIV/0!</v>
      </c>
    </row>
    <row r="2008" spans="1:10" x14ac:dyDescent="0.2">
      <c r="A2008" s="19" t="s">
        <v>4</v>
      </c>
      <c r="B2008" s="5" t="s">
        <v>20</v>
      </c>
      <c r="C2008" s="23">
        <v>10</v>
      </c>
      <c r="E2008">
        <v>2.4540000000000002</v>
      </c>
      <c r="F2008">
        <v>3.8460000000000001</v>
      </c>
      <c r="G2008">
        <v>5.5460000000000003</v>
      </c>
      <c r="H2008" s="4">
        <f t="shared" si="153"/>
        <v>0.19604784191367655</v>
      </c>
      <c r="I2008" s="4">
        <f t="shared" si="154"/>
        <v>0</v>
      </c>
      <c r="J2008" s="10">
        <f t="shared" si="152"/>
        <v>0</v>
      </c>
    </row>
    <row r="2009" spans="1:10" x14ac:dyDescent="0.2">
      <c r="A2009" s="20"/>
      <c r="B2009" s="6" t="s">
        <v>21</v>
      </c>
      <c r="C2009" s="23"/>
      <c r="D2009">
        <v>742</v>
      </c>
      <c r="E2009">
        <v>2.4790000000000001</v>
      </c>
      <c r="F2009">
        <v>3.5840000000000001</v>
      </c>
      <c r="G2009">
        <v>5.3550000000000004</v>
      </c>
      <c r="H2009">
        <f t="shared" si="153"/>
        <v>0.19754464285714279</v>
      </c>
      <c r="I2009">
        <f t="shared" si="154"/>
        <v>595.421875</v>
      </c>
      <c r="J2009" s="11" t="e">
        <f t="shared" si="152"/>
        <v>#DIV/0!</v>
      </c>
    </row>
    <row r="2010" spans="1:10" x14ac:dyDescent="0.2">
      <c r="A2010" s="25"/>
      <c r="B2010" s="8" t="s">
        <v>22</v>
      </c>
      <c r="C2010" s="26"/>
      <c r="D2010" s="7"/>
      <c r="E2010" s="7">
        <v>2.4180000000000001</v>
      </c>
      <c r="F2010" s="7">
        <v>3.3580000000000001</v>
      </c>
      <c r="G2010" s="7">
        <v>5.0890000000000004</v>
      </c>
      <c r="H2010" s="7">
        <f t="shared" si="153"/>
        <v>0.2045860631328171</v>
      </c>
      <c r="I2010" s="7">
        <f t="shared" si="154"/>
        <v>0</v>
      </c>
      <c r="J2010" s="12" t="e">
        <f t="shared" si="152"/>
        <v>#DIV/0!</v>
      </c>
    </row>
    <row r="2011" spans="1:10" x14ac:dyDescent="0.2">
      <c r="A2011" s="19" t="s">
        <v>5</v>
      </c>
      <c r="B2011" s="5" t="s">
        <v>20</v>
      </c>
      <c r="C2011" s="22">
        <v>10</v>
      </c>
      <c r="D2011" s="4"/>
      <c r="E2011" s="4">
        <v>2.4630000000000001</v>
      </c>
      <c r="F2011" s="4">
        <v>3.5070000000000001</v>
      </c>
      <c r="G2011" s="4">
        <v>5.3079999999999998</v>
      </c>
      <c r="H2011" s="4">
        <f t="shared" si="153"/>
        <v>0.18876532648987748</v>
      </c>
      <c r="I2011" s="4">
        <f t="shared" si="154"/>
        <v>0</v>
      </c>
      <c r="J2011" s="10">
        <f t="shared" si="152"/>
        <v>0</v>
      </c>
    </row>
    <row r="2012" spans="1:10" x14ac:dyDescent="0.2">
      <c r="A2012" s="20"/>
      <c r="B2012" s="6" t="s">
        <v>21</v>
      </c>
      <c r="C2012" s="23"/>
      <c r="D2012">
        <v>765</v>
      </c>
      <c r="E2012">
        <v>2.4359999999999999</v>
      </c>
      <c r="F2012">
        <v>3.375</v>
      </c>
      <c r="G2012">
        <v>5.2190000000000003</v>
      </c>
      <c r="H2012">
        <f t="shared" si="153"/>
        <v>0.17540740740740729</v>
      </c>
      <c r="I2012">
        <f t="shared" si="154"/>
        <v>630.81333333333339</v>
      </c>
      <c r="J2012" s="11" t="e">
        <f t="shared" si="152"/>
        <v>#DIV/0!</v>
      </c>
    </row>
    <row r="2013" spans="1:10" x14ac:dyDescent="0.2">
      <c r="A2013" s="25"/>
      <c r="B2013" s="8" t="s">
        <v>22</v>
      </c>
      <c r="C2013" s="26"/>
      <c r="D2013" s="7"/>
      <c r="E2013" s="7">
        <v>2.4620000000000002</v>
      </c>
      <c r="F2013" s="7">
        <v>3.073</v>
      </c>
      <c r="G2013" s="7">
        <v>4.984</v>
      </c>
      <c r="H2013" s="7">
        <f t="shared" si="153"/>
        <v>0.1793036121054345</v>
      </c>
      <c r="I2013" s="7">
        <f t="shared" si="154"/>
        <v>0</v>
      </c>
      <c r="J2013" s="12" t="e">
        <f t="shared" si="152"/>
        <v>#DIV/0!</v>
      </c>
    </row>
    <row r="2014" spans="1:10" x14ac:dyDescent="0.2">
      <c r="A2014" s="19" t="s">
        <v>6</v>
      </c>
      <c r="B2014" s="5" t="s">
        <v>20</v>
      </c>
      <c r="C2014" s="22">
        <v>10</v>
      </c>
      <c r="D2014" s="4"/>
      <c r="E2014" s="4">
        <v>2.4409999999999998</v>
      </c>
      <c r="F2014" s="4">
        <v>3.032</v>
      </c>
      <c r="G2014" s="4">
        <v>4.9320000000000004</v>
      </c>
      <c r="H2014" s="4">
        <f t="shared" si="153"/>
        <v>0.17843007915567266</v>
      </c>
      <c r="I2014" s="4">
        <f t="shared" si="154"/>
        <v>0</v>
      </c>
      <c r="J2014" s="10">
        <f t="shared" si="152"/>
        <v>0</v>
      </c>
    </row>
    <row r="2015" spans="1:10" x14ac:dyDescent="0.2">
      <c r="A2015" s="20"/>
      <c r="B2015" s="6" t="s">
        <v>21</v>
      </c>
      <c r="C2015" s="23"/>
      <c r="D2015">
        <v>744</v>
      </c>
      <c r="E2015">
        <v>2.444</v>
      </c>
      <c r="F2015">
        <v>3.0569999999999999</v>
      </c>
      <c r="G2015">
        <v>4.9729999999999999</v>
      </c>
      <c r="H2015">
        <f t="shared" si="153"/>
        <v>0.17271835132482827</v>
      </c>
      <c r="I2015">
        <f t="shared" si="154"/>
        <v>615.4975466143278</v>
      </c>
      <c r="J2015" s="11" t="e">
        <f t="shared" si="152"/>
        <v>#DIV/0!</v>
      </c>
    </row>
    <row r="2016" spans="1:10" x14ac:dyDescent="0.2">
      <c r="A2016" s="25"/>
      <c r="B2016" s="8" t="s">
        <v>22</v>
      </c>
      <c r="C2016" s="26"/>
      <c r="D2016" s="7"/>
      <c r="E2016" s="7">
        <v>2.4820000000000002</v>
      </c>
      <c r="F2016" s="7">
        <v>3.2429999999999999</v>
      </c>
      <c r="G2016" s="7">
        <v>5.1520000000000001</v>
      </c>
      <c r="H2016" s="7">
        <f t="shared" si="153"/>
        <v>0.17668825161887142</v>
      </c>
      <c r="I2016" s="7">
        <f t="shared" si="154"/>
        <v>0</v>
      </c>
      <c r="J2016" s="12" t="e">
        <f t="shared" si="152"/>
        <v>#DIV/0!</v>
      </c>
    </row>
    <row r="2017" spans="1:10" x14ac:dyDescent="0.2">
      <c r="A2017" s="19" t="s">
        <v>7</v>
      </c>
      <c r="B2017" s="5" t="s">
        <v>20</v>
      </c>
      <c r="C2017" s="22">
        <v>10</v>
      </c>
      <c r="D2017" s="4"/>
      <c r="E2017" s="4">
        <v>2.4319999999999999</v>
      </c>
      <c r="F2017" s="4">
        <v>3.452</v>
      </c>
      <c r="G2017" s="4">
        <v>5.2690000000000001</v>
      </c>
      <c r="H2017" s="4">
        <f t="shared" si="153"/>
        <v>0.17815758980301269</v>
      </c>
      <c r="I2017" s="4">
        <f t="shared" si="154"/>
        <v>0</v>
      </c>
      <c r="J2017" s="10">
        <f t="shared" si="152"/>
        <v>0</v>
      </c>
    </row>
    <row r="2018" spans="1:10" x14ac:dyDescent="0.2">
      <c r="A2018" s="20"/>
      <c r="B2018" s="6" t="s">
        <v>21</v>
      </c>
      <c r="C2018" s="23"/>
      <c r="D2018">
        <v>817</v>
      </c>
      <c r="E2018">
        <v>2.4660000000000002</v>
      </c>
      <c r="F2018">
        <v>3.1440000000000001</v>
      </c>
      <c r="G2018">
        <v>5.048</v>
      </c>
      <c r="H2018">
        <f t="shared" si="153"/>
        <v>0.17875318066157769</v>
      </c>
      <c r="I2018">
        <f t="shared" si="154"/>
        <v>670.95865139949103</v>
      </c>
      <c r="J2018" s="11" t="e">
        <f t="shared" si="152"/>
        <v>#DIV/0!</v>
      </c>
    </row>
    <row r="2019" spans="1:10" x14ac:dyDescent="0.2">
      <c r="A2019" s="25"/>
      <c r="B2019" s="8" t="s">
        <v>22</v>
      </c>
      <c r="C2019" s="26"/>
      <c r="D2019" s="7"/>
      <c r="E2019" s="7">
        <v>2.4620000000000002</v>
      </c>
      <c r="F2019" s="7">
        <v>3.3420000000000001</v>
      </c>
      <c r="G2019" s="7">
        <v>5.21</v>
      </c>
      <c r="H2019" s="7">
        <f t="shared" si="153"/>
        <v>0.17773788150807909</v>
      </c>
      <c r="I2019" s="7">
        <f t="shared" si="154"/>
        <v>0</v>
      </c>
      <c r="J2019" s="12" t="e">
        <f t="shared" si="152"/>
        <v>#DIV/0!</v>
      </c>
    </row>
    <row r="2020" spans="1:10" x14ac:dyDescent="0.2">
      <c r="A2020" s="19" t="s">
        <v>8</v>
      </c>
      <c r="B2020" s="5" t="s">
        <v>20</v>
      </c>
      <c r="C2020" s="22">
        <v>10</v>
      </c>
      <c r="D2020" s="4"/>
      <c r="E2020" s="4">
        <v>2.4300000000000002</v>
      </c>
      <c r="F2020" s="4">
        <v>3.4020000000000001</v>
      </c>
      <c r="G2020" s="4">
        <v>5.2859999999999996</v>
      </c>
      <c r="H2020" s="4">
        <f t="shared" si="153"/>
        <v>0.16049382716049404</v>
      </c>
      <c r="I2020" s="4">
        <f t="shared" si="154"/>
        <v>0</v>
      </c>
      <c r="J2020" s="10">
        <f t="shared" si="152"/>
        <v>0</v>
      </c>
    </row>
    <row r="2021" spans="1:10" x14ac:dyDescent="0.2">
      <c r="A2021" s="20"/>
      <c r="B2021" s="6" t="s">
        <v>21</v>
      </c>
      <c r="C2021" s="23"/>
      <c r="D2021">
        <v>805</v>
      </c>
      <c r="E2021">
        <v>2.4300000000000002</v>
      </c>
      <c r="F2021">
        <v>3.9220000000000002</v>
      </c>
      <c r="G2021">
        <v>5.7169999999999996</v>
      </c>
      <c r="H2021">
        <f t="shared" si="153"/>
        <v>0.16190719020907718</v>
      </c>
      <c r="I2021">
        <f t="shared" si="154"/>
        <v>674.66471188169294</v>
      </c>
      <c r="J2021" s="11" t="e">
        <f t="shared" si="152"/>
        <v>#DIV/0!</v>
      </c>
    </row>
    <row r="2022" spans="1:10" x14ac:dyDescent="0.2">
      <c r="A2022" s="25"/>
      <c r="B2022" s="8" t="s">
        <v>22</v>
      </c>
      <c r="C2022" s="26"/>
      <c r="D2022" s="7"/>
      <c r="E2022" s="7">
        <v>2.4609999999999999</v>
      </c>
      <c r="F2022" s="7">
        <v>3.1829999999999998</v>
      </c>
      <c r="G2022" s="7">
        <v>5.141</v>
      </c>
      <c r="H2022" s="7">
        <f t="shared" si="153"/>
        <v>0.15802701853597226</v>
      </c>
      <c r="I2022" s="7">
        <f t="shared" si="154"/>
        <v>0</v>
      </c>
      <c r="J2022" s="12" t="e">
        <f t="shared" si="152"/>
        <v>#DIV/0!</v>
      </c>
    </row>
    <row r="2023" spans="1:10" x14ac:dyDescent="0.2">
      <c r="A2023" s="19" t="s">
        <v>9</v>
      </c>
      <c r="B2023" s="5" t="s">
        <v>20</v>
      </c>
      <c r="C2023" s="22">
        <v>10</v>
      </c>
      <c r="D2023" s="4"/>
      <c r="E2023" s="4">
        <v>2.4670000000000001</v>
      </c>
      <c r="F2023" s="4">
        <v>3.1389999999999998</v>
      </c>
      <c r="G2023" s="4">
        <v>5.0540000000000003</v>
      </c>
      <c r="H2023" s="4">
        <f t="shared" si="153"/>
        <v>0.17585218222363799</v>
      </c>
      <c r="I2023" s="4">
        <f t="shared" si="154"/>
        <v>0</v>
      </c>
      <c r="J2023" s="10">
        <f t="shared" si="152"/>
        <v>0</v>
      </c>
    </row>
    <row r="2024" spans="1:10" x14ac:dyDescent="0.2">
      <c r="A2024" s="20"/>
      <c r="B2024" s="6" t="s">
        <v>21</v>
      </c>
      <c r="C2024" s="23"/>
      <c r="D2024">
        <v>797</v>
      </c>
      <c r="E2024">
        <v>2.4510000000000001</v>
      </c>
      <c r="F2024">
        <v>3.1190000000000002</v>
      </c>
      <c r="G2024">
        <v>4.976</v>
      </c>
      <c r="H2024">
        <f t="shared" si="153"/>
        <v>0.19044565565886509</v>
      </c>
      <c r="I2024">
        <f t="shared" si="154"/>
        <v>645.21481243988455</v>
      </c>
      <c r="J2024" s="11" t="e">
        <f t="shared" si="152"/>
        <v>#DIV/0!</v>
      </c>
    </row>
    <row r="2025" spans="1:10" x14ac:dyDescent="0.2">
      <c r="A2025" s="25"/>
      <c r="B2025" s="8" t="s">
        <v>22</v>
      </c>
      <c r="C2025" s="26"/>
      <c r="D2025" s="7"/>
      <c r="E2025" s="7">
        <v>2.4620000000000002</v>
      </c>
      <c r="F2025" s="7">
        <v>3.5529999999999999</v>
      </c>
      <c r="G2025" s="7">
        <v>5.3789999999999996</v>
      </c>
      <c r="H2025" s="7">
        <f t="shared" si="153"/>
        <v>0.17900365887982003</v>
      </c>
      <c r="I2025" s="7">
        <f t="shared" si="154"/>
        <v>0</v>
      </c>
      <c r="J2025" s="12" t="e">
        <f t="shared" si="152"/>
        <v>#DIV/0!</v>
      </c>
    </row>
    <row r="2026" spans="1:10" x14ac:dyDescent="0.2">
      <c r="A2026" s="19" t="s">
        <v>10</v>
      </c>
      <c r="B2026" s="5" t="s">
        <v>20</v>
      </c>
      <c r="C2026" s="22">
        <v>10</v>
      </c>
      <c r="D2026" s="4"/>
      <c r="E2026" s="4">
        <v>2.4430000000000001</v>
      </c>
      <c r="F2026" s="4">
        <v>3.8849999999999998</v>
      </c>
      <c r="G2026" s="4">
        <v>5.6680000000000001</v>
      </c>
      <c r="H2026" s="4">
        <f t="shared" si="153"/>
        <v>0.16988416988416982</v>
      </c>
      <c r="I2026" s="4">
        <f t="shared" si="154"/>
        <v>0</v>
      </c>
      <c r="J2026" s="10">
        <f t="shared" si="152"/>
        <v>0</v>
      </c>
    </row>
    <row r="2027" spans="1:10" x14ac:dyDescent="0.2">
      <c r="A2027" s="20"/>
      <c r="B2027" s="6" t="s">
        <v>21</v>
      </c>
      <c r="C2027" s="23"/>
      <c r="D2027">
        <v>799</v>
      </c>
      <c r="E2027">
        <v>2.4380000000000002</v>
      </c>
      <c r="F2027">
        <v>3.3330000000000002</v>
      </c>
      <c r="G2027">
        <v>5.22</v>
      </c>
      <c r="H2027">
        <f t="shared" si="153"/>
        <v>0.16531653165316548</v>
      </c>
      <c r="I2027">
        <f t="shared" si="154"/>
        <v>666.91209120912072</v>
      </c>
      <c r="J2027" s="11" t="e">
        <f t="shared" si="152"/>
        <v>#DIV/0!</v>
      </c>
    </row>
    <row r="2028" spans="1:10" x14ac:dyDescent="0.2">
      <c r="A2028" s="25"/>
      <c r="B2028" s="8" t="s">
        <v>22</v>
      </c>
      <c r="C2028" s="26"/>
      <c r="D2028" s="7"/>
      <c r="E2028" s="7">
        <v>2.4249999999999998</v>
      </c>
      <c r="F2028" s="7">
        <v>3.637</v>
      </c>
      <c r="G2028" s="7">
        <v>5.4660000000000002</v>
      </c>
      <c r="H2028" s="7">
        <f t="shared" si="153"/>
        <v>0.16387132251855915</v>
      </c>
      <c r="I2028" s="7">
        <f t="shared" si="154"/>
        <v>0</v>
      </c>
      <c r="J2028" s="12" t="e">
        <f t="shared" si="152"/>
        <v>#DIV/0!</v>
      </c>
    </row>
    <row r="2029" spans="1:10" x14ac:dyDescent="0.2">
      <c r="A2029" s="19" t="s">
        <v>11</v>
      </c>
      <c r="B2029" s="5" t="s">
        <v>20</v>
      </c>
      <c r="C2029" s="22">
        <v>10</v>
      </c>
      <c r="D2029" s="4"/>
      <c r="E2029" s="4">
        <v>2.4279999999999999</v>
      </c>
      <c r="F2029" s="4">
        <v>3.835</v>
      </c>
      <c r="G2029" s="4">
        <v>5.6669999999999998</v>
      </c>
      <c r="H2029" s="4">
        <f t="shared" si="153"/>
        <v>0.15541069100391136</v>
      </c>
      <c r="I2029" s="4">
        <f t="shared" si="154"/>
        <v>0</v>
      </c>
      <c r="J2029" s="10">
        <f t="shared" si="152"/>
        <v>0</v>
      </c>
    </row>
    <row r="2030" spans="1:10" x14ac:dyDescent="0.2">
      <c r="A2030" s="20"/>
      <c r="B2030" s="6" t="s">
        <v>21</v>
      </c>
      <c r="C2030" s="23"/>
      <c r="D2030">
        <v>831</v>
      </c>
      <c r="E2030">
        <v>2.4700000000000002</v>
      </c>
      <c r="F2030">
        <v>3.206</v>
      </c>
      <c r="G2030">
        <v>5.1230000000000002</v>
      </c>
      <c r="H2030">
        <f t="shared" si="153"/>
        <v>0.1724890829694323</v>
      </c>
      <c r="I2030">
        <f t="shared" si="154"/>
        <v>687.66157205240177</v>
      </c>
      <c r="J2030" s="11" t="e">
        <f t="shared" si="152"/>
        <v>#DIV/0!</v>
      </c>
    </row>
    <row r="2031" spans="1:10" x14ac:dyDescent="0.2">
      <c r="A2031" s="25"/>
      <c r="B2031" s="8" t="s">
        <v>22</v>
      </c>
      <c r="C2031" s="26"/>
      <c r="D2031" s="7"/>
      <c r="E2031" s="7">
        <v>2.444</v>
      </c>
      <c r="F2031" s="7">
        <v>3.0619999999999998</v>
      </c>
      <c r="G2031" s="7">
        <v>4.968</v>
      </c>
      <c r="H2031" s="7">
        <f t="shared" si="153"/>
        <v>0.17570215545395163</v>
      </c>
      <c r="I2031" s="7">
        <f t="shared" si="154"/>
        <v>0</v>
      </c>
      <c r="J2031" s="12" t="e">
        <f t="shared" si="152"/>
        <v>#DIV/0!</v>
      </c>
    </row>
    <row r="2032" spans="1:10" x14ac:dyDescent="0.2">
      <c r="A2032" s="19" t="s">
        <v>12</v>
      </c>
      <c r="B2032" s="5" t="s">
        <v>20</v>
      </c>
      <c r="C2032" s="22">
        <v>10</v>
      </c>
      <c r="D2032" s="4"/>
      <c r="E2032" s="4">
        <v>2.4390000000000001</v>
      </c>
      <c r="F2032" s="4">
        <v>3.504</v>
      </c>
      <c r="G2032" s="4">
        <v>5.28</v>
      </c>
      <c r="H2032" s="4">
        <f t="shared" si="153"/>
        <v>0.18921232876712324</v>
      </c>
      <c r="I2032" s="4">
        <f t="shared" si="154"/>
        <v>0</v>
      </c>
      <c r="J2032" s="10">
        <f t="shared" si="152"/>
        <v>0</v>
      </c>
    </row>
    <row r="2033" spans="1:10" x14ac:dyDescent="0.2">
      <c r="A2033" s="20"/>
      <c r="B2033" s="6" t="s">
        <v>21</v>
      </c>
      <c r="C2033" s="23"/>
      <c r="D2033">
        <v>744</v>
      </c>
      <c r="E2033">
        <v>2.4449999999999998</v>
      </c>
      <c r="F2033">
        <v>3.0760000000000001</v>
      </c>
      <c r="G2033">
        <v>4.8140000000000001</v>
      </c>
      <c r="H2033">
        <f t="shared" si="153"/>
        <v>0.22984395318595574</v>
      </c>
      <c r="I2033">
        <f t="shared" si="154"/>
        <v>572.99609882964887</v>
      </c>
      <c r="J2033" s="11" t="e">
        <f t="shared" si="152"/>
        <v>#DIV/0!</v>
      </c>
    </row>
    <row r="2034" spans="1:10" x14ac:dyDescent="0.2">
      <c r="A2034" s="25"/>
      <c r="B2034" s="8" t="s">
        <v>22</v>
      </c>
      <c r="C2034" s="26"/>
      <c r="D2034" s="7"/>
      <c r="E2034" s="7">
        <v>2.423</v>
      </c>
      <c r="F2034" s="7">
        <v>3.8690000000000002</v>
      </c>
      <c r="G2034" s="7">
        <v>5.577</v>
      </c>
      <c r="H2034" s="7">
        <f t="shared" si="153"/>
        <v>0.18480227448953224</v>
      </c>
      <c r="I2034" s="7">
        <f t="shared" si="154"/>
        <v>0</v>
      </c>
      <c r="J2034" s="12" t="e">
        <f t="shared" si="152"/>
        <v>#DIV/0!</v>
      </c>
    </row>
    <row r="2035" spans="1:10" x14ac:dyDescent="0.2">
      <c r="A2035" s="19" t="s">
        <v>13</v>
      </c>
      <c r="B2035" s="5" t="s">
        <v>20</v>
      </c>
      <c r="C2035" s="22">
        <v>10</v>
      </c>
      <c r="D2035" s="4"/>
      <c r="E2035" s="4">
        <v>2.4260000000000002</v>
      </c>
      <c r="F2035" s="4">
        <v>3.2170000000000001</v>
      </c>
      <c r="G2035" s="4">
        <v>4.8849999999999998</v>
      </c>
      <c r="H2035" s="4">
        <f t="shared" si="153"/>
        <v>0.23562325147653107</v>
      </c>
      <c r="I2035" s="4">
        <f t="shared" si="154"/>
        <v>0</v>
      </c>
      <c r="J2035" s="10">
        <f t="shared" si="152"/>
        <v>0</v>
      </c>
    </row>
    <row r="2036" spans="1:10" x14ac:dyDescent="0.2">
      <c r="A2036" s="20"/>
      <c r="B2036" s="6" t="s">
        <v>21</v>
      </c>
      <c r="C2036" s="23"/>
      <c r="D2036">
        <v>705</v>
      </c>
      <c r="E2036">
        <v>2.444</v>
      </c>
      <c r="F2036">
        <v>3.4460000000000002</v>
      </c>
      <c r="G2036">
        <v>5.1070000000000002</v>
      </c>
      <c r="H2036">
        <f t="shared" si="153"/>
        <v>0.22721996517701679</v>
      </c>
      <c r="I2036">
        <f t="shared" si="154"/>
        <v>544.80992455020316</v>
      </c>
      <c r="J2036" s="11" t="e">
        <f t="shared" si="152"/>
        <v>#DIV/0!</v>
      </c>
    </row>
    <row r="2037" spans="1:10" x14ac:dyDescent="0.2">
      <c r="A2037" s="25"/>
      <c r="B2037" s="8" t="s">
        <v>22</v>
      </c>
      <c r="C2037" s="26"/>
      <c r="D2037" s="7"/>
      <c r="E2037" s="7">
        <v>2.4420000000000002</v>
      </c>
      <c r="F2037" s="7">
        <v>3.0059999999999998</v>
      </c>
      <c r="G2037" s="7">
        <v>4.742</v>
      </c>
      <c r="H2037" s="7">
        <f t="shared" si="153"/>
        <v>0.23486360612109117</v>
      </c>
      <c r="I2037" s="7">
        <f t="shared" si="154"/>
        <v>0</v>
      </c>
      <c r="J2037" s="12" t="e">
        <f t="shared" si="152"/>
        <v>#DIV/0!</v>
      </c>
    </row>
    <row r="2038" spans="1:10" x14ac:dyDescent="0.2">
      <c r="A2038" s="19" t="s">
        <v>14</v>
      </c>
      <c r="B2038" s="5" t="s">
        <v>20</v>
      </c>
      <c r="C2038" s="22">
        <v>10</v>
      </c>
      <c r="D2038" s="4"/>
      <c r="E2038" s="4"/>
      <c r="F2038" s="4"/>
      <c r="G2038" s="4"/>
      <c r="H2038" s="4" t="e">
        <f t="shared" si="153"/>
        <v>#DIV/0!</v>
      </c>
      <c r="I2038" s="4" t="e">
        <f t="shared" si="154"/>
        <v>#DIV/0!</v>
      </c>
      <c r="J2038" s="10" t="e">
        <f t="shared" si="152"/>
        <v>#DIV/0!</v>
      </c>
    </row>
    <row r="2039" spans="1:10" x14ac:dyDescent="0.2">
      <c r="A2039" s="20"/>
      <c r="B2039" s="6" t="s">
        <v>21</v>
      </c>
      <c r="C2039" s="23"/>
      <c r="H2039" t="e">
        <f t="shared" si="153"/>
        <v>#DIV/0!</v>
      </c>
      <c r="I2039" t="e">
        <f t="shared" si="154"/>
        <v>#DIV/0!</v>
      </c>
      <c r="J2039" s="11" t="e">
        <f t="shared" si="152"/>
        <v>#DIV/0!</v>
      </c>
    </row>
    <row r="2040" spans="1:10" ht="16" thickBot="1" x14ac:dyDescent="0.25">
      <c r="A2040" s="21"/>
      <c r="B2040" s="15" t="s">
        <v>22</v>
      </c>
      <c r="C2040" s="24"/>
      <c r="D2040" s="13"/>
      <c r="E2040" s="13"/>
      <c r="F2040" s="13"/>
      <c r="G2040" s="13"/>
      <c r="H2040" s="13" t="e">
        <f t="shared" si="153"/>
        <v>#DIV/0!</v>
      </c>
      <c r="I2040" s="13" t="e">
        <f t="shared" si="154"/>
        <v>#DIV/0!</v>
      </c>
      <c r="J2040" s="14" t="e">
        <f t="shared" si="152"/>
        <v>#DIV/0!</v>
      </c>
    </row>
  </sheetData>
  <mergeCells count="1785">
    <mergeCell ref="H41:I41"/>
    <mergeCell ref="A42:C42"/>
    <mergeCell ref="D42:E42"/>
    <mergeCell ref="F42:G42"/>
    <mergeCell ref="H42:I42"/>
    <mergeCell ref="A43:C43"/>
    <mergeCell ref="D43:E43"/>
    <mergeCell ref="H43:I43"/>
    <mergeCell ref="A44:B44"/>
    <mergeCell ref="A45:A47"/>
    <mergeCell ref="C45:C47"/>
    <mergeCell ref="D1:E1"/>
    <mergeCell ref="A5:A7"/>
    <mergeCell ref="D2:E2"/>
    <mergeCell ref="A41:C41"/>
    <mergeCell ref="D41:E41"/>
    <mergeCell ref="H1:I1"/>
    <mergeCell ref="H2:I2"/>
    <mergeCell ref="H3:I3"/>
    <mergeCell ref="A26:A28"/>
    <mergeCell ref="A29:A31"/>
    <mergeCell ref="A2:C2"/>
    <mergeCell ref="A4:B4"/>
    <mergeCell ref="C5:C7"/>
    <mergeCell ref="C8:C10"/>
    <mergeCell ref="A8:A10"/>
    <mergeCell ref="A11:A13"/>
    <mergeCell ref="A14:A16"/>
    <mergeCell ref="A17:A19"/>
    <mergeCell ref="A20:A22"/>
    <mergeCell ref="A23:A25"/>
    <mergeCell ref="A1:C1"/>
    <mergeCell ref="F2:G2"/>
    <mergeCell ref="C11:C13"/>
    <mergeCell ref="C14:C16"/>
    <mergeCell ref="C17:C19"/>
    <mergeCell ref="C20:C22"/>
    <mergeCell ref="C23:C25"/>
    <mergeCell ref="C26:C28"/>
    <mergeCell ref="D3:E3"/>
    <mergeCell ref="A3:C3"/>
    <mergeCell ref="A32:A34"/>
    <mergeCell ref="A35:A37"/>
    <mergeCell ref="A66:A68"/>
    <mergeCell ref="C66:C68"/>
    <mergeCell ref="A38:A40"/>
    <mergeCell ref="C29:C31"/>
    <mergeCell ref="C32:C34"/>
    <mergeCell ref="C35:C37"/>
    <mergeCell ref="C38:C40"/>
    <mergeCell ref="A69:A71"/>
    <mergeCell ref="C69:C71"/>
    <mergeCell ref="A72:A74"/>
    <mergeCell ref="C72:C74"/>
    <mergeCell ref="A57:A59"/>
    <mergeCell ref="C57:C59"/>
    <mergeCell ref="A60:A62"/>
    <mergeCell ref="C60:C62"/>
    <mergeCell ref="A63:A65"/>
    <mergeCell ref="C63:C65"/>
    <mergeCell ref="A48:A50"/>
    <mergeCell ref="C48:C50"/>
    <mergeCell ref="A51:A53"/>
    <mergeCell ref="C51:C53"/>
    <mergeCell ref="A54:A56"/>
    <mergeCell ref="C54:C56"/>
    <mergeCell ref="A83:C83"/>
    <mergeCell ref="D83:E83"/>
    <mergeCell ref="H83:I83"/>
    <mergeCell ref="A84:B84"/>
    <mergeCell ref="A85:A87"/>
    <mergeCell ref="C85:C87"/>
    <mergeCell ref="D81:E81"/>
    <mergeCell ref="H81:I81"/>
    <mergeCell ref="A82:C82"/>
    <mergeCell ref="D82:E82"/>
    <mergeCell ref="F82:G82"/>
    <mergeCell ref="H82:I82"/>
    <mergeCell ref="A75:A77"/>
    <mergeCell ref="C75:C77"/>
    <mergeCell ref="A78:A80"/>
    <mergeCell ref="C78:C80"/>
    <mergeCell ref="A81:C81"/>
    <mergeCell ref="A106:A108"/>
    <mergeCell ref="C106:C108"/>
    <mergeCell ref="A109:A111"/>
    <mergeCell ref="C109:C111"/>
    <mergeCell ref="A112:A114"/>
    <mergeCell ref="C112:C114"/>
    <mergeCell ref="A97:A99"/>
    <mergeCell ref="C97:C99"/>
    <mergeCell ref="A100:A102"/>
    <mergeCell ref="C100:C102"/>
    <mergeCell ref="A103:A105"/>
    <mergeCell ref="C103:C105"/>
    <mergeCell ref="A88:A90"/>
    <mergeCell ref="C88:C90"/>
    <mergeCell ref="A91:A93"/>
    <mergeCell ref="C91:C93"/>
    <mergeCell ref="A94:A96"/>
    <mergeCell ref="C94:C96"/>
    <mergeCell ref="A123:C123"/>
    <mergeCell ref="D123:E123"/>
    <mergeCell ref="H123:I123"/>
    <mergeCell ref="A124:B124"/>
    <mergeCell ref="A125:A127"/>
    <mergeCell ref="C125:C127"/>
    <mergeCell ref="D121:E121"/>
    <mergeCell ref="H121:I121"/>
    <mergeCell ref="A122:C122"/>
    <mergeCell ref="D122:E122"/>
    <mergeCell ref="F122:G122"/>
    <mergeCell ref="H122:I122"/>
    <mergeCell ref="A115:A117"/>
    <mergeCell ref="C115:C117"/>
    <mergeCell ref="A118:A120"/>
    <mergeCell ref="C118:C120"/>
    <mergeCell ref="A121:C121"/>
    <mergeCell ref="A146:A148"/>
    <mergeCell ref="C146:C148"/>
    <mergeCell ref="A149:A151"/>
    <mergeCell ref="C149:C151"/>
    <mergeCell ref="A152:A154"/>
    <mergeCell ref="C152:C154"/>
    <mergeCell ref="A137:A139"/>
    <mergeCell ref="C137:C139"/>
    <mergeCell ref="A140:A142"/>
    <mergeCell ref="C140:C142"/>
    <mergeCell ref="A143:A145"/>
    <mergeCell ref="C143:C145"/>
    <mergeCell ref="A128:A130"/>
    <mergeCell ref="C128:C130"/>
    <mergeCell ref="A131:A133"/>
    <mergeCell ref="C131:C133"/>
    <mergeCell ref="A134:A136"/>
    <mergeCell ref="C134:C136"/>
    <mergeCell ref="A163:C163"/>
    <mergeCell ref="D163:E163"/>
    <mergeCell ref="H163:I163"/>
    <mergeCell ref="A164:B164"/>
    <mergeCell ref="A165:A167"/>
    <mergeCell ref="C165:C167"/>
    <mergeCell ref="D161:E161"/>
    <mergeCell ref="H161:I161"/>
    <mergeCell ref="A162:C162"/>
    <mergeCell ref="D162:E162"/>
    <mergeCell ref="F162:G162"/>
    <mergeCell ref="H162:I162"/>
    <mergeCell ref="A155:A157"/>
    <mergeCell ref="C155:C157"/>
    <mergeCell ref="A158:A160"/>
    <mergeCell ref="C158:C160"/>
    <mergeCell ref="A161:C161"/>
    <mergeCell ref="A186:A188"/>
    <mergeCell ref="C186:C188"/>
    <mergeCell ref="A189:A191"/>
    <mergeCell ref="C189:C191"/>
    <mergeCell ref="A192:A194"/>
    <mergeCell ref="C192:C194"/>
    <mergeCell ref="A177:A179"/>
    <mergeCell ref="C177:C179"/>
    <mergeCell ref="A180:A182"/>
    <mergeCell ref="C180:C182"/>
    <mergeCell ref="A183:A185"/>
    <mergeCell ref="C183:C185"/>
    <mergeCell ref="A168:A170"/>
    <mergeCell ref="C168:C170"/>
    <mergeCell ref="A171:A173"/>
    <mergeCell ref="C171:C173"/>
    <mergeCell ref="A174:A176"/>
    <mergeCell ref="C174:C176"/>
    <mergeCell ref="A203:C203"/>
    <mergeCell ref="D203:E203"/>
    <mergeCell ref="H203:I203"/>
    <mergeCell ref="A204:B204"/>
    <mergeCell ref="A205:A207"/>
    <mergeCell ref="C205:C207"/>
    <mergeCell ref="D201:E201"/>
    <mergeCell ref="H201:I201"/>
    <mergeCell ref="A202:C202"/>
    <mergeCell ref="D202:E202"/>
    <mergeCell ref="F202:G202"/>
    <mergeCell ref="H202:I202"/>
    <mergeCell ref="A195:A197"/>
    <mergeCell ref="C195:C197"/>
    <mergeCell ref="A198:A200"/>
    <mergeCell ref="C198:C200"/>
    <mergeCell ref="A201:C201"/>
    <mergeCell ref="A226:A228"/>
    <mergeCell ref="C226:C228"/>
    <mergeCell ref="A229:A231"/>
    <mergeCell ref="C229:C231"/>
    <mergeCell ref="A232:A234"/>
    <mergeCell ref="C232:C234"/>
    <mergeCell ref="A217:A219"/>
    <mergeCell ref="C217:C219"/>
    <mergeCell ref="A220:A222"/>
    <mergeCell ref="C220:C222"/>
    <mergeCell ref="A223:A225"/>
    <mergeCell ref="C223:C225"/>
    <mergeCell ref="A208:A210"/>
    <mergeCell ref="C208:C210"/>
    <mergeCell ref="A211:A213"/>
    <mergeCell ref="C211:C213"/>
    <mergeCell ref="A214:A216"/>
    <mergeCell ref="C214:C216"/>
    <mergeCell ref="A243:C243"/>
    <mergeCell ref="D243:E243"/>
    <mergeCell ref="H243:I243"/>
    <mergeCell ref="A244:B244"/>
    <mergeCell ref="A245:A247"/>
    <mergeCell ref="C245:C247"/>
    <mergeCell ref="D241:E241"/>
    <mergeCell ref="H241:I241"/>
    <mergeCell ref="A242:C242"/>
    <mergeCell ref="D242:E242"/>
    <mergeCell ref="F242:G242"/>
    <mergeCell ref="H242:I242"/>
    <mergeCell ref="A235:A237"/>
    <mergeCell ref="C235:C237"/>
    <mergeCell ref="A238:A240"/>
    <mergeCell ref="C238:C240"/>
    <mergeCell ref="A241:C241"/>
    <mergeCell ref="A266:A268"/>
    <mergeCell ref="C266:C268"/>
    <mergeCell ref="A269:A271"/>
    <mergeCell ref="C269:C271"/>
    <mergeCell ref="A272:A274"/>
    <mergeCell ref="C272:C274"/>
    <mergeCell ref="A257:A259"/>
    <mergeCell ref="C257:C259"/>
    <mergeCell ref="A260:A262"/>
    <mergeCell ref="C260:C262"/>
    <mergeCell ref="A263:A265"/>
    <mergeCell ref="C263:C265"/>
    <mergeCell ref="A248:A250"/>
    <mergeCell ref="C248:C250"/>
    <mergeCell ref="A251:A253"/>
    <mergeCell ref="C251:C253"/>
    <mergeCell ref="A254:A256"/>
    <mergeCell ref="C254:C256"/>
    <mergeCell ref="A283:C283"/>
    <mergeCell ref="D283:E283"/>
    <mergeCell ref="H283:I283"/>
    <mergeCell ref="A284:B284"/>
    <mergeCell ref="A285:A287"/>
    <mergeCell ref="C285:C287"/>
    <mergeCell ref="D281:E281"/>
    <mergeCell ref="H281:I281"/>
    <mergeCell ref="A282:C282"/>
    <mergeCell ref="D282:E282"/>
    <mergeCell ref="F282:G282"/>
    <mergeCell ref="H282:I282"/>
    <mergeCell ref="A275:A277"/>
    <mergeCell ref="C275:C277"/>
    <mergeCell ref="A278:A280"/>
    <mergeCell ref="C278:C280"/>
    <mergeCell ref="A281:C281"/>
    <mergeCell ref="A306:A308"/>
    <mergeCell ref="C306:C308"/>
    <mergeCell ref="A309:A311"/>
    <mergeCell ref="C309:C311"/>
    <mergeCell ref="A312:A314"/>
    <mergeCell ref="C312:C314"/>
    <mergeCell ref="A297:A299"/>
    <mergeCell ref="C297:C299"/>
    <mergeCell ref="A300:A302"/>
    <mergeCell ref="C300:C302"/>
    <mergeCell ref="A303:A305"/>
    <mergeCell ref="C303:C305"/>
    <mergeCell ref="A288:A290"/>
    <mergeCell ref="C288:C290"/>
    <mergeCell ref="A291:A293"/>
    <mergeCell ref="C291:C293"/>
    <mergeCell ref="A294:A296"/>
    <mergeCell ref="C294:C296"/>
    <mergeCell ref="A323:C323"/>
    <mergeCell ref="D323:E323"/>
    <mergeCell ref="H323:I323"/>
    <mergeCell ref="A324:B324"/>
    <mergeCell ref="A325:A327"/>
    <mergeCell ref="C325:C327"/>
    <mergeCell ref="D321:E321"/>
    <mergeCell ref="H321:I321"/>
    <mergeCell ref="A322:C322"/>
    <mergeCell ref="D322:E322"/>
    <mergeCell ref="F322:G322"/>
    <mergeCell ref="H322:I322"/>
    <mergeCell ref="A315:A317"/>
    <mergeCell ref="C315:C317"/>
    <mergeCell ref="A318:A320"/>
    <mergeCell ref="C318:C320"/>
    <mergeCell ref="A321:C321"/>
    <mergeCell ref="A346:A348"/>
    <mergeCell ref="C346:C348"/>
    <mergeCell ref="A349:A351"/>
    <mergeCell ref="C349:C351"/>
    <mergeCell ref="A352:A354"/>
    <mergeCell ref="C352:C354"/>
    <mergeCell ref="A337:A339"/>
    <mergeCell ref="C337:C339"/>
    <mergeCell ref="A340:A342"/>
    <mergeCell ref="C340:C342"/>
    <mergeCell ref="A343:A345"/>
    <mergeCell ref="C343:C345"/>
    <mergeCell ref="A328:A330"/>
    <mergeCell ref="C328:C330"/>
    <mergeCell ref="A331:A333"/>
    <mergeCell ref="C331:C333"/>
    <mergeCell ref="A334:A336"/>
    <mergeCell ref="C334:C336"/>
    <mergeCell ref="A363:C363"/>
    <mergeCell ref="D363:E363"/>
    <mergeCell ref="H363:I363"/>
    <mergeCell ref="A364:B364"/>
    <mergeCell ref="A365:A367"/>
    <mergeCell ref="C365:C367"/>
    <mergeCell ref="D361:E361"/>
    <mergeCell ref="H361:I361"/>
    <mergeCell ref="A362:C362"/>
    <mergeCell ref="D362:E362"/>
    <mergeCell ref="F362:G362"/>
    <mergeCell ref="H362:I362"/>
    <mergeCell ref="A355:A357"/>
    <mergeCell ref="C355:C357"/>
    <mergeCell ref="A358:A360"/>
    <mergeCell ref="C358:C360"/>
    <mergeCell ref="A361:C361"/>
    <mergeCell ref="A386:A388"/>
    <mergeCell ref="C386:C388"/>
    <mergeCell ref="A389:A391"/>
    <mergeCell ref="C389:C391"/>
    <mergeCell ref="A392:A394"/>
    <mergeCell ref="C392:C394"/>
    <mergeCell ref="A377:A379"/>
    <mergeCell ref="C377:C379"/>
    <mergeCell ref="A380:A382"/>
    <mergeCell ref="C380:C382"/>
    <mergeCell ref="A383:A385"/>
    <mergeCell ref="C383:C385"/>
    <mergeCell ref="A368:A370"/>
    <mergeCell ref="C368:C370"/>
    <mergeCell ref="A371:A373"/>
    <mergeCell ref="C371:C373"/>
    <mergeCell ref="A374:A376"/>
    <mergeCell ref="C374:C376"/>
    <mergeCell ref="A403:C403"/>
    <mergeCell ref="D403:E403"/>
    <mergeCell ref="H403:I403"/>
    <mergeCell ref="A404:B404"/>
    <mergeCell ref="A405:A407"/>
    <mergeCell ref="C405:C407"/>
    <mergeCell ref="D401:E401"/>
    <mergeCell ref="H401:I401"/>
    <mergeCell ref="A402:C402"/>
    <mergeCell ref="D402:E402"/>
    <mergeCell ref="F402:G402"/>
    <mergeCell ref="H402:I402"/>
    <mergeCell ref="A395:A397"/>
    <mergeCell ref="C395:C397"/>
    <mergeCell ref="A398:A400"/>
    <mergeCell ref="C398:C400"/>
    <mergeCell ref="A401:C401"/>
    <mergeCell ref="A426:A428"/>
    <mergeCell ref="C426:C428"/>
    <mergeCell ref="A429:A431"/>
    <mergeCell ref="C429:C431"/>
    <mergeCell ref="A432:A434"/>
    <mergeCell ref="C432:C434"/>
    <mergeCell ref="A417:A419"/>
    <mergeCell ref="C417:C419"/>
    <mergeCell ref="A420:A422"/>
    <mergeCell ref="C420:C422"/>
    <mergeCell ref="A423:A425"/>
    <mergeCell ref="C423:C425"/>
    <mergeCell ref="A408:A410"/>
    <mergeCell ref="C408:C410"/>
    <mergeCell ref="A411:A413"/>
    <mergeCell ref="C411:C413"/>
    <mergeCell ref="A414:A416"/>
    <mergeCell ref="C414:C416"/>
    <mergeCell ref="A443:C443"/>
    <mergeCell ref="D443:E443"/>
    <mergeCell ref="H443:I443"/>
    <mergeCell ref="A444:B444"/>
    <mergeCell ref="A445:A447"/>
    <mergeCell ref="C445:C447"/>
    <mergeCell ref="D441:E441"/>
    <mergeCell ref="H441:I441"/>
    <mergeCell ref="A442:C442"/>
    <mergeCell ref="D442:E442"/>
    <mergeCell ref="F442:G442"/>
    <mergeCell ref="H442:I442"/>
    <mergeCell ref="A435:A437"/>
    <mergeCell ref="C435:C437"/>
    <mergeCell ref="A438:A440"/>
    <mergeCell ref="C438:C440"/>
    <mergeCell ref="A441:C441"/>
    <mergeCell ref="A466:A468"/>
    <mergeCell ref="C466:C468"/>
    <mergeCell ref="A469:A471"/>
    <mergeCell ref="C469:C471"/>
    <mergeCell ref="A472:A474"/>
    <mergeCell ref="C472:C474"/>
    <mergeCell ref="A457:A459"/>
    <mergeCell ref="C457:C459"/>
    <mergeCell ref="A460:A462"/>
    <mergeCell ref="C460:C462"/>
    <mergeCell ref="A463:A465"/>
    <mergeCell ref="C463:C465"/>
    <mergeCell ref="A448:A450"/>
    <mergeCell ref="C448:C450"/>
    <mergeCell ref="A451:A453"/>
    <mergeCell ref="C451:C453"/>
    <mergeCell ref="A454:A456"/>
    <mergeCell ref="C454:C456"/>
    <mergeCell ref="A483:C483"/>
    <mergeCell ref="D483:E483"/>
    <mergeCell ref="H483:I483"/>
    <mergeCell ref="A484:B484"/>
    <mergeCell ref="A485:A487"/>
    <mergeCell ref="C485:C487"/>
    <mergeCell ref="D481:E481"/>
    <mergeCell ref="H481:I481"/>
    <mergeCell ref="A482:C482"/>
    <mergeCell ref="D482:E482"/>
    <mergeCell ref="F482:G482"/>
    <mergeCell ref="H482:I482"/>
    <mergeCell ref="A475:A477"/>
    <mergeCell ref="C475:C477"/>
    <mergeCell ref="A478:A480"/>
    <mergeCell ref="C478:C480"/>
    <mergeCell ref="A481:C481"/>
    <mergeCell ref="A506:A508"/>
    <mergeCell ref="C506:C508"/>
    <mergeCell ref="A509:A511"/>
    <mergeCell ref="C509:C511"/>
    <mergeCell ref="A512:A514"/>
    <mergeCell ref="C512:C514"/>
    <mergeCell ref="A497:A499"/>
    <mergeCell ref="C497:C499"/>
    <mergeCell ref="A500:A502"/>
    <mergeCell ref="C500:C502"/>
    <mergeCell ref="A503:A505"/>
    <mergeCell ref="C503:C505"/>
    <mergeCell ref="A488:A490"/>
    <mergeCell ref="C488:C490"/>
    <mergeCell ref="A491:A493"/>
    <mergeCell ref="C491:C493"/>
    <mergeCell ref="A494:A496"/>
    <mergeCell ref="C494:C496"/>
    <mergeCell ref="A523:C523"/>
    <mergeCell ref="D523:E523"/>
    <mergeCell ref="H523:I523"/>
    <mergeCell ref="A524:B524"/>
    <mergeCell ref="A525:A527"/>
    <mergeCell ref="C525:C527"/>
    <mergeCell ref="D521:E521"/>
    <mergeCell ref="H521:I521"/>
    <mergeCell ref="A522:C522"/>
    <mergeCell ref="D522:E522"/>
    <mergeCell ref="F522:G522"/>
    <mergeCell ref="H522:I522"/>
    <mergeCell ref="A515:A517"/>
    <mergeCell ref="C515:C517"/>
    <mergeCell ref="A518:A520"/>
    <mergeCell ref="C518:C520"/>
    <mergeCell ref="A521:C521"/>
    <mergeCell ref="A546:A548"/>
    <mergeCell ref="C546:C548"/>
    <mergeCell ref="A549:A551"/>
    <mergeCell ref="C549:C551"/>
    <mergeCell ref="A552:A554"/>
    <mergeCell ref="C552:C554"/>
    <mergeCell ref="A537:A539"/>
    <mergeCell ref="C537:C539"/>
    <mergeCell ref="A540:A542"/>
    <mergeCell ref="C540:C542"/>
    <mergeCell ref="A543:A545"/>
    <mergeCell ref="C543:C545"/>
    <mergeCell ref="A528:A530"/>
    <mergeCell ref="C528:C530"/>
    <mergeCell ref="A531:A533"/>
    <mergeCell ref="C531:C533"/>
    <mergeCell ref="A534:A536"/>
    <mergeCell ref="C534:C536"/>
    <mergeCell ref="A563:C563"/>
    <mergeCell ref="D563:E563"/>
    <mergeCell ref="H563:I563"/>
    <mergeCell ref="A564:B564"/>
    <mergeCell ref="A565:A567"/>
    <mergeCell ref="C565:C567"/>
    <mergeCell ref="D561:E561"/>
    <mergeCell ref="H561:I561"/>
    <mergeCell ref="A562:C562"/>
    <mergeCell ref="D562:E562"/>
    <mergeCell ref="F562:G562"/>
    <mergeCell ref="H562:I562"/>
    <mergeCell ref="A555:A557"/>
    <mergeCell ref="C555:C557"/>
    <mergeCell ref="A558:A560"/>
    <mergeCell ref="C558:C560"/>
    <mergeCell ref="A561:C561"/>
    <mergeCell ref="A586:A588"/>
    <mergeCell ref="C586:C588"/>
    <mergeCell ref="A589:A591"/>
    <mergeCell ref="C589:C591"/>
    <mergeCell ref="A592:A594"/>
    <mergeCell ref="C592:C594"/>
    <mergeCell ref="A577:A579"/>
    <mergeCell ref="C577:C579"/>
    <mergeCell ref="A580:A582"/>
    <mergeCell ref="C580:C582"/>
    <mergeCell ref="A583:A585"/>
    <mergeCell ref="C583:C585"/>
    <mergeCell ref="A568:A570"/>
    <mergeCell ref="C568:C570"/>
    <mergeCell ref="A571:A573"/>
    <mergeCell ref="C571:C573"/>
    <mergeCell ref="A574:A576"/>
    <mergeCell ref="C574:C576"/>
    <mergeCell ref="A603:C603"/>
    <mergeCell ref="D603:E603"/>
    <mergeCell ref="H603:I603"/>
    <mergeCell ref="A604:B604"/>
    <mergeCell ref="A605:A607"/>
    <mergeCell ref="C605:C607"/>
    <mergeCell ref="D601:E601"/>
    <mergeCell ref="H601:I601"/>
    <mergeCell ref="A602:C602"/>
    <mergeCell ref="D602:E602"/>
    <mergeCell ref="F602:G602"/>
    <mergeCell ref="H602:I602"/>
    <mergeCell ref="A595:A597"/>
    <mergeCell ref="C595:C597"/>
    <mergeCell ref="A598:A600"/>
    <mergeCell ref="C598:C600"/>
    <mergeCell ref="A601:C601"/>
    <mergeCell ref="A626:A628"/>
    <mergeCell ref="C626:C628"/>
    <mergeCell ref="A629:A631"/>
    <mergeCell ref="C629:C631"/>
    <mergeCell ref="A632:A634"/>
    <mergeCell ref="C632:C634"/>
    <mergeCell ref="A617:A619"/>
    <mergeCell ref="C617:C619"/>
    <mergeCell ref="A620:A622"/>
    <mergeCell ref="C620:C622"/>
    <mergeCell ref="A623:A625"/>
    <mergeCell ref="C623:C625"/>
    <mergeCell ref="A608:A610"/>
    <mergeCell ref="C608:C610"/>
    <mergeCell ref="A611:A613"/>
    <mergeCell ref="C611:C613"/>
    <mergeCell ref="A614:A616"/>
    <mergeCell ref="C614:C616"/>
    <mergeCell ref="A643:C643"/>
    <mergeCell ref="D643:E643"/>
    <mergeCell ref="H643:I643"/>
    <mergeCell ref="A644:B644"/>
    <mergeCell ref="A645:A647"/>
    <mergeCell ref="C645:C647"/>
    <mergeCell ref="D641:E641"/>
    <mergeCell ref="H641:I641"/>
    <mergeCell ref="A642:C642"/>
    <mergeCell ref="D642:E642"/>
    <mergeCell ref="F642:G642"/>
    <mergeCell ref="H642:I642"/>
    <mergeCell ref="A635:A637"/>
    <mergeCell ref="C635:C637"/>
    <mergeCell ref="A638:A640"/>
    <mergeCell ref="C638:C640"/>
    <mergeCell ref="A641:C641"/>
    <mergeCell ref="A666:A668"/>
    <mergeCell ref="C666:C668"/>
    <mergeCell ref="A669:A671"/>
    <mergeCell ref="C669:C671"/>
    <mergeCell ref="A672:A674"/>
    <mergeCell ref="C672:C674"/>
    <mergeCell ref="A657:A659"/>
    <mergeCell ref="C657:C659"/>
    <mergeCell ref="A660:A662"/>
    <mergeCell ref="C660:C662"/>
    <mergeCell ref="A663:A665"/>
    <mergeCell ref="C663:C665"/>
    <mergeCell ref="A648:A650"/>
    <mergeCell ref="C648:C650"/>
    <mergeCell ref="A651:A653"/>
    <mergeCell ref="C651:C653"/>
    <mergeCell ref="A654:A656"/>
    <mergeCell ref="C654:C656"/>
    <mergeCell ref="A683:C683"/>
    <mergeCell ref="D683:E683"/>
    <mergeCell ref="H683:I683"/>
    <mergeCell ref="A684:B684"/>
    <mergeCell ref="A685:A687"/>
    <mergeCell ref="C685:C687"/>
    <mergeCell ref="D681:E681"/>
    <mergeCell ref="H681:I681"/>
    <mergeCell ref="A682:C682"/>
    <mergeCell ref="D682:E682"/>
    <mergeCell ref="F682:G682"/>
    <mergeCell ref="H682:I682"/>
    <mergeCell ref="A675:A677"/>
    <mergeCell ref="C675:C677"/>
    <mergeCell ref="A678:A680"/>
    <mergeCell ref="C678:C680"/>
    <mergeCell ref="A681:C681"/>
    <mergeCell ref="A706:A708"/>
    <mergeCell ref="C706:C708"/>
    <mergeCell ref="A709:A711"/>
    <mergeCell ref="C709:C711"/>
    <mergeCell ref="A712:A714"/>
    <mergeCell ref="C712:C714"/>
    <mergeCell ref="A697:A699"/>
    <mergeCell ref="C697:C699"/>
    <mergeCell ref="A700:A702"/>
    <mergeCell ref="C700:C702"/>
    <mergeCell ref="A703:A705"/>
    <mergeCell ref="C703:C705"/>
    <mergeCell ref="A688:A690"/>
    <mergeCell ref="C688:C690"/>
    <mergeCell ref="A691:A693"/>
    <mergeCell ref="C691:C693"/>
    <mergeCell ref="A694:A696"/>
    <mergeCell ref="C694:C696"/>
    <mergeCell ref="A723:C723"/>
    <mergeCell ref="D723:E723"/>
    <mergeCell ref="H723:I723"/>
    <mergeCell ref="A724:B724"/>
    <mergeCell ref="A725:A727"/>
    <mergeCell ref="C725:C727"/>
    <mergeCell ref="D721:E721"/>
    <mergeCell ref="H721:I721"/>
    <mergeCell ref="A722:C722"/>
    <mergeCell ref="D722:E722"/>
    <mergeCell ref="F722:G722"/>
    <mergeCell ref="H722:I722"/>
    <mergeCell ref="A715:A717"/>
    <mergeCell ref="C715:C717"/>
    <mergeCell ref="A718:A720"/>
    <mergeCell ref="C718:C720"/>
    <mergeCell ref="A721:C721"/>
    <mergeCell ref="A746:A748"/>
    <mergeCell ref="C746:C748"/>
    <mergeCell ref="A749:A751"/>
    <mergeCell ref="C749:C751"/>
    <mergeCell ref="A752:A754"/>
    <mergeCell ref="C752:C754"/>
    <mergeCell ref="A737:A739"/>
    <mergeCell ref="C737:C739"/>
    <mergeCell ref="A740:A742"/>
    <mergeCell ref="C740:C742"/>
    <mergeCell ref="A743:A745"/>
    <mergeCell ref="C743:C745"/>
    <mergeCell ref="A728:A730"/>
    <mergeCell ref="C728:C730"/>
    <mergeCell ref="A731:A733"/>
    <mergeCell ref="C731:C733"/>
    <mergeCell ref="A734:A736"/>
    <mergeCell ref="C734:C736"/>
    <mergeCell ref="A763:C763"/>
    <mergeCell ref="D763:E763"/>
    <mergeCell ref="H763:I763"/>
    <mergeCell ref="A764:B764"/>
    <mergeCell ref="A765:A767"/>
    <mergeCell ref="C765:C767"/>
    <mergeCell ref="D761:E761"/>
    <mergeCell ref="H761:I761"/>
    <mergeCell ref="A762:C762"/>
    <mergeCell ref="D762:E762"/>
    <mergeCell ref="F762:G762"/>
    <mergeCell ref="H762:I762"/>
    <mergeCell ref="A755:A757"/>
    <mergeCell ref="C755:C757"/>
    <mergeCell ref="A758:A760"/>
    <mergeCell ref="C758:C760"/>
    <mergeCell ref="A761:C761"/>
    <mergeCell ref="A786:A788"/>
    <mergeCell ref="C786:C788"/>
    <mergeCell ref="A789:A791"/>
    <mergeCell ref="C789:C791"/>
    <mergeCell ref="A792:A794"/>
    <mergeCell ref="C792:C794"/>
    <mergeCell ref="A777:A779"/>
    <mergeCell ref="C777:C779"/>
    <mergeCell ref="A780:A782"/>
    <mergeCell ref="C780:C782"/>
    <mergeCell ref="A783:A785"/>
    <mergeCell ref="C783:C785"/>
    <mergeCell ref="A768:A770"/>
    <mergeCell ref="C768:C770"/>
    <mergeCell ref="A771:A773"/>
    <mergeCell ref="C771:C773"/>
    <mergeCell ref="A774:A776"/>
    <mergeCell ref="C774:C776"/>
    <mergeCell ref="A803:C803"/>
    <mergeCell ref="D803:E803"/>
    <mergeCell ref="H803:I803"/>
    <mergeCell ref="A804:B804"/>
    <mergeCell ref="A805:A807"/>
    <mergeCell ref="C805:C807"/>
    <mergeCell ref="D801:E801"/>
    <mergeCell ref="H801:I801"/>
    <mergeCell ref="A802:C802"/>
    <mergeCell ref="D802:E802"/>
    <mergeCell ref="F802:G802"/>
    <mergeCell ref="H802:I802"/>
    <mergeCell ref="A795:A797"/>
    <mergeCell ref="C795:C797"/>
    <mergeCell ref="A798:A800"/>
    <mergeCell ref="C798:C800"/>
    <mergeCell ref="A801:C801"/>
    <mergeCell ref="A826:A828"/>
    <mergeCell ref="C826:C828"/>
    <mergeCell ref="A829:A831"/>
    <mergeCell ref="C829:C831"/>
    <mergeCell ref="A832:A834"/>
    <mergeCell ref="C832:C834"/>
    <mergeCell ref="A817:A819"/>
    <mergeCell ref="C817:C819"/>
    <mergeCell ref="A820:A822"/>
    <mergeCell ref="C820:C822"/>
    <mergeCell ref="A823:A825"/>
    <mergeCell ref="C823:C825"/>
    <mergeCell ref="A808:A810"/>
    <mergeCell ref="C808:C810"/>
    <mergeCell ref="A811:A813"/>
    <mergeCell ref="C811:C813"/>
    <mergeCell ref="A814:A816"/>
    <mergeCell ref="C814:C816"/>
    <mergeCell ref="A843:C843"/>
    <mergeCell ref="D843:E843"/>
    <mergeCell ref="H843:I843"/>
    <mergeCell ref="A844:B844"/>
    <mergeCell ref="A845:A847"/>
    <mergeCell ref="C845:C847"/>
    <mergeCell ref="D841:E841"/>
    <mergeCell ref="H841:I841"/>
    <mergeCell ref="A842:C842"/>
    <mergeCell ref="D842:E842"/>
    <mergeCell ref="F842:G842"/>
    <mergeCell ref="H842:I842"/>
    <mergeCell ref="A835:A837"/>
    <mergeCell ref="C835:C837"/>
    <mergeCell ref="A838:A840"/>
    <mergeCell ref="C838:C840"/>
    <mergeCell ref="A841:C841"/>
    <mergeCell ref="A866:A868"/>
    <mergeCell ref="C866:C868"/>
    <mergeCell ref="A869:A871"/>
    <mergeCell ref="C869:C871"/>
    <mergeCell ref="A872:A874"/>
    <mergeCell ref="C872:C874"/>
    <mergeCell ref="A857:A859"/>
    <mergeCell ref="C857:C859"/>
    <mergeCell ref="A860:A862"/>
    <mergeCell ref="C860:C862"/>
    <mergeCell ref="A863:A865"/>
    <mergeCell ref="C863:C865"/>
    <mergeCell ref="A848:A850"/>
    <mergeCell ref="C848:C850"/>
    <mergeCell ref="A851:A853"/>
    <mergeCell ref="C851:C853"/>
    <mergeCell ref="A854:A856"/>
    <mergeCell ref="C854:C856"/>
    <mergeCell ref="A883:C883"/>
    <mergeCell ref="D883:E883"/>
    <mergeCell ref="H883:I883"/>
    <mergeCell ref="A884:B884"/>
    <mergeCell ref="A885:A887"/>
    <mergeCell ref="C885:C887"/>
    <mergeCell ref="D881:E881"/>
    <mergeCell ref="H881:I881"/>
    <mergeCell ref="A882:C882"/>
    <mergeCell ref="D882:E882"/>
    <mergeCell ref="F882:G882"/>
    <mergeCell ref="H882:I882"/>
    <mergeCell ref="A875:A877"/>
    <mergeCell ref="C875:C877"/>
    <mergeCell ref="A878:A880"/>
    <mergeCell ref="C878:C880"/>
    <mergeCell ref="A881:C881"/>
    <mergeCell ref="A906:A908"/>
    <mergeCell ref="C906:C908"/>
    <mergeCell ref="A909:A911"/>
    <mergeCell ref="C909:C911"/>
    <mergeCell ref="A912:A914"/>
    <mergeCell ref="C912:C914"/>
    <mergeCell ref="A897:A899"/>
    <mergeCell ref="C897:C899"/>
    <mergeCell ref="A900:A902"/>
    <mergeCell ref="C900:C902"/>
    <mergeCell ref="A903:A905"/>
    <mergeCell ref="C903:C905"/>
    <mergeCell ref="A888:A890"/>
    <mergeCell ref="C888:C890"/>
    <mergeCell ref="A891:A893"/>
    <mergeCell ref="C891:C893"/>
    <mergeCell ref="A894:A896"/>
    <mergeCell ref="C894:C896"/>
    <mergeCell ref="A923:C923"/>
    <mergeCell ref="D923:E923"/>
    <mergeCell ref="H923:I923"/>
    <mergeCell ref="A924:B924"/>
    <mergeCell ref="A925:A927"/>
    <mergeCell ref="C925:C927"/>
    <mergeCell ref="D921:E921"/>
    <mergeCell ref="H921:I921"/>
    <mergeCell ref="A922:C922"/>
    <mergeCell ref="D922:E922"/>
    <mergeCell ref="F922:G922"/>
    <mergeCell ref="H922:I922"/>
    <mergeCell ref="A915:A917"/>
    <mergeCell ref="C915:C917"/>
    <mergeCell ref="A918:A920"/>
    <mergeCell ref="C918:C920"/>
    <mergeCell ref="A921:C921"/>
    <mergeCell ref="A946:A948"/>
    <mergeCell ref="C946:C948"/>
    <mergeCell ref="A949:A951"/>
    <mergeCell ref="C949:C951"/>
    <mergeCell ref="A952:A954"/>
    <mergeCell ref="C952:C954"/>
    <mergeCell ref="A937:A939"/>
    <mergeCell ref="C937:C939"/>
    <mergeCell ref="A940:A942"/>
    <mergeCell ref="C940:C942"/>
    <mergeCell ref="A943:A945"/>
    <mergeCell ref="C943:C945"/>
    <mergeCell ref="A928:A930"/>
    <mergeCell ref="C928:C930"/>
    <mergeCell ref="A931:A933"/>
    <mergeCell ref="C931:C933"/>
    <mergeCell ref="A934:A936"/>
    <mergeCell ref="C934:C936"/>
    <mergeCell ref="A963:C963"/>
    <mergeCell ref="D963:E963"/>
    <mergeCell ref="H963:I963"/>
    <mergeCell ref="A964:B964"/>
    <mergeCell ref="A965:A967"/>
    <mergeCell ref="C965:C967"/>
    <mergeCell ref="D961:E961"/>
    <mergeCell ref="H961:I961"/>
    <mergeCell ref="A962:C962"/>
    <mergeCell ref="D962:E962"/>
    <mergeCell ref="F962:G962"/>
    <mergeCell ref="H962:I962"/>
    <mergeCell ref="A955:A957"/>
    <mergeCell ref="C955:C957"/>
    <mergeCell ref="A958:A960"/>
    <mergeCell ref="C958:C960"/>
    <mergeCell ref="A961:C961"/>
    <mergeCell ref="A986:A988"/>
    <mergeCell ref="C986:C988"/>
    <mergeCell ref="A989:A991"/>
    <mergeCell ref="C989:C991"/>
    <mergeCell ref="A992:A994"/>
    <mergeCell ref="C992:C994"/>
    <mergeCell ref="A977:A979"/>
    <mergeCell ref="C977:C979"/>
    <mergeCell ref="A980:A982"/>
    <mergeCell ref="C980:C982"/>
    <mergeCell ref="A983:A985"/>
    <mergeCell ref="C983:C985"/>
    <mergeCell ref="A968:A970"/>
    <mergeCell ref="C968:C970"/>
    <mergeCell ref="A971:A973"/>
    <mergeCell ref="C971:C973"/>
    <mergeCell ref="A974:A976"/>
    <mergeCell ref="C974:C976"/>
    <mergeCell ref="A1003:C1003"/>
    <mergeCell ref="D1003:E1003"/>
    <mergeCell ref="H1003:I1003"/>
    <mergeCell ref="A1004:B1004"/>
    <mergeCell ref="A1005:A1007"/>
    <mergeCell ref="C1005:C1007"/>
    <mergeCell ref="D1001:E1001"/>
    <mergeCell ref="H1001:I1001"/>
    <mergeCell ref="A1002:C1002"/>
    <mergeCell ref="D1002:E1002"/>
    <mergeCell ref="F1002:G1002"/>
    <mergeCell ref="H1002:I1002"/>
    <mergeCell ref="A995:A997"/>
    <mergeCell ref="C995:C997"/>
    <mergeCell ref="A998:A1000"/>
    <mergeCell ref="C998:C1000"/>
    <mergeCell ref="A1001:C1001"/>
    <mergeCell ref="A1026:A1028"/>
    <mergeCell ref="C1026:C1028"/>
    <mergeCell ref="A1029:A1031"/>
    <mergeCell ref="C1029:C1031"/>
    <mergeCell ref="A1032:A1034"/>
    <mergeCell ref="C1032:C1034"/>
    <mergeCell ref="A1017:A1019"/>
    <mergeCell ref="C1017:C1019"/>
    <mergeCell ref="A1020:A1022"/>
    <mergeCell ref="C1020:C1022"/>
    <mergeCell ref="A1023:A1025"/>
    <mergeCell ref="C1023:C1025"/>
    <mergeCell ref="A1008:A1010"/>
    <mergeCell ref="C1008:C1010"/>
    <mergeCell ref="A1011:A1013"/>
    <mergeCell ref="C1011:C1013"/>
    <mergeCell ref="A1014:A1016"/>
    <mergeCell ref="C1014:C1016"/>
    <mergeCell ref="A1043:C1043"/>
    <mergeCell ref="D1043:E1043"/>
    <mergeCell ref="H1043:I1043"/>
    <mergeCell ref="A1044:B1044"/>
    <mergeCell ref="A1045:A1047"/>
    <mergeCell ref="C1045:C1047"/>
    <mergeCell ref="D1041:E1041"/>
    <mergeCell ref="H1041:I1041"/>
    <mergeCell ref="A1042:C1042"/>
    <mergeCell ref="D1042:E1042"/>
    <mergeCell ref="F1042:G1042"/>
    <mergeCell ref="H1042:I1042"/>
    <mergeCell ref="A1035:A1037"/>
    <mergeCell ref="C1035:C1037"/>
    <mergeCell ref="A1038:A1040"/>
    <mergeCell ref="C1038:C1040"/>
    <mergeCell ref="A1041:C1041"/>
    <mergeCell ref="A1066:A1068"/>
    <mergeCell ref="C1066:C1068"/>
    <mergeCell ref="A1069:A1071"/>
    <mergeCell ref="C1069:C1071"/>
    <mergeCell ref="A1072:A1074"/>
    <mergeCell ref="C1072:C1074"/>
    <mergeCell ref="A1057:A1059"/>
    <mergeCell ref="C1057:C1059"/>
    <mergeCell ref="A1060:A1062"/>
    <mergeCell ref="C1060:C1062"/>
    <mergeCell ref="A1063:A1065"/>
    <mergeCell ref="C1063:C1065"/>
    <mergeCell ref="A1048:A1050"/>
    <mergeCell ref="C1048:C1050"/>
    <mergeCell ref="A1051:A1053"/>
    <mergeCell ref="C1051:C1053"/>
    <mergeCell ref="A1054:A1056"/>
    <mergeCell ref="C1054:C1056"/>
    <mergeCell ref="A1083:C1083"/>
    <mergeCell ref="D1083:E1083"/>
    <mergeCell ref="H1083:I1083"/>
    <mergeCell ref="A1084:B1084"/>
    <mergeCell ref="A1085:A1087"/>
    <mergeCell ref="C1085:C1087"/>
    <mergeCell ref="D1081:E1081"/>
    <mergeCell ref="H1081:I1081"/>
    <mergeCell ref="A1082:C1082"/>
    <mergeCell ref="D1082:E1082"/>
    <mergeCell ref="F1082:G1082"/>
    <mergeCell ref="H1082:I1082"/>
    <mergeCell ref="A1075:A1077"/>
    <mergeCell ref="C1075:C1077"/>
    <mergeCell ref="A1078:A1080"/>
    <mergeCell ref="C1078:C1080"/>
    <mergeCell ref="A1081:C1081"/>
    <mergeCell ref="A1106:A1108"/>
    <mergeCell ref="C1106:C1108"/>
    <mergeCell ref="A1109:A1111"/>
    <mergeCell ref="C1109:C1111"/>
    <mergeCell ref="A1112:A1114"/>
    <mergeCell ref="C1112:C1114"/>
    <mergeCell ref="A1097:A1099"/>
    <mergeCell ref="C1097:C1099"/>
    <mergeCell ref="A1100:A1102"/>
    <mergeCell ref="C1100:C1102"/>
    <mergeCell ref="A1103:A1105"/>
    <mergeCell ref="C1103:C1105"/>
    <mergeCell ref="A1088:A1090"/>
    <mergeCell ref="C1088:C1090"/>
    <mergeCell ref="A1091:A1093"/>
    <mergeCell ref="C1091:C1093"/>
    <mergeCell ref="A1094:A1096"/>
    <mergeCell ref="C1094:C1096"/>
    <mergeCell ref="A1123:C1123"/>
    <mergeCell ref="D1123:E1123"/>
    <mergeCell ref="H1123:I1123"/>
    <mergeCell ref="A1124:B1124"/>
    <mergeCell ref="A1125:A1127"/>
    <mergeCell ref="C1125:C1127"/>
    <mergeCell ref="D1121:E1121"/>
    <mergeCell ref="H1121:I1121"/>
    <mergeCell ref="A1122:C1122"/>
    <mergeCell ref="D1122:E1122"/>
    <mergeCell ref="F1122:G1122"/>
    <mergeCell ref="H1122:I1122"/>
    <mergeCell ref="A1115:A1117"/>
    <mergeCell ref="C1115:C1117"/>
    <mergeCell ref="A1118:A1120"/>
    <mergeCell ref="C1118:C1120"/>
    <mergeCell ref="A1121:C1121"/>
    <mergeCell ref="A1146:A1148"/>
    <mergeCell ref="C1146:C1148"/>
    <mergeCell ref="A1149:A1151"/>
    <mergeCell ref="C1149:C1151"/>
    <mergeCell ref="A1152:A1154"/>
    <mergeCell ref="C1152:C1154"/>
    <mergeCell ref="A1137:A1139"/>
    <mergeCell ref="C1137:C1139"/>
    <mergeCell ref="A1140:A1142"/>
    <mergeCell ref="C1140:C1142"/>
    <mergeCell ref="A1143:A1145"/>
    <mergeCell ref="C1143:C1145"/>
    <mergeCell ref="A1128:A1130"/>
    <mergeCell ref="C1128:C1130"/>
    <mergeCell ref="A1131:A1133"/>
    <mergeCell ref="C1131:C1133"/>
    <mergeCell ref="A1134:A1136"/>
    <mergeCell ref="C1134:C1136"/>
    <mergeCell ref="A1163:C1163"/>
    <mergeCell ref="D1163:E1163"/>
    <mergeCell ref="H1163:I1163"/>
    <mergeCell ref="A1164:B1164"/>
    <mergeCell ref="A1165:A1167"/>
    <mergeCell ref="C1165:C1167"/>
    <mergeCell ref="D1161:E1161"/>
    <mergeCell ref="H1161:I1161"/>
    <mergeCell ref="A1162:C1162"/>
    <mergeCell ref="D1162:E1162"/>
    <mergeCell ref="F1162:G1162"/>
    <mergeCell ref="H1162:I1162"/>
    <mergeCell ref="A1155:A1157"/>
    <mergeCell ref="C1155:C1157"/>
    <mergeCell ref="A1158:A1160"/>
    <mergeCell ref="C1158:C1160"/>
    <mergeCell ref="A1161:C1161"/>
    <mergeCell ref="A1186:A1188"/>
    <mergeCell ref="C1186:C1188"/>
    <mergeCell ref="A1189:A1191"/>
    <mergeCell ref="C1189:C1191"/>
    <mergeCell ref="A1192:A1194"/>
    <mergeCell ref="C1192:C1194"/>
    <mergeCell ref="A1177:A1179"/>
    <mergeCell ref="C1177:C1179"/>
    <mergeCell ref="A1180:A1182"/>
    <mergeCell ref="C1180:C1182"/>
    <mergeCell ref="A1183:A1185"/>
    <mergeCell ref="C1183:C1185"/>
    <mergeCell ref="A1168:A1170"/>
    <mergeCell ref="C1168:C1170"/>
    <mergeCell ref="A1171:A1173"/>
    <mergeCell ref="C1171:C1173"/>
    <mergeCell ref="A1174:A1176"/>
    <mergeCell ref="C1174:C1176"/>
    <mergeCell ref="A1203:C1203"/>
    <mergeCell ref="D1203:E1203"/>
    <mergeCell ref="H1203:I1203"/>
    <mergeCell ref="A1204:B1204"/>
    <mergeCell ref="A1205:A1207"/>
    <mergeCell ref="C1205:C1207"/>
    <mergeCell ref="D1201:E1201"/>
    <mergeCell ref="H1201:I1201"/>
    <mergeCell ref="A1202:C1202"/>
    <mergeCell ref="D1202:E1202"/>
    <mergeCell ref="F1202:G1202"/>
    <mergeCell ref="H1202:I1202"/>
    <mergeCell ref="A1195:A1197"/>
    <mergeCell ref="C1195:C1197"/>
    <mergeCell ref="A1198:A1200"/>
    <mergeCell ref="C1198:C1200"/>
    <mergeCell ref="A1201:C1201"/>
    <mergeCell ref="A1226:A1228"/>
    <mergeCell ref="C1226:C1228"/>
    <mergeCell ref="A1229:A1231"/>
    <mergeCell ref="C1229:C1231"/>
    <mergeCell ref="A1232:A1234"/>
    <mergeCell ref="C1232:C1234"/>
    <mergeCell ref="A1217:A1219"/>
    <mergeCell ref="C1217:C1219"/>
    <mergeCell ref="A1220:A1222"/>
    <mergeCell ref="C1220:C1222"/>
    <mergeCell ref="A1223:A1225"/>
    <mergeCell ref="C1223:C1225"/>
    <mergeCell ref="A1208:A1210"/>
    <mergeCell ref="C1208:C1210"/>
    <mergeCell ref="A1211:A1213"/>
    <mergeCell ref="C1211:C1213"/>
    <mergeCell ref="A1214:A1216"/>
    <mergeCell ref="C1214:C1216"/>
    <mergeCell ref="A1243:C1243"/>
    <mergeCell ref="D1243:E1243"/>
    <mergeCell ref="H1243:I1243"/>
    <mergeCell ref="A1244:B1244"/>
    <mergeCell ref="A1245:A1247"/>
    <mergeCell ref="C1245:C1247"/>
    <mergeCell ref="D1241:E1241"/>
    <mergeCell ref="H1241:I1241"/>
    <mergeCell ref="A1242:C1242"/>
    <mergeCell ref="D1242:E1242"/>
    <mergeCell ref="F1242:G1242"/>
    <mergeCell ref="H1242:I1242"/>
    <mergeCell ref="A1235:A1237"/>
    <mergeCell ref="C1235:C1237"/>
    <mergeCell ref="A1238:A1240"/>
    <mergeCell ref="C1238:C1240"/>
    <mergeCell ref="A1241:C1241"/>
    <mergeCell ref="A1266:A1268"/>
    <mergeCell ref="C1266:C1268"/>
    <mergeCell ref="A1269:A1271"/>
    <mergeCell ref="C1269:C1271"/>
    <mergeCell ref="A1272:A1274"/>
    <mergeCell ref="C1272:C1274"/>
    <mergeCell ref="A1257:A1259"/>
    <mergeCell ref="C1257:C1259"/>
    <mergeCell ref="A1260:A1262"/>
    <mergeCell ref="C1260:C1262"/>
    <mergeCell ref="A1263:A1265"/>
    <mergeCell ref="C1263:C1265"/>
    <mergeCell ref="A1248:A1250"/>
    <mergeCell ref="C1248:C1250"/>
    <mergeCell ref="A1251:A1253"/>
    <mergeCell ref="C1251:C1253"/>
    <mergeCell ref="A1254:A1256"/>
    <mergeCell ref="C1254:C1256"/>
    <mergeCell ref="A1283:C1283"/>
    <mergeCell ref="D1283:E1283"/>
    <mergeCell ref="H1283:I1283"/>
    <mergeCell ref="A1284:B1284"/>
    <mergeCell ref="A1285:A1287"/>
    <mergeCell ref="C1285:C1287"/>
    <mergeCell ref="D1281:E1281"/>
    <mergeCell ref="H1281:I1281"/>
    <mergeCell ref="A1282:C1282"/>
    <mergeCell ref="D1282:E1282"/>
    <mergeCell ref="F1282:G1282"/>
    <mergeCell ref="H1282:I1282"/>
    <mergeCell ref="A1275:A1277"/>
    <mergeCell ref="C1275:C1277"/>
    <mergeCell ref="A1278:A1280"/>
    <mergeCell ref="C1278:C1280"/>
    <mergeCell ref="A1281:C1281"/>
    <mergeCell ref="A1306:A1308"/>
    <mergeCell ref="C1306:C1308"/>
    <mergeCell ref="A1309:A1311"/>
    <mergeCell ref="C1309:C1311"/>
    <mergeCell ref="A1312:A1314"/>
    <mergeCell ref="C1312:C1314"/>
    <mergeCell ref="A1297:A1299"/>
    <mergeCell ref="C1297:C1299"/>
    <mergeCell ref="A1300:A1302"/>
    <mergeCell ref="C1300:C1302"/>
    <mergeCell ref="A1303:A1305"/>
    <mergeCell ref="C1303:C1305"/>
    <mergeCell ref="A1288:A1290"/>
    <mergeCell ref="C1288:C1290"/>
    <mergeCell ref="A1291:A1293"/>
    <mergeCell ref="C1291:C1293"/>
    <mergeCell ref="A1294:A1296"/>
    <mergeCell ref="C1294:C1296"/>
    <mergeCell ref="A1323:C1323"/>
    <mergeCell ref="D1323:E1323"/>
    <mergeCell ref="H1323:I1323"/>
    <mergeCell ref="A1324:B1324"/>
    <mergeCell ref="A1325:A1327"/>
    <mergeCell ref="C1325:C1327"/>
    <mergeCell ref="D1321:E1321"/>
    <mergeCell ref="H1321:I1321"/>
    <mergeCell ref="A1322:C1322"/>
    <mergeCell ref="D1322:E1322"/>
    <mergeCell ref="F1322:G1322"/>
    <mergeCell ref="H1322:I1322"/>
    <mergeCell ref="A1315:A1317"/>
    <mergeCell ref="C1315:C1317"/>
    <mergeCell ref="A1318:A1320"/>
    <mergeCell ref="C1318:C1320"/>
    <mergeCell ref="A1321:C1321"/>
    <mergeCell ref="A1346:A1348"/>
    <mergeCell ref="C1346:C1348"/>
    <mergeCell ref="A1349:A1351"/>
    <mergeCell ref="C1349:C1351"/>
    <mergeCell ref="A1352:A1354"/>
    <mergeCell ref="C1352:C1354"/>
    <mergeCell ref="A1337:A1339"/>
    <mergeCell ref="C1337:C1339"/>
    <mergeCell ref="A1340:A1342"/>
    <mergeCell ref="C1340:C1342"/>
    <mergeCell ref="A1343:A1345"/>
    <mergeCell ref="C1343:C1345"/>
    <mergeCell ref="A1328:A1330"/>
    <mergeCell ref="C1328:C1330"/>
    <mergeCell ref="A1331:A1333"/>
    <mergeCell ref="C1331:C1333"/>
    <mergeCell ref="A1334:A1336"/>
    <mergeCell ref="C1334:C1336"/>
    <mergeCell ref="A1363:C1363"/>
    <mergeCell ref="D1363:E1363"/>
    <mergeCell ref="H1363:I1363"/>
    <mergeCell ref="A1364:B1364"/>
    <mergeCell ref="A1365:A1367"/>
    <mergeCell ref="C1365:C1367"/>
    <mergeCell ref="D1361:E1361"/>
    <mergeCell ref="H1361:I1361"/>
    <mergeCell ref="A1362:C1362"/>
    <mergeCell ref="D1362:E1362"/>
    <mergeCell ref="F1362:G1362"/>
    <mergeCell ref="H1362:I1362"/>
    <mergeCell ref="A1355:A1357"/>
    <mergeCell ref="C1355:C1357"/>
    <mergeCell ref="A1358:A1360"/>
    <mergeCell ref="C1358:C1360"/>
    <mergeCell ref="A1361:C1361"/>
    <mergeCell ref="A1386:A1388"/>
    <mergeCell ref="C1386:C1388"/>
    <mergeCell ref="A1389:A1391"/>
    <mergeCell ref="C1389:C1391"/>
    <mergeCell ref="A1392:A1394"/>
    <mergeCell ref="C1392:C1394"/>
    <mergeCell ref="A1377:A1379"/>
    <mergeCell ref="C1377:C1379"/>
    <mergeCell ref="A1380:A1382"/>
    <mergeCell ref="C1380:C1382"/>
    <mergeCell ref="A1383:A1385"/>
    <mergeCell ref="C1383:C1385"/>
    <mergeCell ref="A1368:A1370"/>
    <mergeCell ref="C1368:C1370"/>
    <mergeCell ref="A1371:A1373"/>
    <mergeCell ref="C1371:C1373"/>
    <mergeCell ref="A1374:A1376"/>
    <mergeCell ref="C1374:C1376"/>
    <mergeCell ref="A1403:C1403"/>
    <mergeCell ref="D1403:E1403"/>
    <mergeCell ref="H1403:I1403"/>
    <mergeCell ref="A1404:B1404"/>
    <mergeCell ref="A1405:A1407"/>
    <mergeCell ref="C1405:C1407"/>
    <mergeCell ref="D1401:E1401"/>
    <mergeCell ref="H1401:I1401"/>
    <mergeCell ref="A1402:C1402"/>
    <mergeCell ref="D1402:E1402"/>
    <mergeCell ref="F1402:G1402"/>
    <mergeCell ref="H1402:I1402"/>
    <mergeCell ref="A1395:A1397"/>
    <mergeCell ref="C1395:C1397"/>
    <mergeCell ref="A1398:A1400"/>
    <mergeCell ref="C1398:C1400"/>
    <mergeCell ref="A1401:C1401"/>
    <mergeCell ref="A1426:A1428"/>
    <mergeCell ref="C1426:C1428"/>
    <mergeCell ref="A1429:A1431"/>
    <mergeCell ref="C1429:C1431"/>
    <mergeCell ref="A1432:A1434"/>
    <mergeCell ref="C1432:C1434"/>
    <mergeCell ref="A1417:A1419"/>
    <mergeCell ref="C1417:C1419"/>
    <mergeCell ref="A1420:A1422"/>
    <mergeCell ref="C1420:C1422"/>
    <mergeCell ref="A1423:A1425"/>
    <mergeCell ref="C1423:C1425"/>
    <mergeCell ref="A1408:A1410"/>
    <mergeCell ref="C1408:C1410"/>
    <mergeCell ref="A1411:A1413"/>
    <mergeCell ref="C1411:C1413"/>
    <mergeCell ref="A1414:A1416"/>
    <mergeCell ref="C1414:C1416"/>
    <mergeCell ref="A1443:C1443"/>
    <mergeCell ref="D1443:E1443"/>
    <mergeCell ref="H1443:I1443"/>
    <mergeCell ref="A1444:B1444"/>
    <mergeCell ref="A1445:A1447"/>
    <mergeCell ref="C1445:C1447"/>
    <mergeCell ref="D1441:E1441"/>
    <mergeCell ref="H1441:I1441"/>
    <mergeCell ref="A1442:C1442"/>
    <mergeCell ref="D1442:E1442"/>
    <mergeCell ref="F1442:G1442"/>
    <mergeCell ref="H1442:I1442"/>
    <mergeCell ref="A1435:A1437"/>
    <mergeCell ref="C1435:C1437"/>
    <mergeCell ref="A1438:A1440"/>
    <mergeCell ref="C1438:C1440"/>
    <mergeCell ref="A1441:C1441"/>
    <mergeCell ref="A1466:A1468"/>
    <mergeCell ref="C1466:C1468"/>
    <mergeCell ref="A1469:A1471"/>
    <mergeCell ref="C1469:C1471"/>
    <mergeCell ref="A1472:A1474"/>
    <mergeCell ref="C1472:C1474"/>
    <mergeCell ref="A1457:A1459"/>
    <mergeCell ref="C1457:C1459"/>
    <mergeCell ref="A1460:A1462"/>
    <mergeCell ref="C1460:C1462"/>
    <mergeCell ref="A1463:A1465"/>
    <mergeCell ref="C1463:C1465"/>
    <mergeCell ref="A1448:A1450"/>
    <mergeCell ref="C1448:C1450"/>
    <mergeCell ref="A1451:A1453"/>
    <mergeCell ref="C1451:C1453"/>
    <mergeCell ref="A1454:A1456"/>
    <mergeCell ref="C1454:C1456"/>
    <mergeCell ref="A1483:C1483"/>
    <mergeCell ref="D1483:E1483"/>
    <mergeCell ref="H1483:I1483"/>
    <mergeCell ref="A1484:B1484"/>
    <mergeCell ref="A1485:A1487"/>
    <mergeCell ref="C1485:C1487"/>
    <mergeCell ref="D1481:E1481"/>
    <mergeCell ref="H1481:I1481"/>
    <mergeCell ref="A1482:C1482"/>
    <mergeCell ref="D1482:E1482"/>
    <mergeCell ref="F1482:G1482"/>
    <mergeCell ref="H1482:I1482"/>
    <mergeCell ref="A1475:A1477"/>
    <mergeCell ref="C1475:C1477"/>
    <mergeCell ref="A1478:A1480"/>
    <mergeCell ref="C1478:C1480"/>
    <mergeCell ref="A1481:C1481"/>
    <mergeCell ref="A1506:A1508"/>
    <mergeCell ref="C1506:C1508"/>
    <mergeCell ref="A1509:A1511"/>
    <mergeCell ref="C1509:C1511"/>
    <mergeCell ref="A1512:A1514"/>
    <mergeCell ref="C1512:C1514"/>
    <mergeCell ref="A1497:A1499"/>
    <mergeCell ref="C1497:C1499"/>
    <mergeCell ref="A1500:A1502"/>
    <mergeCell ref="C1500:C1502"/>
    <mergeCell ref="A1503:A1505"/>
    <mergeCell ref="C1503:C1505"/>
    <mergeCell ref="A1488:A1490"/>
    <mergeCell ref="C1488:C1490"/>
    <mergeCell ref="A1491:A1493"/>
    <mergeCell ref="C1491:C1493"/>
    <mergeCell ref="A1494:A1496"/>
    <mergeCell ref="C1494:C1496"/>
    <mergeCell ref="A1523:C1523"/>
    <mergeCell ref="D1523:E1523"/>
    <mergeCell ref="H1523:I1523"/>
    <mergeCell ref="A1524:B1524"/>
    <mergeCell ref="A1525:A1527"/>
    <mergeCell ref="C1525:C1527"/>
    <mergeCell ref="D1521:E1521"/>
    <mergeCell ref="H1521:I1521"/>
    <mergeCell ref="A1522:C1522"/>
    <mergeCell ref="D1522:E1522"/>
    <mergeCell ref="F1522:G1522"/>
    <mergeCell ref="H1522:I1522"/>
    <mergeCell ref="A1515:A1517"/>
    <mergeCell ref="C1515:C1517"/>
    <mergeCell ref="A1518:A1520"/>
    <mergeCell ref="C1518:C1520"/>
    <mergeCell ref="A1521:C1521"/>
    <mergeCell ref="A1546:A1548"/>
    <mergeCell ref="C1546:C1548"/>
    <mergeCell ref="A1549:A1551"/>
    <mergeCell ref="C1549:C1551"/>
    <mergeCell ref="A1552:A1554"/>
    <mergeCell ref="C1552:C1554"/>
    <mergeCell ref="A1537:A1539"/>
    <mergeCell ref="C1537:C1539"/>
    <mergeCell ref="A1540:A1542"/>
    <mergeCell ref="C1540:C1542"/>
    <mergeCell ref="A1543:A1545"/>
    <mergeCell ref="C1543:C1545"/>
    <mergeCell ref="A1528:A1530"/>
    <mergeCell ref="C1528:C1530"/>
    <mergeCell ref="A1531:A1533"/>
    <mergeCell ref="C1531:C1533"/>
    <mergeCell ref="A1534:A1536"/>
    <mergeCell ref="C1534:C1536"/>
    <mergeCell ref="A1563:C1563"/>
    <mergeCell ref="D1563:E1563"/>
    <mergeCell ref="H1563:I1563"/>
    <mergeCell ref="A1564:B1564"/>
    <mergeCell ref="A1565:A1567"/>
    <mergeCell ref="C1565:C1567"/>
    <mergeCell ref="D1561:E1561"/>
    <mergeCell ref="H1561:I1561"/>
    <mergeCell ref="A1562:C1562"/>
    <mergeCell ref="D1562:E1562"/>
    <mergeCell ref="F1562:G1562"/>
    <mergeCell ref="H1562:I1562"/>
    <mergeCell ref="A1555:A1557"/>
    <mergeCell ref="C1555:C1557"/>
    <mergeCell ref="A1558:A1560"/>
    <mergeCell ref="C1558:C1560"/>
    <mergeCell ref="A1561:C1561"/>
    <mergeCell ref="A1586:A1588"/>
    <mergeCell ref="C1586:C1588"/>
    <mergeCell ref="A1589:A1591"/>
    <mergeCell ref="C1589:C1591"/>
    <mergeCell ref="A1592:A1594"/>
    <mergeCell ref="C1592:C1594"/>
    <mergeCell ref="A1577:A1579"/>
    <mergeCell ref="C1577:C1579"/>
    <mergeCell ref="A1580:A1582"/>
    <mergeCell ref="C1580:C1582"/>
    <mergeCell ref="A1583:A1585"/>
    <mergeCell ref="C1583:C1585"/>
    <mergeCell ref="A1568:A1570"/>
    <mergeCell ref="C1568:C1570"/>
    <mergeCell ref="A1571:A1573"/>
    <mergeCell ref="C1571:C1573"/>
    <mergeCell ref="A1574:A1576"/>
    <mergeCell ref="C1574:C1576"/>
    <mergeCell ref="A1603:C1603"/>
    <mergeCell ref="D1603:E1603"/>
    <mergeCell ref="H1603:I1603"/>
    <mergeCell ref="A1604:B1604"/>
    <mergeCell ref="A1605:A1607"/>
    <mergeCell ref="C1605:C1607"/>
    <mergeCell ref="D1601:E1601"/>
    <mergeCell ref="H1601:I1601"/>
    <mergeCell ref="A1602:C1602"/>
    <mergeCell ref="D1602:E1602"/>
    <mergeCell ref="F1602:G1602"/>
    <mergeCell ref="H1602:I1602"/>
    <mergeCell ref="A1595:A1597"/>
    <mergeCell ref="C1595:C1597"/>
    <mergeCell ref="A1598:A1600"/>
    <mergeCell ref="C1598:C1600"/>
    <mergeCell ref="A1601:C1601"/>
    <mergeCell ref="A1626:A1628"/>
    <mergeCell ref="C1626:C1628"/>
    <mergeCell ref="A1629:A1631"/>
    <mergeCell ref="C1629:C1631"/>
    <mergeCell ref="A1632:A1634"/>
    <mergeCell ref="C1632:C1634"/>
    <mergeCell ref="A1617:A1619"/>
    <mergeCell ref="C1617:C1619"/>
    <mergeCell ref="A1620:A1622"/>
    <mergeCell ref="C1620:C1622"/>
    <mergeCell ref="A1623:A1625"/>
    <mergeCell ref="C1623:C1625"/>
    <mergeCell ref="A1608:A1610"/>
    <mergeCell ref="C1608:C1610"/>
    <mergeCell ref="A1611:A1613"/>
    <mergeCell ref="C1611:C1613"/>
    <mergeCell ref="A1614:A1616"/>
    <mergeCell ref="C1614:C1616"/>
    <mergeCell ref="A1643:C1643"/>
    <mergeCell ref="D1643:E1643"/>
    <mergeCell ref="H1643:I1643"/>
    <mergeCell ref="A1644:B1644"/>
    <mergeCell ref="A1645:A1647"/>
    <mergeCell ref="C1645:C1647"/>
    <mergeCell ref="D1641:E1641"/>
    <mergeCell ref="H1641:I1641"/>
    <mergeCell ref="A1642:C1642"/>
    <mergeCell ref="D1642:E1642"/>
    <mergeCell ref="F1642:G1642"/>
    <mergeCell ref="H1642:I1642"/>
    <mergeCell ref="A1635:A1637"/>
    <mergeCell ref="C1635:C1637"/>
    <mergeCell ref="A1638:A1640"/>
    <mergeCell ref="C1638:C1640"/>
    <mergeCell ref="A1641:C1641"/>
    <mergeCell ref="A1666:A1668"/>
    <mergeCell ref="C1666:C1668"/>
    <mergeCell ref="A1669:A1671"/>
    <mergeCell ref="C1669:C1671"/>
    <mergeCell ref="A1672:A1674"/>
    <mergeCell ref="C1672:C1674"/>
    <mergeCell ref="A1657:A1659"/>
    <mergeCell ref="C1657:C1659"/>
    <mergeCell ref="A1660:A1662"/>
    <mergeCell ref="C1660:C1662"/>
    <mergeCell ref="A1663:A1665"/>
    <mergeCell ref="C1663:C1665"/>
    <mergeCell ref="A1648:A1650"/>
    <mergeCell ref="C1648:C1650"/>
    <mergeCell ref="A1651:A1653"/>
    <mergeCell ref="C1651:C1653"/>
    <mergeCell ref="A1654:A1656"/>
    <mergeCell ref="C1654:C1656"/>
    <mergeCell ref="A1683:C1683"/>
    <mergeCell ref="D1683:E1683"/>
    <mergeCell ref="H1683:I1683"/>
    <mergeCell ref="A1684:B1684"/>
    <mergeCell ref="A1685:A1687"/>
    <mergeCell ref="C1685:C1687"/>
    <mergeCell ref="D1681:E1681"/>
    <mergeCell ref="H1681:I1681"/>
    <mergeCell ref="A1682:C1682"/>
    <mergeCell ref="D1682:E1682"/>
    <mergeCell ref="F1682:G1682"/>
    <mergeCell ref="H1682:I1682"/>
    <mergeCell ref="A1675:A1677"/>
    <mergeCell ref="C1675:C1677"/>
    <mergeCell ref="A1678:A1680"/>
    <mergeCell ref="C1678:C1680"/>
    <mergeCell ref="A1681:C1681"/>
    <mergeCell ref="A1706:A1708"/>
    <mergeCell ref="C1706:C1708"/>
    <mergeCell ref="A1709:A1711"/>
    <mergeCell ref="C1709:C1711"/>
    <mergeCell ref="A1712:A1714"/>
    <mergeCell ref="C1712:C1714"/>
    <mergeCell ref="A1697:A1699"/>
    <mergeCell ref="C1697:C1699"/>
    <mergeCell ref="A1700:A1702"/>
    <mergeCell ref="C1700:C1702"/>
    <mergeCell ref="A1703:A1705"/>
    <mergeCell ref="C1703:C1705"/>
    <mergeCell ref="A1688:A1690"/>
    <mergeCell ref="C1688:C1690"/>
    <mergeCell ref="A1691:A1693"/>
    <mergeCell ref="C1691:C1693"/>
    <mergeCell ref="A1694:A1696"/>
    <mergeCell ref="C1694:C1696"/>
    <mergeCell ref="A1723:C1723"/>
    <mergeCell ref="D1723:E1723"/>
    <mergeCell ref="H1723:I1723"/>
    <mergeCell ref="A1724:B1724"/>
    <mergeCell ref="A1725:A1727"/>
    <mergeCell ref="C1725:C1727"/>
    <mergeCell ref="D1721:E1721"/>
    <mergeCell ref="H1721:I1721"/>
    <mergeCell ref="A1722:C1722"/>
    <mergeCell ref="D1722:E1722"/>
    <mergeCell ref="F1722:G1722"/>
    <mergeCell ref="H1722:I1722"/>
    <mergeCell ref="A1715:A1717"/>
    <mergeCell ref="C1715:C1717"/>
    <mergeCell ref="A1718:A1720"/>
    <mergeCell ref="C1718:C1720"/>
    <mergeCell ref="A1721:C1721"/>
    <mergeCell ref="A1746:A1748"/>
    <mergeCell ref="C1746:C1748"/>
    <mergeCell ref="A1749:A1751"/>
    <mergeCell ref="C1749:C1751"/>
    <mergeCell ref="A1752:A1754"/>
    <mergeCell ref="C1752:C1754"/>
    <mergeCell ref="A1737:A1739"/>
    <mergeCell ref="C1737:C1739"/>
    <mergeCell ref="A1740:A1742"/>
    <mergeCell ref="C1740:C1742"/>
    <mergeCell ref="A1743:A1745"/>
    <mergeCell ref="C1743:C1745"/>
    <mergeCell ref="A1728:A1730"/>
    <mergeCell ref="C1728:C1730"/>
    <mergeCell ref="A1731:A1733"/>
    <mergeCell ref="C1731:C1733"/>
    <mergeCell ref="A1734:A1736"/>
    <mergeCell ref="C1734:C1736"/>
    <mergeCell ref="A1763:C1763"/>
    <mergeCell ref="D1763:E1763"/>
    <mergeCell ref="H1763:I1763"/>
    <mergeCell ref="A1764:B1764"/>
    <mergeCell ref="A1765:A1767"/>
    <mergeCell ref="C1765:C1767"/>
    <mergeCell ref="D1761:E1761"/>
    <mergeCell ref="H1761:I1761"/>
    <mergeCell ref="A1762:C1762"/>
    <mergeCell ref="D1762:E1762"/>
    <mergeCell ref="F1762:G1762"/>
    <mergeCell ref="H1762:I1762"/>
    <mergeCell ref="A1755:A1757"/>
    <mergeCell ref="C1755:C1757"/>
    <mergeCell ref="A1758:A1760"/>
    <mergeCell ref="C1758:C1760"/>
    <mergeCell ref="A1761:C1761"/>
    <mergeCell ref="A1786:A1788"/>
    <mergeCell ref="C1786:C1788"/>
    <mergeCell ref="A1789:A1791"/>
    <mergeCell ref="C1789:C1791"/>
    <mergeCell ref="A1792:A1794"/>
    <mergeCell ref="C1792:C1794"/>
    <mergeCell ref="A1777:A1779"/>
    <mergeCell ref="C1777:C1779"/>
    <mergeCell ref="A1780:A1782"/>
    <mergeCell ref="C1780:C1782"/>
    <mergeCell ref="A1783:A1785"/>
    <mergeCell ref="C1783:C1785"/>
    <mergeCell ref="A1768:A1770"/>
    <mergeCell ref="C1768:C1770"/>
    <mergeCell ref="A1771:A1773"/>
    <mergeCell ref="C1771:C1773"/>
    <mergeCell ref="A1774:A1776"/>
    <mergeCell ref="C1774:C1776"/>
    <mergeCell ref="A1803:C1803"/>
    <mergeCell ref="D1803:E1803"/>
    <mergeCell ref="H1803:I1803"/>
    <mergeCell ref="A1804:B1804"/>
    <mergeCell ref="A1805:A1807"/>
    <mergeCell ref="C1805:C1807"/>
    <mergeCell ref="D1801:E1801"/>
    <mergeCell ref="H1801:I1801"/>
    <mergeCell ref="A1802:C1802"/>
    <mergeCell ref="D1802:E1802"/>
    <mergeCell ref="F1802:G1802"/>
    <mergeCell ref="H1802:I1802"/>
    <mergeCell ref="A1795:A1797"/>
    <mergeCell ref="C1795:C1797"/>
    <mergeCell ref="A1798:A1800"/>
    <mergeCell ref="C1798:C1800"/>
    <mergeCell ref="A1801:C1801"/>
    <mergeCell ref="A1826:A1828"/>
    <mergeCell ref="C1826:C1828"/>
    <mergeCell ref="A1829:A1831"/>
    <mergeCell ref="C1829:C1831"/>
    <mergeCell ref="A1832:A1834"/>
    <mergeCell ref="C1832:C1834"/>
    <mergeCell ref="A1817:A1819"/>
    <mergeCell ref="C1817:C1819"/>
    <mergeCell ref="A1820:A1822"/>
    <mergeCell ref="C1820:C1822"/>
    <mergeCell ref="A1823:A1825"/>
    <mergeCell ref="C1823:C1825"/>
    <mergeCell ref="A1808:A1810"/>
    <mergeCell ref="C1808:C1810"/>
    <mergeCell ref="A1811:A1813"/>
    <mergeCell ref="C1811:C1813"/>
    <mergeCell ref="A1814:A1816"/>
    <mergeCell ref="C1814:C1816"/>
    <mergeCell ref="A1843:C1843"/>
    <mergeCell ref="D1843:E1843"/>
    <mergeCell ref="H1843:I1843"/>
    <mergeCell ref="A1844:B1844"/>
    <mergeCell ref="A1845:A1847"/>
    <mergeCell ref="C1845:C1847"/>
    <mergeCell ref="D1841:E1841"/>
    <mergeCell ref="H1841:I1841"/>
    <mergeCell ref="A1842:C1842"/>
    <mergeCell ref="D1842:E1842"/>
    <mergeCell ref="F1842:G1842"/>
    <mergeCell ref="H1842:I1842"/>
    <mergeCell ref="A1835:A1837"/>
    <mergeCell ref="C1835:C1837"/>
    <mergeCell ref="A1838:A1840"/>
    <mergeCell ref="C1838:C1840"/>
    <mergeCell ref="A1841:C1841"/>
    <mergeCell ref="A1866:A1868"/>
    <mergeCell ref="C1866:C1868"/>
    <mergeCell ref="A1869:A1871"/>
    <mergeCell ref="C1869:C1871"/>
    <mergeCell ref="A1872:A1874"/>
    <mergeCell ref="C1872:C1874"/>
    <mergeCell ref="A1857:A1859"/>
    <mergeCell ref="C1857:C1859"/>
    <mergeCell ref="A1860:A1862"/>
    <mergeCell ref="C1860:C1862"/>
    <mergeCell ref="A1863:A1865"/>
    <mergeCell ref="C1863:C1865"/>
    <mergeCell ref="A1848:A1850"/>
    <mergeCell ref="C1848:C1850"/>
    <mergeCell ref="A1851:A1853"/>
    <mergeCell ref="C1851:C1853"/>
    <mergeCell ref="A1854:A1856"/>
    <mergeCell ref="C1854:C1856"/>
    <mergeCell ref="A1883:C1883"/>
    <mergeCell ref="D1883:E1883"/>
    <mergeCell ref="H1883:I1883"/>
    <mergeCell ref="A1884:B1884"/>
    <mergeCell ref="A1885:A1887"/>
    <mergeCell ref="C1885:C1887"/>
    <mergeCell ref="D1881:E1881"/>
    <mergeCell ref="H1881:I1881"/>
    <mergeCell ref="A1882:C1882"/>
    <mergeCell ref="D1882:E1882"/>
    <mergeCell ref="F1882:G1882"/>
    <mergeCell ref="H1882:I1882"/>
    <mergeCell ref="A1875:A1877"/>
    <mergeCell ref="C1875:C1877"/>
    <mergeCell ref="A1878:A1880"/>
    <mergeCell ref="C1878:C1880"/>
    <mergeCell ref="A1881:C1881"/>
    <mergeCell ref="A1906:A1908"/>
    <mergeCell ref="C1906:C1908"/>
    <mergeCell ref="A1909:A1911"/>
    <mergeCell ref="C1909:C1911"/>
    <mergeCell ref="A1912:A1914"/>
    <mergeCell ref="C1912:C1914"/>
    <mergeCell ref="A1897:A1899"/>
    <mergeCell ref="C1897:C1899"/>
    <mergeCell ref="A1900:A1902"/>
    <mergeCell ref="C1900:C1902"/>
    <mergeCell ref="A1903:A1905"/>
    <mergeCell ref="C1903:C1905"/>
    <mergeCell ref="A1888:A1890"/>
    <mergeCell ref="C1888:C1890"/>
    <mergeCell ref="A1891:A1893"/>
    <mergeCell ref="C1891:C1893"/>
    <mergeCell ref="A1894:A1896"/>
    <mergeCell ref="C1894:C1896"/>
    <mergeCell ref="A1923:C1923"/>
    <mergeCell ref="D1923:E1923"/>
    <mergeCell ref="H1923:I1923"/>
    <mergeCell ref="A1924:B1924"/>
    <mergeCell ref="A1925:A1927"/>
    <mergeCell ref="C1925:C1927"/>
    <mergeCell ref="D1921:E1921"/>
    <mergeCell ref="H1921:I1921"/>
    <mergeCell ref="A1922:C1922"/>
    <mergeCell ref="D1922:E1922"/>
    <mergeCell ref="F1922:G1922"/>
    <mergeCell ref="H1922:I1922"/>
    <mergeCell ref="A1915:A1917"/>
    <mergeCell ref="C1915:C1917"/>
    <mergeCell ref="A1918:A1920"/>
    <mergeCell ref="C1918:C1920"/>
    <mergeCell ref="A1921:C1921"/>
    <mergeCell ref="A1946:A1948"/>
    <mergeCell ref="C1946:C1948"/>
    <mergeCell ref="A1949:A1951"/>
    <mergeCell ref="C1949:C1951"/>
    <mergeCell ref="A1952:A1954"/>
    <mergeCell ref="C1952:C1954"/>
    <mergeCell ref="A1937:A1939"/>
    <mergeCell ref="C1937:C1939"/>
    <mergeCell ref="A1940:A1942"/>
    <mergeCell ref="C1940:C1942"/>
    <mergeCell ref="A1943:A1945"/>
    <mergeCell ref="C1943:C1945"/>
    <mergeCell ref="A1928:A1930"/>
    <mergeCell ref="C1928:C1930"/>
    <mergeCell ref="A1931:A1933"/>
    <mergeCell ref="C1931:C1933"/>
    <mergeCell ref="A1934:A1936"/>
    <mergeCell ref="C1934:C1936"/>
    <mergeCell ref="A1963:C1963"/>
    <mergeCell ref="D1963:E1963"/>
    <mergeCell ref="H1963:I1963"/>
    <mergeCell ref="A1964:B1964"/>
    <mergeCell ref="A1965:A1967"/>
    <mergeCell ref="C1965:C1967"/>
    <mergeCell ref="D1961:E1961"/>
    <mergeCell ref="H1961:I1961"/>
    <mergeCell ref="A1962:C1962"/>
    <mergeCell ref="D1962:E1962"/>
    <mergeCell ref="F1962:G1962"/>
    <mergeCell ref="H1962:I1962"/>
    <mergeCell ref="A1955:A1957"/>
    <mergeCell ref="C1955:C1957"/>
    <mergeCell ref="A1958:A1960"/>
    <mergeCell ref="C1958:C1960"/>
    <mergeCell ref="A1961:C1961"/>
    <mergeCell ref="A1986:A1988"/>
    <mergeCell ref="C1986:C1988"/>
    <mergeCell ref="A1989:A1991"/>
    <mergeCell ref="C1989:C1991"/>
    <mergeCell ref="A1992:A1994"/>
    <mergeCell ref="C1992:C1994"/>
    <mergeCell ref="A1977:A1979"/>
    <mergeCell ref="C1977:C1979"/>
    <mergeCell ref="A1980:A1982"/>
    <mergeCell ref="C1980:C1982"/>
    <mergeCell ref="A1983:A1985"/>
    <mergeCell ref="C1983:C1985"/>
    <mergeCell ref="A1968:A1970"/>
    <mergeCell ref="C1968:C1970"/>
    <mergeCell ref="A1971:A1973"/>
    <mergeCell ref="C1971:C1973"/>
    <mergeCell ref="A1974:A1976"/>
    <mergeCell ref="C1974:C1976"/>
    <mergeCell ref="A2003:C2003"/>
    <mergeCell ref="D2003:E2003"/>
    <mergeCell ref="H2003:I2003"/>
    <mergeCell ref="A2004:B2004"/>
    <mergeCell ref="A2005:A2007"/>
    <mergeCell ref="C2005:C2007"/>
    <mergeCell ref="D2001:E2001"/>
    <mergeCell ref="H2001:I2001"/>
    <mergeCell ref="A2002:C2002"/>
    <mergeCell ref="D2002:E2002"/>
    <mergeCell ref="F2002:G2002"/>
    <mergeCell ref="H2002:I2002"/>
    <mergeCell ref="A1995:A1997"/>
    <mergeCell ref="C1995:C1997"/>
    <mergeCell ref="A1998:A2000"/>
    <mergeCell ref="C1998:C2000"/>
    <mergeCell ref="A2001:C2001"/>
    <mergeCell ref="A2026:A2028"/>
    <mergeCell ref="C2026:C2028"/>
    <mergeCell ref="A2038:A2040"/>
    <mergeCell ref="C2038:C2040"/>
    <mergeCell ref="A2029:A2031"/>
    <mergeCell ref="C2029:C2031"/>
    <mergeCell ref="A2032:A2034"/>
    <mergeCell ref="C2032:C2034"/>
    <mergeCell ref="A2017:A2019"/>
    <mergeCell ref="C2017:C2019"/>
    <mergeCell ref="A2020:A2022"/>
    <mergeCell ref="C2020:C2022"/>
    <mergeCell ref="A2023:A2025"/>
    <mergeCell ref="C2023:C2025"/>
    <mergeCell ref="A2008:A2010"/>
    <mergeCell ref="C2008:C2010"/>
    <mergeCell ref="A2011:A2013"/>
    <mergeCell ref="C2011:C2013"/>
    <mergeCell ref="A2014:A2016"/>
    <mergeCell ref="C2014:C2016"/>
    <mergeCell ref="A2035:A2037"/>
    <mergeCell ref="C2035:C2037"/>
  </mergeCells>
  <phoneticPr fontId="1" type="noConversion"/>
  <printOptions gridLines="1"/>
  <pageMargins left="0.7" right="0.7" top="0.75" bottom="0.75" header="0.3" footer="0.3"/>
  <pageSetup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9B914-021A-A04A-A432-A9ED560132A7}">
  <dimension ref="A1:Q2040"/>
  <sheetViews>
    <sheetView topLeftCell="A1758" workbookViewId="0">
      <selection activeCell="D1801" sqref="D1801:E1801"/>
    </sheetView>
  </sheetViews>
  <sheetFormatPr baseColWidth="10" defaultRowHeight="15" x14ac:dyDescent="0.2"/>
  <cols>
    <col min="12" max="12" width="13.1640625" bestFit="1" customWidth="1"/>
    <col min="13" max="13" width="12.83203125" bestFit="1" customWidth="1"/>
    <col min="14" max="14" width="14.6640625" bestFit="1" customWidth="1"/>
  </cols>
  <sheetData>
    <row r="1" spans="1:17" ht="16" thickBot="1" x14ac:dyDescent="0.25">
      <c r="A1" s="60" t="s">
        <v>1</v>
      </c>
      <c r="B1" s="61"/>
      <c r="C1" s="62"/>
      <c r="D1" s="63" t="s">
        <v>31</v>
      </c>
      <c r="E1" s="64"/>
      <c r="F1" s="46" t="s">
        <v>0</v>
      </c>
      <c r="G1" s="18">
        <v>44159</v>
      </c>
      <c r="H1" s="65" t="s">
        <v>24</v>
      </c>
      <c r="I1" s="66"/>
      <c r="J1" s="47">
        <v>110</v>
      </c>
    </row>
    <row r="2" spans="1:17" ht="16" thickBot="1" x14ac:dyDescent="0.25">
      <c r="A2" s="67" t="s">
        <v>2</v>
      </c>
      <c r="B2" s="68"/>
      <c r="C2" s="69"/>
      <c r="D2" s="70"/>
      <c r="E2" s="71"/>
      <c r="F2" s="72"/>
      <c r="G2" s="73"/>
      <c r="H2" s="74" t="s">
        <v>25</v>
      </c>
      <c r="I2" s="75"/>
      <c r="J2" s="49">
        <v>33</v>
      </c>
    </row>
    <row r="3" spans="1:17" ht="16" thickBot="1" x14ac:dyDescent="0.25">
      <c r="A3" s="76" t="s">
        <v>27</v>
      </c>
      <c r="B3" s="77"/>
      <c r="C3" s="78"/>
      <c r="D3" s="79" t="s">
        <v>33</v>
      </c>
      <c r="E3" s="80"/>
      <c r="F3" s="48" t="s">
        <v>30</v>
      </c>
      <c r="G3" s="48">
        <v>3.81</v>
      </c>
      <c r="H3" s="81" t="s">
        <v>26</v>
      </c>
      <c r="I3" s="82"/>
      <c r="J3" s="50">
        <v>62</v>
      </c>
    </row>
    <row r="4" spans="1:17" x14ac:dyDescent="0.2">
      <c r="A4" s="83"/>
      <c r="B4" s="84"/>
      <c r="C4" s="51" t="s">
        <v>29</v>
      </c>
      <c r="D4" s="51" t="s">
        <v>19</v>
      </c>
      <c r="E4" s="51" t="s">
        <v>15</v>
      </c>
      <c r="F4" s="51" t="s">
        <v>18</v>
      </c>
      <c r="G4" s="51" t="s">
        <v>17</v>
      </c>
      <c r="H4" s="48" t="s">
        <v>28</v>
      </c>
      <c r="I4" s="48" t="s">
        <v>16</v>
      </c>
      <c r="J4" s="52" t="s">
        <v>23</v>
      </c>
      <c r="L4" s="97" t="s">
        <v>57</v>
      </c>
      <c r="M4" s="97" t="s">
        <v>58</v>
      </c>
      <c r="N4" s="97" t="s">
        <v>59</v>
      </c>
      <c r="O4" s="97" t="s">
        <v>60</v>
      </c>
      <c r="P4" s="97" t="s">
        <v>61</v>
      </c>
      <c r="Q4" s="97" t="s">
        <v>62</v>
      </c>
    </row>
    <row r="5" spans="1:17" x14ac:dyDescent="0.2">
      <c r="A5" s="86" t="s">
        <v>3</v>
      </c>
      <c r="B5" s="53" t="s">
        <v>20</v>
      </c>
      <c r="C5" s="88">
        <v>10</v>
      </c>
      <c r="D5" s="54"/>
      <c r="E5" s="54">
        <v>1.7210000000000001</v>
      </c>
      <c r="F5" s="54">
        <v>3.5219999999999998</v>
      </c>
      <c r="G5" s="54">
        <v>4.7290000000000001</v>
      </c>
      <c r="H5" s="54">
        <v>0.14593981</v>
      </c>
      <c r="I5" s="54">
        <v>0</v>
      </c>
      <c r="J5" s="55">
        <v>0</v>
      </c>
      <c r="L5">
        <f>(G5+G6+G7)/3</f>
        <v>4.6913333333333327</v>
      </c>
      <c r="M5">
        <f>(F5+F6+F7)/3</f>
        <v>3.4696666666666665</v>
      </c>
      <c r="N5">
        <f>(L5-M5)/M5</f>
        <v>0.35209914497069833</v>
      </c>
      <c r="O5">
        <f>(D6/(1+N5))</f>
        <v>664.89207048458161</v>
      </c>
      <c r="P5">
        <f>PI()*$G$3^2*C5</f>
        <v>456.03673118774793</v>
      </c>
      <c r="Q5">
        <f>O5/P5</f>
        <v>1.4579792043348565</v>
      </c>
    </row>
    <row r="6" spans="1:17" x14ac:dyDescent="0.2">
      <c r="A6" s="85"/>
      <c r="B6" s="53" t="s">
        <v>21</v>
      </c>
      <c r="C6" s="89"/>
      <c r="D6" s="48">
        <v>899</v>
      </c>
      <c r="E6" s="48">
        <v>1.71</v>
      </c>
      <c r="F6" s="48">
        <v>3.4729999999999999</v>
      </c>
      <c r="G6" s="48">
        <v>4.6890000000000001</v>
      </c>
      <c r="H6" s="48">
        <v>0.14224013999999999</v>
      </c>
      <c r="I6" s="48">
        <v>771.12611579999998</v>
      </c>
      <c r="J6" s="52"/>
    </row>
    <row r="7" spans="1:17" x14ac:dyDescent="0.2">
      <c r="A7" s="87"/>
      <c r="B7" s="56" t="s">
        <v>22</v>
      </c>
      <c r="C7" s="90"/>
      <c r="D7" s="57"/>
      <c r="E7" s="57">
        <v>1.73</v>
      </c>
      <c r="F7" s="57">
        <v>3.4140000000000001</v>
      </c>
      <c r="G7" s="57">
        <v>4.6559999999999997</v>
      </c>
      <c r="H7" s="57">
        <v>0.14294082999999999</v>
      </c>
      <c r="I7" s="57">
        <v>0</v>
      </c>
      <c r="J7" s="49"/>
    </row>
    <row r="8" spans="1:17" x14ac:dyDescent="0.2">
      <c r="A8" s="91" t="s">
        <v>4</v>
      </c>
      <c r="B8" s="53" t="s">
        <v>20</v>
      </c>
      <c r="C8" s="92">
        <v>10</v>
      </c>
      <c r="D8" s="48"/>
      <c r="E8" s="48">
        <v>1.7230000000000001</v>
      </c>
      <c r="F8" s="48">
        <v>3.3359999999999999</v>
      </c>
      <c r="G8" s="48">
        <v>4.6360000000000001</v>
      </c>
      <c r="H8" s="48">
        <v>0.12679856</v>
      </c>
      <c r="I8" s="48">
        <v>0</v>
      </c>
      <c r="J8" s="52">
        <v>0</v>
      </c>
      <c r="L8">
        <f>(G8+G9+G10)/3</f>
        <v>4.793333333333333</v>
      </c>
      <c r="M8">
        <f>(F8+F9+F10)/3</f>
        <v>3.5109999999999997</v>
      </c>
      <c r="N8">
        <f>(L8-M8)/M8</f>
        <v>0.36523307699610752</v>
      </c>
      <c r="O8">
        <f>(D9/(1+N8))</f>
        <v>598.43261474269809</v>
      </c>
      <c r="P8">
        <f>PI()*$G$3^2*C8</f>
        <v>456.03673118774793</v>
      </c>
      <c r="Q8">
        <f>O8/P8</f>
        <v>1.3122465227396924</v>
      </c>
    </row>
    <row r="9" spans="1:17" x14ac:dyDescent="0.2">
      <c r="A9" s="85"/>
      <c r="B9" s="53" t="s">
        <v>21</v>
      </c>
      <c r="C9" s="89"/>
      <c r="D9" s="48">
        <v>817</v>
      </c>
      <c r="E9" s="48">
        <v>1.7170000000000001</v>
      </c>
      <c r="F9" s="48">
        <v>3.3079999999999998</v>
      </c>
      <c r="G9" s="48">
        <v>4.6109999999999998</v>
      </c>
      <c r="H9" s="48">
        <v>0.12515114999999999</v>
      </c>
      <c r="I9" s="48">
        <v>714.75151149999999</v>
      </c>
      <c r="J9" s="52" t="e">
        <v>#DIV/0!</v>
      </c>
    </row>
    <row r="10" spans="1:17" x14ac:dyDescent="0.2">
      <c r="A10" s="87"/>
      <c r="B10" s="56" t="s">
        <v>22</v>
      </c>
      <c r="C10" s="90"/>
      <c r="D10" s="57"/>
      <c r="E10" s="57">
        <v>1.724</v>
      </c>
      <c r="F10" s="57">
        <v>3.8889999999999998</v>
      </c>
      <c r="G10" s="57">
        <v>5.133</v>
      </c>
      <c r="H10" s="57">
        <v>0.12342504</v>
      </c>
      <c r="I10" s="57">
        <v>0</v>
      </c>
      <c r="J10" s="49" t="e">
        <v>#DIV/0!</v>
      </c>
    </row>
    <row r="11" spans="1:17" x14ac:dyDescent="0.2">
      <c r="A11" s="91" t="s">
        <v>5</v>
      </c>
      <c r="B11" s="53" t="s">
        <v>20</v>
      </c>
      <c r="C11" s="92">
        <v>10</v>
      </c>
      <c r="D11" s="48"/>
      <c r="E11" s="48">
        <v>1.734</v>
      </c>
      <c r="F11" s="48">
        <v>3.0590000000000002</v>
      </c>
      <c r="G11" s="48">
        <v>4.4400000000000004</v>
      </c>
      <c r="H11" s="48">
        <v>0.11539719</v>
      </c>
      <c r="I11" s="48">
        <v>0</v>
      </c>
      <c r="J11" s="52">
        <v>0</v>
      </c>
      <c r="L11">
        <f>(G11+G12+G13)/3</f>
        <v>4.5396666666666663</v>
      </c>
      <c r="M11">
        <f>(F11+F12+F13)/3</f>
        <v>3.2053333333333334</v>
      </c>
      <c r="N11">
        <f>(L11-M11)/M11</f>
        <v>0.41628535773710468</v>
      </c>
      <c r="O11">
        <f>(D12/(1+N11))</f>
        <v>602.27975622292399</v>
      </c>
      <c r="P11">
        <f>PI()*$G$3^2*C11</f>
        <v>456.03673118774793</v>
      </c>
      <c r="Q11">
        <f>O11/P11</f>
        <v>1.3206825569823861</v>
      </c>
    </row>
    <row r="12" spans="1:17" x14ac:dyDescent="0.2">
      <c r="A12" s="85"/>
      <c r="B12" s="53" t="s">
        <v>21</v>
      </c>
      <c r="C12" s="89"/>
      <c r="D12" s="48">
        <v>853</v>
      </c>
      <c r="E12" s="48">
        <v>1.71</v>
      </c>
      <c r="F12" s="48">
        <v>3.391</v>
      </c>
      <c r="G12" s="48">
        <v>4.6929999999999996</v>
      </c>
      <c r="H12" s="48">
        <v>0.12031849</v>
      </c>
      <c r="I12" s="48">
        <v>750.36832790000005</v>
      </c>
      <c r="J12" s="52" t="e">
        <v>#DIV/0!</v>
      </c>
    </row>
    <row r="13" spans="1:17" x14ac:dyDescent="0.2">
      <c r="A13" s="87"/>
      <c r="B13" s="56" t="s">
        <v>22</v>
      </c>
      <c r="C13" s="90"/>
      <c r="D13" s="57"/>
      <c r="E13" s="57">
        <v>1.7250000000000001</v>
      </c>
      <c r="F13" s="57">
        <v>3.1659999999999999</v>
      </c>
      <c r="G13" s="57">
        <v>4.4859999999999998</v>
      </c>
      <c r="H13" s="57">
        <v>0.12792166999999999</v>
      </c>
      <c r="I13" s="57">
        <v>0</v>
      </c>
      <c r="J13" s="49" t="e">
        <v>#DIV/0!</v>
      </c>
    </row>
    <row r="14" spans="1:17" x14ac:dyDescent="0.2">
      <c r="A14" s="91" t="s">
        <v>6</v>
      </c>
      <c r="B14" s="53" t="s">
        <v>20</v>
      </c>
      <c r="C14" s="92">
        <v>10</v>
      </c>
      <c r="D14" s="48"/>
      <c r="E14" s="48">
        <v>1.714</v>
      </c>
      <c r="F14" s="48">
        <v>3.1560000000000001</v>
      </c>
      <c r="G14" s="48">
        <v>4.4429999999999996</v>
      </c>
      <c r="H14" s="48">
        <v>0.13529785</v>
      </c>
      <c r="I14" s="48">
        <v>0</v>
      </c>
      <c r="J14" s="52">
        <v>0</v>
      </c>
      <c r="L14">
        <f>(G14+G15+G16)/3</f>
        <v>4.6793333333333331</v>
      </c>
      <c r="M14">
        <f>(F14+F15+F16)/3</f>
        <v>3.3913333333333333</v>
      </c>
      <c r="N14">
        <f>(L14-M14)/M14</f>
        <v>0.37979162571260067</v>
      </c>
      <c r="O14">
        <f>(D15/(1+N14))</f>
        <v>640.67644963670045</v>
      </c>
      <c r="P14">
        <f>PI()*$G$3^2*C14</f>
        <v>456.03673118774793</v>
      </c>
      <c r="Q14">
        <f>O14/P14</f>
        <v>1.4048790499134978</v>
      </c>
    </row>
    <row r="15" spans="1:17" x14ac:dyDescent="0.2">
      <c r="A15" s="85"/>
      <c r="B15" s="53" t="s">
        <v>21</v>
      </c>
      <c r="C15" s="89"/>
      <c r="D15" s="48">
        <v>884</v>
      </c>
      <c r="E15" s="48">
        <v>1.7490000000000001</v>
      </c>
      <c r="F15" s="48">
        <v>3.3319999999999999</v>
      </c>
      <c r="G15" s="48">
        <v>4.6479999999999997</v>
      </c>
      <c r="H15" s="48">
        <v>0.12995197999999999</v>
      </c>
      <c r="I15" s="48">
        <v>769.12244899999996</v>
      </c>
      <c r="J15" s="52" t="e">
        <v>#DIV/0!</v>
      </c>
    </row>
    <row r="16" spans="1:17" x14ac:dyDescent="0.2">
      <c r="A16" s="87"/>
      <c r="B16" s="56" t="s">
        <v>22</v>
      </c>
      <c r="C16" s="90"/>
      <c r="D16" s="57"/>
      <c r="E16" s="57">
        <v>1.7410000000000001</v>
      </c>
      <c r="F16" s="57">
        <v>3.6859999999999999</v>
      </c>
      <c r="G16" s="57">
        <v>4.9470000000000001</v>
      </c>
      <c r="H16" s="57">
        <v>0.13022246000000001</v>
      </c>
      <c r="I16" s="57">
        <v>0</v>
      </c>
      <c r="J16" s="49" t="e">
        <v>#DIV/0!</v>
      </c>
    </row>
    <row r="17" spans="1:17" x14ac:dyDescent="0.2">
      <c r="A17" s="91" t="s">
        <v>7</v>
      </c>
      <c r="B17" s="53" t="s">
        <v>20</v>
      </c>
      <c r="C17" s="92">
        <v>10</v>
      </c>
      <c r="D17" s="48"/>
      <c r="E17" s="48">
        <v>1.742</v>
      </c>
      <c r="F17" s="48">
        <v>3.11</v>
      </c>
      <c r="G17" s="48">
        <v>4.4870000000000001</v>
      </c>
      <c r="H17" s="48">
        <v>0.11736334</v>
      </c>
      <c r="I17" s="48">
        <v>0</v>
      </c>
      <c r="J17" s="52">
        <v>0</v>
      </c>
      <c r="L17">
        <f>(G17+G18+G19)/3</f>
        <v>4.4969999999999999</v>
      </c>
      <c r="M17">
        <f>(F17+F18+F19)/3</f>
        <v>3.1666666666666665</v>
      </c>
      <c r="N17">
        <f>(L17-M17)/M17</f>
        <v>0.42010526315789476</v>
      </c>
      <c r="O17">
        <f>(D18/(1+N17))</f>
        <v>616.85568156548811</v>
      </c>
      <c r="P17">
        <f>PI()*$G$3^2*C17</f>
        <v>456.03673118774793</v>
      </c>
      <c r="Q17">
        <f>O17/P17</f>
        <v>1.3526447309603487</v>
      </c>
    </row>
    <row r="18" spans="1:17" x14ac:dyDescent="0.2">
      <c r="A18" s="85"/>
      <c r="B18" s="53" t="s">
        <v>21</v>
      </c>
      <c r="C18" s="89"/>
      <c r="D18" s="48">
        <v>876</v>
      </c>
      <c r="E18" s="48">
        <v>1.738</v>
      </c>
      <c r="F18" s="48">
        <v>3.2040000000000002</v>
      </c>
      <c r="G18" s="48">
        <v>4.532</v>
      </c>
      <c r="H18" s="48">
        <v>0.12796504</v>
      </c>
      <c r="I18" s="48">
        <v>763.90262170000005</v>
      </c>
      <c r="J18" s="52" t="e">
        <v>#DIV/0!</v>
      </c>
    </row>
    <row r="19" spans="1:17" x14ac:dyDescent="0.2">
      <c r="A19" s="87"/>
      <c r="B19" s="56" t="s">
        <v>22</v>
      </c>
      <c r="C19" s="90"/>
      <c r="D19" s="57"/>
      <c r="E19" s="57">
        <v>1.712</v>
      </c>
      <c r="F19" s="57">
        <v>3.1859999999999999</v>
      </c>
      <c r="G19" s="57">
        <v>4.4720000000000004</v>
      </c>
      <c r="H19" s="57">
        <v>0.13370998000000001</v>
      </c>
      <c r="I19" s="57">
        <v>0</v>
      </c>
      <c r="J19" s="49" t="e">
        <v>#DIV/0!</v>
      </c>
    </row>
    <row r="20" spans="1:17" x14ac:dyDescent="0.2">
      <c r="A20" s="91" t="s">
        <v>8</v>
      </c>
      <c r="B20" s="53" t="s">
        <v>20</v>
      </c>
      <c r="C20" s="92">
        <v>10</v>
      </c>
      <c r="D20" s="48"/>
      <c r="E20" s="48">
        <v>1.7170000000000001</v>
      </c>
      <c r="F20" s="48">
        <v>3.2440000000000002</v>
      </c>
      <c r="G20" s="48">
        <v>4.4779999999999998</v>
      </c>
      <c r="H20" s="48">
        <v>0.14889026</v>
      </c>
      <c r="I20" s="48">
        <v>0</v>
      </c>
      <c r="J20" s="52">
        <v>0</v>
      </c>
      <c r="L20">
        <f>(G20+G21+G22)/3</f>
        <v>4.4543333333333335</v>
      </c>
      <c r="M20">
        <f>(F20+F21+F22)/3</f>
        <v>3.202666666666667</v>
      </c>
      <c r="N20">
        <f>(L20-M20)/M20</f>
        <v>0.39082014987510399</v>
      </c>
      <c r="O20">
        <f>(D21/(1+N20))</f>
        <v>656.44720496894411</v>
      </c>
      <c r="P20">
        <f>PI()*$G$3^2*C20</f>
        <v>456.03673118774793</v>
      </c>
      <c r="Q20">
        <f>O20/P20</f>
        <v>1.4394612540512406</v>
      </c>
    </row>
    <row r="21" spans="1:17" x14ac:dyDescent="0.2">
      <c r="A21" s="85"/>
      <c r="B21" s="53" t="s">
        <v>21</v>
      </c>
      <c r="C21" s="89"/>
      <c r="D21" s="48">
        <v>913</v>
      </c>
      <c r="E21" s="48">
        <v>1.722</v>
      </c>
      <c r="F21" s="48">
        <v>3.1819999999999999</v>
      </c>
      <c r="G21" s="48">
        <v>4.41</v>
      </c>
      <c r="H21" s="48">
        <v>0.15524826999999999</v>
      </c>
      <c r="I21" s="48">
        <v>771.25832809999997</v>
      </c>
      <c r="J21" s="52" t="e">
        <v>#DIV/0!</v>
      </c>
    </row>
    <row r="22" spans="1:17" x14ac:dyDescent="0.2">
      <c r="A22" s="87"/>
      <c r="B22" s="56" t="s">
        <v>22</v>
      </c>
      <c r="C22" s="90"/>
      <c r="D22" s="57"/>
      <c r="E22" s="57">
        <v>1.7410000000000001</v>
      </c>
      <c r="F22" s="57">
        <v>3.1819999999999999</v>
      </c>
      <c r="G22" s="57">
        <v>4.4749999999999996</v>
      </c>
      <c r="H22" s="57">
        <v>0.14079195</v>
      </c>
      <c r="I22" s="57">
        <v>0</v>
      </c>
      <c r="J22" s="49" t="e">
        <v>#DIV/0!</v>
      </c>
    </row>
    <row r="23" spans="1:17" x14ac:dyDescent="0.2">
      <c r="A23" s="91" t="s">
        <v>9</v>
      </c>
      <c r="B23" s="53" t="s">
        <v>20</v>
      </c>
      <c r="C23" s="92">
        <v>10</v>
      </c>
      <c r="D23" s="48"/>
      <c r="E23" s="48">
        <v>1.7130000000000001</v>
      </c>
      <c r="F23" s="48">
        <v>3.64</v>
      </c>
      <c r="G23" s="48">
        <v>5.0190000000000001</v>
      </c>
      <c r="H23" s="48">
        <v>9.1758240000000005E-2</v>
      </c>
      <c r="I23" s="48">
        <v>0</v>
      </c>
      <c r="J23" s="52">
        <v>0</v>
      </c>
      <c r="L23">
        <f>(G23+G24+G25)/3</f>
        <v>4.9619999999999997</v>
      </c>
      <c r="M23">
        <f>(F23+F24+F25)/3</f>
        <v>3.5749999999999997</v>
      </c>
      <c r="N23">
        <f>(L23-M23)/M23</f>
        <v>0.38797202797202801</v>
      </c>
      <c r="O23">
        <f>(D24/(1+N23))</f>
        <v>554.76622329705765</v>
      </c>
      <c r="P23">
        <f>PI()*$G$3^2*C23</f>
        <v>456.03673118774793</v>
      </c>
      <c r="Q23">
        <f>O23/P23</f>
        <v>1.2164946052748178</v>
      </c>
    </row>
    <row r="24" spans="1:17" x14ac:dyDescent="0.2">
      <c r="A24" s="85"/>
      <c r="B24" s="53" t="s">
        <v>21</v>
      </c>
      <c r="C24" s="89"/>
      <c r="D24" s="48">
        <v>770</v>
      </c>
      <c r="E24" s="48">
        <v>1.716</v>
      </c>
      <c r="F24" s="48">
        <v>3.3410000000000002</v>
      </c>
      <c r="G24" s="48">
        <v>4.7830000000000004</v>
      </c>
      <c r="H24" s="48">
        <v>8.201137E-2</v>
      </c>
      <c r="I24" s="48">
        <v>706.85124210000004</v>
      </c>
      <c r="J24" s="52" t="e">
        <v>#DIV/0!</v>
      </c>
    </row>
    <row r="25" spans="1:17" x14ac:dyDescent="0.2">
      <c r="A25" s="87"/>
      <c r="B25" s="56" t="s">
        <v>22</v>
      </c>
      <c r="C25" s="90"/>
      <c r="D25" s="57"/>
      <c r="E25" s="57">
        <v>1.732</v>
      </c>
      <c r="F25" s="57">
        <v>3.7440000000000002</v>
      </c>
      <c r="G25" s="57">
        <v>5.0839999999999996</v>
      </c>
      <c r="H25" s="57">
        <v>0.10470085</v>
      </c>
      <c r="I25" s="57">
        <v>0</v>
      </c>
      <c r="J25" s="49" t="e">
        <v>#DIV/0!</v>
      </c>
    </row>
    <row r="26" spans="1:17" x14ac:dyDescent="0.2">
      <c r="A26" s="91" t="s">
        <v>10</v>
      </c>
      <c r="B26" s="53" t="s">
        <v>20</v>
      </c>
      <c r="C26" s="92">
        <v>10</v>
      </c>
      <c r="D26" s="48"/>
      <c r="E26" s="48">
        <v>1.7330000000000001</v>
      </c>
      <c r="F26" s="48">
        <v>3.1360000000000001</v>
      </c>
      <c r="G26" s="48">
        <v>4.5229999999999997</v>
      </c>
      <c r="H26" s="48">
        <v>0.11033163</v>
      </c>
      <c r="I26" s="48">
        <v>0</v>
      </c>
      <c r="J26" s="52">
        <v>0</v>
      </c>
      <c r="L26">
        <f>(G26+G27+G28)/3</f>
        <v>4.5179999999999998</v>
      </c>
      <c r="M26">
        <f>(F26+F27+F28)/3</f>
        <v>3.1270000000000002</v>
      </c>
      <c r="N26">
        <f>(L26-M26)/M26</f>
        <v>0.44483530540454091</v>
      </c>
      <c r="O26">
        <f>(D27/(1+N26))</f>
        <v>521.16666666666674</v>
      </c>
      <c r="P26">
        <f>PI()*$G$3^2*C26</f>
        <v>456.03673118774793</v>
      </c>
      <c r="Q26">
        <f>O26/P26</f>
        <v>1.1428173018197194</v>
      </c>
    </row>
    <row r="27" spans="1:17" x14ac:dyDescent="0.2">
      <c r="A27" s="85"/>
      <c r="B27" s="53" t="s">
        <v>21</v>
      </c>
      <c r="C27" s="89"/>
      <c r="D27" s="48">
        <v>753</v>
      </c>
      <c r="E27" s="48">
        <v>1.7390000000000001</v>
      </c>
      <c r="F27" s="48">
        <v>3.032</v>
      </c>
      <c r="G27" s="48">
        <v>4.4189999999999996</v>
      </c>
      <c r="H27" s="48">
        <v>0.11609499</v>
      </c>
      <c r="I27" s="48">
        <v>665.58047490000001</v>
      </c>
      <c r="J27" s="52" t="e">
        <v>#DIV/0!</v>
      </c>
    </row>
    <row r="28" spans="1:17" x14ac:dyDescent="0.2">
      <c r="A28" s="87"/>
      <c r="B28" s="56" t="s">
        <v>22</v>
      </c>
      <c r="C28" s="90"/>
      <c r="D28" s="57"/>
      <c r="E28" s="57">
        <v>1.7150000000000001</v>
      </c>
      <c r="F28" s="57">
        <v>3.2130000000000001</v>
      </c>
      <c r="G28" s="57">
        <v>4.6120000000000001</v>
      </c>
      <c r="H28" s="57">
        <v>9.8350450000000006E-2</v>
      </c>
      <c r="I28" s="57">
        <v>0</v>
      </c>
      <c r="J28" s="49" t="e">
        <v>#DIV/0!</v>
      </c>
    </row>
    <row r="29" spans="1:17" x14ac:dyDescent="0.2">
      <c r="A29" s="91" t="s">
        <v>11</v>
      </c>
      <c r="B29" s="53" t="s">
        <v>20</v>
      </c>
      <c r="C29" s="92">
        <v>10</v>
      </c>
      <c r="D29" s="48"/>
      <c r="E29" s="48">
        <v>1.7330000000000001</v>
      </c>
      <c r="F29" s="48">
        <v>3.4550000000000001</v>
      </c>
      <c r="G29" s="48">
        <v>4.7220000000000004</v>
      </c>
      <c r="H29" s="48">
        <v>0.13487699</v>
      </c>
      <c r="I29" s="48">
        <v>0</v>
      </c>
      <c r="J29" s="52">
        <v>0</v>
      </c>
      <c r="L29">
        <f>(G29+G30+G31)/3</f>
        <v>4.551333333333333</v>
      </c>
      <c r="M29">
        <f>(F29+F30+F31)/3</f>
        <v>3.282</v>
      </c>
      <c r="N29">
        <f>(L29-M29)/M29</f>
        <v>0.38675604306317274</v>
      </c>
      <c r="O29">
        <f>(D30/(1+N29))</f>
        <v>623.03676578292084</v>
      </c>
      <c r="P29">
        <f>PI()*$G$3^2*C29</f>
        <v>456.03673118774793</v>
      </c>
      <c r="Q29">
        <f>O29/P29</f>
        <v>1.3661986484295272</v>
      </c>
    </row>
    <row r="30" spans="1:17" x14ac:dyDescent="0.2">
      <c r="A30" s="85"/>
      <c r="B30" s="53" t="s">
        <v>21</v>
      </c>
      <c r="C30" s="89"/>
      <c r="D30" s="48">
        <v>864</v>
      </c>
      <c r="E30" s="48">
        <v>1.7150000000000001</v>
      </c>
      <c r="F30" s="48">
        <v>3.141</v>
      </c>
      <c r="G30" s="48">
        <v>4.43</v>
      </c>
      <c r="H30" s="48">
        <v>0.13562560000000001</v>
      </c>
      <c r="I30" s="48">
        <v>746.81948420000003</v>
      </c>
      <c r="J30" s="52" t="e">
        <v>#DIV/0!</v>
      </c>
    </row>
    <row r="31" spans="1:17" x14ac:dyDescent="0.2">
      <c r="A31" s="87"/>
      <c r="B31" s="56" t="s">
        <v>22</v>
      </c>
      <c r="C31" s="90"/>
      <c r="D31" s="57"/>
      <c r="E31" s="57">
        <v>1.724</v>
      </c>
      <c r="F31" s="57">
        <v>3.25</v>
      </c>
      <c r="G31" s="57">
        <v>4.5019999999999998</v>
      </c>
      <c r="H31" s="57">
        <v>0.14523077000000001</v>
      </c>
      <c r="I31" s="57">
        <v>0</v>
      </c>
      <c r="J31" s="49" t="e">
        <v>#DIV/0!</v>
      </c>
    </row>
    <row r="32" spans="1:17" x14ac:dyDescent="0.2">
      <c r="A32" s="91" t="s">
        <v>12</v>
      </c>
      <c r="B32" s="53" t="s">
        <v>20</v>
      </c>
      <c r="C32" s="92">
        <v>10</v>
      </c>
      <c r="D32" s="48"/>
      <c r="E32" s="48">
        <v>1.726</v>
      </c>
      <c r="F32" s="48">
        <v>3.2029999999999998</v>
      </c>
      <c r="G32" s="48">
        <v>4.3869999999999996</v>
      </c>
      <c r="H32" s="48">
        <v>0.16921636000000001</v>
      </c>
      <c r="I32" s="48">
        <v>0</v>
      </c>
      <c r="J32" s="52">
        <v>0</v>
      </c>
      <c r="L32">
        <f>(G32+G33+G34)/3</f>
        <v>4.5366666666666662</v>
      </c>
      <c r="M32">
        <f>(F32+F33+F34)/3</f>
        <v>3.3113333333333332</v>
      </c>
      <c r="N32">
        <f>(L32-M32)/M32</f>
        <v>0.37004227904167497</v>
      </c>
      <c r="O32">
        <f>(D33/(1+N32))</f>
        <v>591.95253490080836</v>
      </c>
      <c r="P32">
        <f>PI()*$G$3^2*C32</f>
        <v>456.03673118774793</v>
      </c>
      <c r="Q32">
        <f>O32/P32</f>
        <v>1.2980369659239237</v>
      </c>
    </row>
    <row r="33" spans="1:17" x14ac:dyDescent="0.2">
      <c r="A33" s="85"/>
      <c r="B33" s="53" t="s">
        <v>21</v>
      </c>
      <c r="C33" s="89"/>
      <c r="D33" s="48">
        <v>811</v>
      </c>
      <c r="E33" s="48">
        <v>1.7270000000000001</v>
      </c>
      <c r="F33" s="48">
        <v>3.5190000000000001</v>
      </c>
      <c r="G33" s="48">
        <v>4.6959999999999997</v>
      </c>
      <c r="H33" s="48">
        <v>0.1562944</v>
      </c>
      <c r="I33" s="48">
        <v>684.24524010000005</v>
      </c>
      <c r="J33" s="52" t="e">
        <v>#DIV/0!</v>
      </c>
    </row>
    <row r="34" spans="1:17" x14ac:dyDescent="0.2">
      <c r="A34" s="87"/>
      <c r="B34" s="56" t="s">
        <v>22</v>
      </c>
      <c r="C34" s="90"/>
      <c r="D34" s="57"/>
      <c r="E34" s="57">
        <v>1.712</v>
      </c>
      <c r="F34" s="57">
        <v>3.2120000000000002</v>
      </c>
      <c r="G34" s="57">
        <v>4.5270000000000001</v>
      </c>
      <c r="H34" s="57">
        <v>0.123599</v>
      </c>
      <c r="I34" s="57">
        <v>0</v>
      </c>
      <c r="J34" s="49" t="e">
        <v>#DIV/0!</v>
      </c>
    </row>
    <row r="35" spans="1:17" x14ac:dyDescent="0.2">
      <c r="A35" s="91" t="s">
        <v>13</v>
      </c>
      <c r="B35" s="53" t="s">
        <v>20</v>
      </c>
      <c r="C35" s="92">
        <v>10</v>
      </c>
      <c r="D35" s="48"/>
      <c r="E35" s="48">
        <v>1.7130000000000001</v>
      </c>
      <c r="F35" s="48">
        <v>3.6850000000000001</v>
      </c>
      <c r="G35" s="48">
        <v>5.0439999999999996</v>
      </c>
      <c r="H35" s="48">
        <v>9.6065129999999999E-2</v>
      </c>
      <c r="I35" s="48">
        <v>0</v>
      </c>
      <c r="J35" s="52">
        <v>0</v>
      </c>
      <c r="L35">
        <f>(G35+G36+G37)/3</f>
        <v>4.9106666666666667</v>
      </c>
      <c r="M35">
        <f>(F35+F36+F37)/3</f>
        <v>3.5246666666666666</v>
      </c>
      <c r="N35">
        <f>(L35-M35)/M35</f>
        <v>0.39322867410629853</v>
      </c>
      <c r="O35">
        <f>(D36/(1+N35))</f>
        <v>409.83939723051861</v>
      </c>
      <c r="P35">
        <f>PI()*$G$3^2*C35</f>
        <v>456.03673118774793</v>
      </c>
      <c r="Q35">
        <f>O35/P35</f>
        <v>0.89869821705609476</v>
      </c>
    </row>
    <row r="36" spans="1:17" x14ac:dyDescent="0.2">
      <c r="A36" s="85"/>
      <c r="B36" s="53" t="s">
        <v>21</v>
      </c>
      <c r="C36" s="89"/>
      <c r="D36" s="48">
        <v>571</v>
      </c>
      <c r="E36" s="48">
        <v>1.728</v>
      </c>
      <c r="F36" s="48">
        <v>3.4340000000000002</v>
      </c>
      <c r="G36" s="48">
        <v>4.8170000000000002</v>
      </c>
      <c r="H36" s="48">
        <v>0.10046592999999999</v>
      </c>
      <c r="I36" s="48">
        <v>513.63395460000004</v>
      </c>
      <c r="J36" s="52" t="e">
        <v>#DIV/0!</v>
      </c>
    </row>
    <row r="37" spans="1:17" x14ac:dyDescent="0.2">
      <c r="A37" s="87"/>
      <c r="B37" s="56" t="s">
        <v>22</v>
      </c>
      <c r="C37" s="90"/>
      <c r="D37" s="57"/>
      <c r="E37" s="57">
        <v>1.734</v>
      </c>
      <c r="F37" s="57">
        <v>3.4550000000000001</v>
      </c>
      <c r="G37" s="57">
        <v>4.8710000000000004</v>
      </c>
      <c r="H37" s="57">
        <v>9.2040520000000001E-2</v>
      </c>
      <c r="I37" s="57">
        <v>0</v>
      </c>
      <c r="J37" s="49" t="e">
        <v>#DIV/0!</v>
      </c>
    </row>
    <row r="38" spans="1:17" x14ac:dyDescent="0.2">
      <c r="A38" s="91" t="s">
        <v>14</v>
      </c>
      <c r="B38" s="53" t="s">
        <v>20</v>
      </c>
      <c r="C38" s="92">
        <v>10</v>
      </c>
      <c r="D38" s="48"/>
      <c r="E38" s="48"/>
      <c r="F38" s="48"/>
      <c r="G38" s="48"/>
      <c r="H38" s="48" t="e">
        <v>#DIV/0!</v>
      </c>
      <c r="I38" s="48" t="e">
        <v>#DIV/0!</v>
      </c>
      <c r="J38" s="52" t="e">
        <v>#DIV/0!</v>
      </c>
    </row>
    <row r="39" spans="1:17" x14ac:dyDescent="0.2">
      <c r="A39" s="85"/>
      <c r="B39" s="53" t="s">
        <v>21</v>
      </c>
      <c r="C39" s="89"/>
      <c r="D39" s="48"/>
      <c r="E39" s="48"/>
      <c r="F39" s="48"/>
      <c r="G39" s="48"/>
      <c r="H39" s="48" t="e">
        <v>#DIV/0!</v>
      </c>
      <c r="I39" s="48" t="e">
        <v>#DIV/0!</v>
      </c>
      <c r="J39" s="52" t="e">
        <v>#DIV/0!</v>
      </c>
    </row>
    <row r="40" spans="1:17" ht="16" thickBot="1" x14ac:dyDescent="0.25">
      <c r="A40" s="93"/>
      <c r="B40" s="58" t="s">
        <v>22</v>
      </c>
      <c r="C40" s="94"/>
      <c r="D40" s="59"/>
      <c r="E40" s="59"/>
      <c r="F40" s="59"/>
      <c r="G40" s="59"/>
      <c r="H40" s="59" t="e">
        <v>#DIV/0!</v>
      </c>
      <c r="I40" s="59" t="e">
        <v>#DIV/0!</v>
      </c>
      <c r="J40" s="50" t="e">
        <v>#DIV/0!</v>
      </c>
    </row>
    <row r="41" spans="1:17" ht="16" thickBot="1" x14ac:dyDescent="0.25">
      <c r="A41" s="60" t="s">
        <v>1</v>
      </c>
      <c r="B41" s="61"/>
      <c r="C41" s="62"/>
      <c r="D41" s="63" t="s">
        <v>31</v>
      </c>
      <c r="E41" s="64"/>
      <c r="F41" s="58" t="s">
        <v>0</v>
      </c>
      <c r="G41" s="18">
        <v>44159</v>
      </c>
      <c r="H41" s="65" t="s">
        <v>24</v>
      </c>
      <c r="I41" s="66"/>
      <c r="J41" s="49">
        <v>110</v>
      </c>
    </row>
    <row r="42" spans="1:17" ht="16" thickBot="1" x14ac:dyDescent="0.25">
      <c r="A42" s="67" t="s">
        <v>2</v>
      </c>
      <c r="B42" s="68"/>
      <c r="C42" s="69"/>
      <c r="D42" s="70"/>
      <c r="E42" s="71"/>
      <c r="F42" s="72"/>
      <c r="G42" s="73"/>
      <c r="H42" s="74" t="s">
        <v>25</v>
      </c>
      <c r="I42" s="75"/>
      <c r="J42" s="49">
        <v>37</v>
      </c>
    </row>
    <row r="43" spans="1:17" ht="16" thickBot="1" x14ac:dyDescent="0.25">
      <c r="A43" s="76" t="s">
        <v>27</v>
      </c>
      <c r="B43" s="77"/>
      <c r="C43" s="78"/>
      <c r="D43" s="79" t="s">
        <v>32</v>
      </c>
      <c r="E43" s="80"/>
      <c r="F43" s="48" t="s">
        <v>30</v>
      </c>
      <c r="G43" s="48">
        <v>3.81</v>
      </c>
      <c r="H43" s="81" t="s">
        <v>26</v>
      </c>
      <c r="I43" s="82"/>
      <c r="J43" s="50">
        <v>54</v>
      </c>
    </row>
    <row r="44" spans="1:17" x14ac:dyDescent="0.2">
      <c r="A44" s="83"/>
      <c r="B44" s="84"/>
      <c r="C44" s="51" t="s">
        <v>29</v>
      </c>
      <c r="D44" s="51" t="s">
        <v>19</v>
      </c>
      <c r="E44" s="51" t="s">
        <v>15</v>
      </c>
      <c r="F44" s="51" t="s">
        <v>18</v>
      </c>
      <c r="G44" s="51" t="s">
        <v>17</v>
      </c>
      <c r="H44" s="48" t="s">
        <v>28</v>
      </c>
      <c r="I44" s="48" t="s">
        <v>16</v>
      </c>
      <c r="J44" s="52" t="s">
        <v>23</v>
      </c>
    </row>
    <row r="45" spans="1:17" x14ac:dyDescent="0.2">
      <c r="A45" s="86" t="s">
        <v>3</v>
      </c>
      <c r="B45" s="53" t="s">
        <v>20</v>
      </c>
      <c r="C45" s="88">
        <v>10</v>
      </c>
      <c r="D45" s="54"/>
      <c r="E45" s="54">
        <v>1.7330000000000001</v>
      </c>
      <c r="F45" s="54">
        <v>3.9809999999999999</v>
      </c>
      <c r="G45" s="54">
        <v>5.0730000000000004</v>
      </c>
      <c r="H45" s="54">
        <v>0.16101482</v>
      </c>
      <c r="I45" s="54">
        <v>0</v>
      </c>
      <c r="J45" s="55">
        <v>0</v>
      </c>
      <c r="L45">
        <f>(G45+G46+G47)/3</f>
        <v>4.6529999999999996</v>
      </c>
      <c r="M45">
        <f>(F45+F46+F47)/3</f>
        <v>3.488666666666667</v>
      </c>
      <c r="N45">
        <f>(L45-M45)/M45</f>
        <v>0.33374737244410446</v>
      </c>
      <c r="O45">
        <f>(D46/(1+N45))</f>
        <v>566.07421735081323</v>
      </c>
      <c r="P45">
        <f>PI()*$G$3^2*C45</f>
        <v>456.03673118774793</v>
      </c>
      <c r="Q45">
        <f>O45/P45</f>
        <v>1.2412908404910117</v>
      </c>
    </row>
    <row r="46" spans="1:17" x14ac:dyDescent="0.2">
      <c r="A46" s="85"/>
      <c r="B46" s="53" t="s">
        <v>21</v>
      </c>
      <c r="C46" s="89"/>
      <c r="D46" s="48">
        <v>755</v>
      </c>
      <c r="E46" s="48">
        <v>1.708</v>
      </c>
      <c r="F46" s="48">
        <v>3.3519999999999999</v>
      </c>
      <c r="G46" s="48">
        <v>4.5289999999999999</v>
      </c>
      <c r="H46" s="48">
        <v>0.15841289</v>
      </c>
      <c r="I46" s="48">
        <v>635.39826970000001</v>
      </c>
      <c r="J46" s="52" t="e">
        <v>#DIV/0!</v>
      </c>
    </row>
    <row r="47" spans="1:17" x14ac:dyDescent="0.2">
      <c r="A47" s="87"/>
      <c r="B47" s="56" t="s">
        <v>22</v>
      </c>
      <c r="C47" s="90"/>
      <c r="D47" s="57"/>
      <c r="E47" s="57">
        <v>1.724</v>
      </c>
      <c r="F47" s="57">
        <v>3.133</v>
      </c>
      <c r="G47" s="57">
        <v>4.3570000000000002</v>
      </c>
      <c r="H47" s="57">
        <v>0.15959145</v>
      </c>
      <c r="I47" s="57">
        <v>0</v>
      </c>
      <c r="J47" s="49" t="e">
        <v>#DIV/0!</v>
      </c>
    </row>
    <row r="48" spans="1:17" x14ac:dyDescent="0.2">
      <c r="A48" s="91" t="s">
        <v>4</v>
      </c>
      <c r="B48" s="53" t="s">
        <v>20</v>
      </c>
      <c r="C48" s="92">
        <v>10</v>
      </c>
      <c r="D48" s="48"/>
      <c r="E48" s="48">
        <v>1.73</v>
      </c>
      <c r="F48" s="48">
        <v>3.351</v>
      </c>
      <c r="G48" s="48">
        <v>4.6070000000000002</v>
      </c>
      <c r="H48" s="48">
        <v>0.14145031</v>
      </c>
      <c r="I48" s="48">
        <v>0</v>
      </c>
      <c r="J48" s="52">
        <v>0</v>
      </c>
      <c r="L48">
        <f>(G48+G49+G50)/3</f>
        <v>4.562666666666666</v>
      </c>
      <c r="M48">
        <f>(F48+F49+F50)/3</f>
        <v>3.2846666666666664</v>
      </c>
      <c r="N48">
        <f>(L48-M48)/M48</f>
        <v>0.38908057641566868</v>
      </c>
      <c r="O48">
        <f>(D49/(1+N48))</f>
        <v>604.71654003506728</v>
      </c>
      <c r="P48">
        <f>PI()*$G$3^2*C48</f>
        <v>456.03673118774793</v>
      </c>
      <c r="Q48">
        <f>O48/P48</f>
        <v>1.3260259507169141</v>
      </c>
    </row>
    <row r="49" spans="1:17" x14ac:dyDescent="0.2">
      <c r="A49" s="85"/>
      <c r="B49" s="53" t="s">
        <v>21</v>
      </c>
      <c r="C49" s="89"/>
      <c r="D49" s="48">
        <v>840</v>
      </c>
      <c r="E49" s="48">
        <v>1.734</v>
      </c>
      <c r="F49" s="48">
        <v>3.3290000000000002</v>
      </c>
      <c r="G49" s="48">
        <v>4.6159999999999997</v>
      </c>
      <c r="H49" s="48">
        <v>0.13427455999999999</v>
      </c>
      <c r="I49" s="48">
        <v>727.20937219999996</v>
      </c>
      <c r="J49" s="52" t="e">
        <v>#DIV/0!</v>
      </c>
    </row>
    <row r="50" spans="1:17" x14ac:dyDescent="0.2">
      <c r="A50" s="87"/>
      <c r="B50" s="56" t="s">
        <v>22</v>
      </c>
      <c r="C50" s="90"/>
      <c r="D50" s="57"/>
      <c r="E50" s="57">
        <v>1.726</v>
      </c>
      <c r="F50" s="57">
        <v>3.1739999999999999</v>
      </c>
      <c r="G50" s="57">
        <v>4.4649999999999999</v>
      </c>
      <c r="H50" s="57">
        <v>0.13705104000000001</v>
      </c>
      <c r="I50" s="57">
        <v>0</v>
      </c>
      <c r="J50" s="49" t="e">
        <v>#DIV/0!</v>
      </c>
    </row>
    <row r="51" spans="1:17" x14ac:dyDescent="0.2">
      <c r="A51" s="91" t="s">
        <v>5</v>
      </c>
      <c r="B51" s="53" t="s">
        <v>20</v>
      </c>
      <c r="C51" s="92">
        <v>10</v>
      </c>
      <c r="D51" s="48"/>
      <c r="E51" s="48">
        <v>1.73</v>
      </c>
      <c r="F51" s="48">
        <v>3.17</v>
      </c>
      <c r="G51" s="48">
        <v>4.4610000000000003</v>
      </c>
      <c r="H51" s="48">
        <v>0.13848579999999999</v>
      </c>
      <c r="I51" s="48">
        <v>0</v>
      </c>
      <c r="J51" s="52">
        <v>0</v>
      </c>
      <c r="L51">
        <f>(G51+G52+G53)/3</f>
        <v>4.7633333333333328</v>
      </c>
      <c r="M51">
        <f>(F51+F52+F53)/3</f>
        <v>3.5239999999999996</v>
      </c>
      <c r="N51">
        <f>(L51-M51)/M51</f>
        <v>0.35168369277336359</v>
      </c>
      <c r="O51">
        <f>(D52/(1+N51))</f>
        <v>637.72316305108473</v>
      </c>
      <c r="P51">
        <f>PI()*$G$3^2*C51</f>
        <v>456.03673118774793</v>
      </c>
      <c r="Q51">
        <f>O51/P51</f>
        <v>1.3984030658893076</v>
      </c>
    </row>
    <row r="52" spans="1:17" x14ac:dyDescent="0.2">
      <c r="A52" s="85"/>
      <c r="B52" s="53" t="s">
        <v>21</v>
      </c>
      <c r="C52" s="89"/>
      <c r="D52" s="48">
        <v>862</v>
      </c>
      <c r="E52" s="48">
        <v>1.7150000000000001</v>
      </c>
      <c r="F52" s="48">
        <v>3.78</v>
      </c>
      <c r="G52" s="48">
        <v>4.9809999999999999</v>
      </c>
      <c r="H52" s="48">
        <v>0.13597883999999999</v>
      </c>
      <c r="I52" s="48">
        <v>744.78624339999999</v>
      </c>
      <c r="J52" s="52" t="e">
        <v>#DIV/0!</v>
      </c>
    </row>
    <row r="53" spans="1:17" x14ac:dyDescent="0.2">
      <c r="A53" s="87"/>
      <c r="B53" s="56" t="s">
        <v>22</v>
      </c>
      <c r="C53" s="90"/>
      <c r="D53" s="57"/>
      <c r="E53" s="57">
        <v>1.7230000000000001</v>
      </c>
      <c r="F53" s="57">
        <v>3.6219999999999999</v>
      </c>
      <c r="G53" s="57">
        <v>4.8479999999999999</v>
      </c>
      <c r="H53" s="57">
        <v>0.13721701</v>
      </c>
      <c r="I53" s="57">
        <v>0</v>
      </c>
      <c r="J53" s="49" t="e">
        <v>#DIV/0!</v>
      </c>
    </row>
    <row r="54" spans="1:17" x14ac:dyDescent="0.2">
      <c r="A54" s="91" t="s">
        <v>6</v>
      </c>
      <c r="B54" s="53" t="s">
        <v>20</v>
      </c>
      <c r="C54" s="92">
        <v>10</v>
      </c>
      <c r="D54" s="48"/>
      <c r="E54" s="48">
        <v>1.7270000000000001</v>
      </c>
      <c r="F54" s="48">
        <v>3.9790000000000001</v>
      </c>
      <c r="G54" s="48">
        <v>5.157</v>
      </c>
      <c r="H54" s="48">
        <v>0.13797437000000001</v>
      </c>
      <c r="I54" s="48">
        <v>0</v>
      </c>
      <c r="J54" s="52">
        <v>0</v>
      </c>
      <c r="L54">
        <f>(G54+G55+G56)/3</f>
        <v>4.9483333333333333</v>
      </c>
      <c r="M54">
        <f>(F54+F55+F56)/3</f>
        <v>3.7419999999999995</v>
      </c>
      <c r="N54">
        <f>(L54-M54)/M54</f>
        <v>0.3223766256903618</v>
      </c>
      <c r="O54">
        <f>(D55/(1+N54))</f>
        <v>640.5134388683058</v>
      </c>
      <c r="P54">
        <f>PI()*$G$3^2*C54</f>
        <v>456.03673118774793</v>
      </c>
      <c r="Q54">
        <f>O54/P54</f>
        <v>1.4045215989512252</v>
      </c>
    </row>
    <row r="55" spans="1:17" x14ac:dyDescent="0.2">
      <c r="A55" s="85"/>
      <c r="B55" s="53" t="s">
        <v>21</v>
      </c>
      <c r="C55" s="89"/>
      <c r="D55" s="48">
        <v>847</v>
      </c>
      <c r="E55" s="48">
        <v>1.716</v>
      </c>
      <c r="F55" s="48">
        <v>3.903</v>
      </c>
      <c r="G55" s="48">
        <v>5.08</v>
      </c>
      <c r="H55" s="48">
        <v>0.1380989</v>
      </c>
      <c r="I55" s="48">
        <v>730.0302332</v>
      </c>
      <c r="J55" s="52" t="e">
        <v>#DIV/0!</v>
      </c>
    </row>
    <row r="56" spans="1:17" x14ac:dyDescent="0.2">
      <c r="A56" s="87"/>
      <c r="B56" s="56" t="s">
        <v>22</v>
      </c>
      <c r="C56" s="90"/>
      <c r="D56" s="57"/>
      <c r="E56" s="57">
        <v>1.7310000000000001</v>
      </c>
      <c r="F56" s="57">
        <v>3.3439999999999999</v>
      </c>
      <c r="G56" s="57">
        <v>4.6079999999999997</v>
      </c>
      <c r="H56" s="57">
        <v>0.13965311</v>
      </c>
      <c r="I56" s="57">
        <v>0</v>
      </c>
      <c r="J56" s="49" t="e">
        <v>#DIV/0!</v>
      </c>
    </row>
    <row r="57" spans="1:17" x14ac:dyDescent="0.2">
      <c r="A57" s="91" t="s">
        <v>7</v>
      </c>
      <c r="B57" s="53" t="s">
        <v>20</v>
      </c>
      <c r="C57" s="92">
        <v>10</v>
      </c>
      <c r="D57" s="48"/>
      <c r="E57" s="48">
        <v>1.712</v>
      </c>
      <c r="F57" s="48">
        <v>3.32</v>
      </c>
      <c r="G57" s="48">
        <v>4.5789999999999997</v>
      </c>
      <c r="H57" s="48">
        <v>0.13644577999999999</v>
      </c>
      <c r="I57" s="48">
        <v>0</v>
      </c>
      <c r="J57" s="52">
        <v>0</v>
      </c>
      <c r="L57">
        <f>(G57+G58+G59)/3</f>
        <v>4.5170000000000003</v>
      </c>
      <c r="M57">
        <f>(F57+F58+F59)/3</f>
        <v>3.2493333333333339</v>
      </c>
      <c r="N57">
        <f>(L57-M57)/M57</f>
        <v>0.39013130898645865</v>
      </c>
      <c r="O57">
        <f>(D58/(1+N57))</f>
        <v>602.82075123607115</v>
      </c>
      <c r="P57">
        <f>PI()*$G$3^2*C57</f>
        <v>456.03673118774793</v>
      </c>
      <c r="Q57">
        <f>O57/P57</f>
        <v>1.3218688539978438</v>
      </c>
    </row>
    <row r="58" spans="1:17" x14ac:dyDescent="0.2">
      <c r="A58" s="85"/>
      <c r="B58" s="53" t="s">
        <v>21</v>
      </c>
      <c r="C58" s="89"/>
      <c r="D58" s="48">
        <v>838</v>
      </c>
      <c r="E58" s="48">
        <v>1.732</v>
      </c>
      <c r="F58" s="48">
        <v>3.2050000000000001</v>
      </c>
      <c r="G58" s="48">
        <v>4.4950000000000001</v>
      </c>
      <c r="H58" s="48">
        <v>0.13790952000000001</v>
      </c>
      <c r="I58" s="48">
        <v>722.43182530000001</v>
      </c>
      <c r="J58" s="52" t="e">
        <v>#DIV/0!</v>
      </c>
    </row>
    <row r="59" spans="1:17" x14ac:dyDescent="0.2">
      <c r="A59" s="87"/>
      <c r="B59" s="56" t="s">
        <v>22</v>
      </c>
      <c r="C59" s="90"/>
      <c r="D59" s="57"/>
      <c r="E59" s="57">
        <v>1.72</v>
      </c>
      <c r="F59" s="57">
        <v>3.2229999999999999</v>
      </c>
      <c r="G59" s="57">
        <v>4.4770000000000003</v>
      </c>
      <c r="H59" s="57">
        <v>0.14458578999999999</v>
      </c>
      <c r="I59" s="57">
        <v>0</v>
      </c>
      <c r="J59" s="49" t="e">
        <v>#DIV/0!</v>
      </c>
    </row>
    <row r="60" spans="1:17" x14ac:dyDescent="0.2">
      <c r="A60" s="91" t="s">
        <v>8</v>
      </c>
      <c r="B60" s="53" t="s">
        <v>20</v>
      </c>
      <c r="C60" s="92">
        <v>10</v>
      </c>
      <c r="D60" s="48"/>
      <c r="E60" s="48">
        <v>1.7270000000000001</v>
      </c>
      <c r="F60" s="48">
        <v>3.1970000000000001</v>
      </c>
      <c r="G60" s="48">
        <v>4.4939999999999998</v>
      </c>
      <c r="H60" s="48">
        <v>0.13450108999999999</v>
      </c>
      <c r="I60" s="48">
        <v>0</v>
      </c>
      <c r="J60" s="52">
        <v>0</v>
      </c>
      <c r="L60">
        <f>(G60+G61+G62)/3</f>
        <v>4.7033333333333331</v>
      </c>
      <c r="M60">
        <f>(F60+F61+F62)/3</f>
        <v>3.4353333333333338</v>
      </c>
      <c r="N60">
        <f>(L60-M60)/M60</f>
        <v>0.36910537550941175</v>
      </c>
      <c r="O60">
        <f>(D61/(1+N60))</f>
        <v>685.8493267186393</v>
      </c>
      <c r="P60">
        <f>PI()*$G$3^2*C60</f>
        <v>456.03673118774793</v>
      </c>
      <c r="Q60">
        <f>O60/P60</f>
        <v>1.5039343978550683</v>
      </c>
    </row>
    <row r="61" spans="1:17" x14ac:dyDescent="0.2">
      <c r="A61" s="85"/>
      <c r="B61" s="53" t="s">
        <v>21</v>
      </c>
      <c r="C61" s="89"/>
      <c r="D61" s="48">
        <v>939</v>
      </c>
      <c r="E61" s="48">
        <v>1.74</v>
      </c>
      <c r="F61" s="48">
        <v>3.3410000000000002</v>
      </c>
      <c r="G61" s="48">
        <v>4.6159999999999997</v>
      </c>
      <c r="H61" s="48">
        <v>0.13917989</v>
      </c>
      <c r="I61" s="48">
        <v>808.31008680000002</v>
      </c>
      <c r="J61" s="52" t="e">
        <v>#DIV/0!</v>
      </c>
    </row>
    <row r="62" spans="1:17" x14ac:dyDescent="0.2">
      <c r="A62" s="87"/>
      <c r="B62" s="56" t="s">
        <v>22</v>
      </c>
      <c r="C62" s="90"/>
      <c r="D62" s="57"/>
      <c r="E62" s="57">
        <v>1.7370000000000001</v>
      </c>
      <c r="F62" s="57">
        <v>3.7679999999999998</v>
      </c>
      <c r="G62" s="57">
        <v>5</v>
      </c>
      <c r="H62" s="57">
        <v>0.13402335000000001</v>
      </c>
      <c r="I62" s="57">
        <v>0</v>
      </c>
      <c r="J62" s="49" t="e">
        <v>#DIV/0!</v>
      </c>
    </row>
    <row r="63" spans="1:17" x14ac:dyDescent="0.2">
      <c r="A63" s="91" t="s">
        <v>9</v>
      </c>
      <c r="B63" s="53" t="s">
        <v>20</v>
      </c>
      <c r="C63" s="92">
        <v>10</v>
      </c>
      <c r="D63" s="48"/>
      <c r="E63" s="48">
        <v>1.716</v>
      </c>
      <c r="F63" s="48">
        <v>3.395</v>
      </c>
      <c r="G63" s="48">
        <v>4.6920000000000002</v>
      </c>
      <c r="H63" s="48">
        <v>0.12341679</v>
      </c>
      <c r="I63" s="48">
        <v>0</v>
      </c>
      <c r="J63" s="52">
        <v>0</v>
      </c>
      <c r="L63">
        <f>(G63+G64+G65)/3</f>
        <v>4.7136666666666676</v>
      </c>
      <c r="M63">
        <f>(F63+F64+F65)/3</f>
        <v>3.4216666666666669</v>
      </c>
      <c r="N63">
        <f>(L63-M63)/M63</f>
        <v>0.37759376522162708</v>
      </c>
      <c r="O63">
        <f>(D64/(1+N63))</f>
        <v>715.74075383636227</v>
      </c>
      <c r="P63">
        <f>PI()*$G$3^2*C63</f>
        <v>456.03673118774793</v>
      </c>
      <c r="Q63">
        <f>O63/P63</f>
        <v>1.5694804933195075</v>
      </c>
    </row>
    <row r="64" spans="1:17" x14ac:dyDescent="0.2">
      <c r="A64" s="85"/>
      <c r="B64" s="53" t="s">
        <v>21</v>
      </c>
      <c r="C64" s="89"/>
      <c r="D64" s="48">
        <v>986</v>
      </c>
      <c r="E64" s="48">
        <v>1.7170000000000001</v>
      </c>
      <c r="F64" s="48">
        <v>3.5870000000000002</v>
      </c>
      <c r="G64" s="48">
        <v>4.8579999999999997</v>
      </c>
      <c r="H64" s="48">
        <v>0.12433789000000001</v>
      </c>
      <c r="I64" s="48">
        <v>863.40284359999998</v>
      </c>
      <c r="J64" s="52" t="e">
        <v>#DIV/0!</v>
      </c>
    </row>
    <row r="65" spans="1:17" x14ac:dyDescent="0.2">
      <c r="A65" s="87"/>
      <c r="B65" s="56" t="s">
        <v>22</v>
      </c>
      <c r="C65" s="90"/>
      <c r="D65" s="57"/>
      <c r="E65" s="57">
        <v>1.7210000000000001</v>
      </c>
      <c r="F65" s="57">
        <v>3.2829999999999999</v>
      </c>
      <c r="G65" s="57">
        <v>4.5910000000000002</v>
      </c>
      <c r="H65" s="57">
        <v>0.12579957</v>
      </c>
      <c r="I65" s="57">
        <v>0</v>
      </c>
      <c r="J65" s="49" t="e">
        <v>#DIV/0!</v>
      </c>
    </row>
    <row r="66" spans="1:17" x14ac:dyDescent="0.2">
      <c r="A66" s="91" t="s">
        <v>10</v>
      </c>
      <c r="B66" s="53" t="s">
        <v>20</v>
      </c>
      <c r="C66" s="92">
        <v>10</v>
      </c>
      <c r="D66" s="48"/>
      <c r="E66" s="48">
        <v>1.7270000000000001</v>
      </c>
      <c r="F66" s="48">
        <v>3.18</v>
      </c>
      <c r="G66" s="48">
        <v>4.6900000000000004</v>
      </c>
      <c r="H66" s="48">
        <v>6.8238989999999999E-2</v>
      </c>
      <c r="I66" s="48">
        <v>0</v>
      </c>
      <c r="J66" s="52">
        <v>0</v>
      </c>
      <c r="L66">
        <f>(G66+G67+G68)/3</f>
        <v>4.719333333333334</v>
      </c>
      <c r="M66">
        <f>(F66+F67+F68)/3</f>
        <v>3.2090000000000001</v>
      </c>
      <c r="N66">
        <f>(L66-M66)/M66</f>
        <v>0.47065544821855215</v>
      </c>
      <c r="O66">
        <f>(D67/(1+N66))</f>
        <v>552.13476479728774</v>
      </c>
      <c r="P66">
        <f>PI()*$G$3^2*C66</f>
        <v>456.03673118774793</v>
      </c>
      <c r="Q66">
        <f>O66/P66</f>
        <v>1.2107243277515223</v>
      </c>
    </row>
    <row r="67" spans="1:17" x14ac:dyDescent="0.2">
      <c r="A67" s="85"/>
      <c r="B67" s="53" t="s">
        <v>21</v>
      </c>
      <c r="C67" s="89"/>
      <c r="D67" s="48">
        <v>812</v>
      </c>
      <c r="E67" s="48">
        <v>1.7350000000000001</v>
      </c>
      <c r="F67" s="48">
        <v>3.0230000000000001</v>
      </c>
      <c r="G67" s="48">
        <v>4.5490000000000004</v>
      </c>
      <c r="H67" s="48">
        <v>6.9136619999999996E-2</v>
      </c>
      <c r="I67" s="48">
        <v>755.86106519999998</v>
      </c>
      <c r="J67" s="52" t="e">
        <v>#DIV/0!</v>
      </c>
    </row>
    <row r="68" spans="1:17" x14ac:dyDescent="0.2">
      <c r="A68" s="87"/>
      <c r="B68" s="56" t="s">
        <v>22</v>
      </c>
      <c r="C68" s="90"/>
      <c r="D68" s="57"/>
      <c r="E68" s="57">
        <v>4.7309999999999999</v>
      </c>
      <c r="F68" s="57">
        <v>3.4239999999999999</v>
      </c>
      <c r="G68" s="57">
        <v>4.9189999999999996</v>
      </c>
      <c r="H68" s="57">
        <v>0.94509346000000005</v>
      </c>
      <c r="I68" s="57">
        <v>0</v>
      </c>
      <c r="J68" s="49" t="e">
        <v>#DIV/0!</v>
      </c>
    </row>
    <row r="69" spans="1:17" x14ac:dyDescent="0.2">
      <c r="A69" s="91" t="s">
        <v>11</v>
      </c>
      <c r="B69" s="53" t="s">
        <v>20</v>
      </c>
      <c r="C69" s="92">
        <v>10</v>
      </c>
      <c r="D69" s="48"/>
      <c r="E69" s="48">
        <v>1.728</v>
      </c>
      <c r="F69" s="48">
        <v>3.0419999999999998</v>
      </c>
      <c r="G69" s="48">
        <v>4.5990000000000002</v>
      </c>
      <c r="H69" s="48">
        <v>5.6213020000000002E-2</v>
      </c>
      <c r="I69" s="48">
        <v>0</v>
      </c>
      <c r="J69" s="52">
        <v>0</v>
      </c>
      <c r="L69">
        <f>(G69+G70+G71)/3</f>
        <v>4.6670000000000007</v>
      </c>
      <c r="M69">
        <f>(F69+F70+F71)/3</f>
        <v>3.1296666666666666</v>
      </c>
      <c r="N69">
        <f>(L69-M69)/M69</f>
        <v>0.49121312173820453</v>
      </c>
      <c r="O69">
        <f>(D70/(1+N69))</f>
        <v>502.2756231697735</v>
      </c>
      <c r="P69">
        <f>PI()*$G$3^2*C69</f>
        <v>456.03673118774793</v>
      </c>
      <c r="Q69">
        <f>O69/P69</f>
        <v>1.1013929116227028</v>
      </c>
    </row>
    <row r="70" spans="1:17" x14ac:dyDescent="0.2">
      <c r="A70" s="85"/>
      <c r="B70" s="53" t="s">
        <v>21</v>
      </c>
      <c r="C70" s="89"/>
      <c r="D70" s="48">
        <v>749</v>
      </c>
      <c r="E70" s="48">
        <v>1.73</v>
      </c>
      <c r="F70" s="48">
        <v>3.081</v>
      </c>
      <c r="G70" s="48">
        <v>4.6399999999999997</v>
      </c>
      <c r="H70" s="48">
        <v>5.5501460000000002E-2</v>
      </c>
      <c r="I70" s="48">
        <v>707.42940599999997</v>
      </c>
      <c r="J70" s="52" t="e">
        <v>#DIV/0!</v>
      </c>
    </row>
    <row r="71" spans="1:17" x14ac:dyDescent="0.2">
      <c r="A71" s="87"/>
      <c r="B71" s="56" t="s">
        <v>22</v>
      </c>
      <c r="C71" s="90"/>
      <c r="D71" s="57"/>
      <c r="E71" s="57">
        <v>1.7150000000000001</v>
      </c>
      <c r="F71" s="57">
        <v>3.266</v>
      </c>
      <c r="G71" s="57">
        <v>4.7619999999999996</v>
      </c>
      <c r="H71" s="57">
        <v>6.7054500000000003E-2</v>
      </c>
      <c r="I71" s="57">
        <v>0</v>
      </c>
      <c r="J71" s="49" t="e">
        <v>#DIV/0!</v>
      </c>
    </row>
    <row r="72" spans="1:17" x14ac:dyDescent="0.2">
      <c r="A72" s="91" t="s">
        <v>12</v>
      </c>
      <c r="B72" s="53" t="s">
        <v>20</v>
      </c>
      <c r="C72" s="92">
        <v>10</v>
      </c>
      <c r="D72" s="48"/>
      <c r="E72" s="48">
        <v>1.71</v>
      </c>
      <c r="F72" s="48">
        <v>3.4350000000000001</v>
      </c>
      <c r="G72" s="48">
        <v>4.9059999999999997</v>
      </c>
      <c r="H72" s="48">
        <v>6.957787E-2</v>
      </c>
      <c r="I72" s="48">
        <v>0</v>
      </c>
      <c r="J72" s="52">
        <v>0</v>
      </c>
      <c r="L72">
        <f>(G72+G73+G74)/3</f>
        <v>5.0043333333333324</v>
      </c>
      <c r="M72">
        <f>(F72+F73+F74)/3</f>
        <v>3.5069999999999997</v>
      </c>
      <c r="N72">
        <f>(L72-M72)/M72</f>
        <v>0.42695561258435499</v>
      </c>
      <c r="O72">
        <f>(D73/(1+N72))</f>
        <v>594.27216412442556</v>
      </c>
      <c r="P72">
        <f>PI()*$G$3^2*C72</f>
        <v>456.03673118774793</v>
      </c>
      <c r="Q72">
        <f>O72/P72</f>
        <v>1.303123462394451</v>
      </c>
    </row>
    <row r="73" spans="1:17" x14ac:dyDescent="0.2">
      <c r="A73" s="85"/>
      <c r="B73" s="53" t="s">
        <v>21</v>
      </c>
      <c r="C73" s="89"/>
      <c r="D73" s="48">
        <v>848</v>
      </c>
      <c r="E73" s="48">
        <v>1.7250000000000001</v>
      </c>
      <c r="F73" s="48">
        <v>3.242</v>
      </c>
      <c r="G73" s="48">
        <v>4.7910000000000004</v>
      </c>
      <c r="H73" s="48">
        <v>5.4287479999999999E-2</v>
      </c>
      <c r="I73" s="48">
        <v>801.96421959999998</v>
      </c>
      <c r="J73" s="52" t="e">
        <v>#DIV/0!</v>
      </c>
    </row>
    <row r="74" spans="1:17" x14ac:dyDescent="0.2">
      <c r="A74" s="87"/>
      <c r="B74" s="56" t="s">
        <v>22</v>
      </c>
      <c r="C74" s="90"/>
      <c r="D74" s="57"/>
      <c r="E74" s="57">
        <v>1.724</v>
      </c>
      <c r="F74" s="57">
        <v>3.8439999999999999</v>
      </c>
      <c r="G74" s="57">
        <v>5.3159999999999998</v>
      </c>
      <c r="H74" s="57">
        <v>6.5556710000000004E-2</v>
      </c>
      <c r="I74" s="57">
        <v>0</v>
      </c>
      <c r="J74" s="49" t="e">
        <v>#DIV/0!</v>
      </c>
    </row>
    <row r="75" spans="1:17" x14ac:dyDescent="0.2">
      <c r="A75" s="91" t="s">
        <v>13</v>
      </c>
      <c r="B75" s="53" t="s">
        <v>20</v>
      </c>
      <c r="C75" s="92">
        <v>10</v>
      </c>
      <c r="D75" s="48"/>
      <c r="E75" s="48">
        <v>1.728</v>
      </c>
      <c r="F75" s="48">
        <v>3.9769999999999999</v>
      </c>
      <c r="G75" s="48">
        <v>5.4370000000000003</v>
      </c>
      <c r="H75" s="48">
        <v>6.738748E-2</v>
      </c>
      <c r="I75" s="48">
        <v>0</v>
      </c>
      <c r="J75" s="52">
        <v>0</v>
      </c>
      <c r="L75">
        <f>(G75+G76+G77)/3</f>
        <v>5</v>
      </c>
      <c r="M75">
        <f>(F75+F76+F77)/3</f>
        <v>3.5106666666666668</v>
      </c>
      <c r="N75">
        <f>(L75-M75)/M75</f>
        <v>0.42423091530573481</v>
      </c>
      <c r="O75">
        <f>(D76/(1+N75))</f>
        <v>605.23893333333331</v>
      </c>
      <c r="P75">
        <f>PI()*$G$3^2*C75</f>
        <v>456.03673118774793</v>
      </c>
      <c r="Q75">
        <f>O75/P75</f>
        <v>1.3271714577836486</v>
      </c>
    </row>
    <row r="76" spans="1:17" x14ac:dyDescent="0.2">
      <c r="A76" s="85"/>
      <c r="B76" s="53" t="s">
        <v>21</v>
      </c>
      <c r="C76" s="89"/>
      <c r="D76" s="48">
        <v>862</v>
      </c>
      <c r="E76" s="48">
        <v>1.7410000000000001</v>
      </c>
      <c r="F76" s="48">
        <v>3.0870000000000002</v>
      </c>
      <c r="G76" s="48">
        <v>4.6360000000000001</v>
      </c>
      <c r="H76" s="48">
        <v>6.2196309999999998E-2</v>
      </c>
      <c r="I76" s="48">
        <v>808.38678330000005</v>
      </c>
      <c r="J76" s="52" t="e">
        <v>#DIV/0!</v>
      </c>
    </row>
    <row r="77" spans="1:17" x14ac:dyDescent="0.2">
      <c r="A77" s="87"/>
      <c r="B77" s="56" t="s">
        <v>22</v>
      </c>
      <c r="C77" s="90"/>
      <c r="D77" s="57"/>
      <c r="E77" s="57">
        <v>1.73</v>
      </c>
      <c r="F77" s="57">
        <v>3.468</v>
      </c>
      <c r="G77" s="57">
        <v>4.9269999999999996</v>
      </c>
      <c r="H77" s="57">
        <v>7.8143019999999994E-2</v>
      </c>
      <c r="I77" s="57">
        <v>0</v>
      </c>
      <c r="J77" s="49" t="e">
        <v>#DIV/0!</v>
      </c>
    </row>
    <row r="78" spans="1:17" x14ac:dyDescent="0.2">
      <c r="A78" s="91" t="s">
        <v>14</v>
      </c>
      <c r="B78" s="53" t="s">
        <v>20</v>
      </c>
      <c r="C78" s="92">
        <v>10</v>
      </c>
      <c r="D78" s="48"/>
      <c r="E78" s="48"/>
      <c r="F78" s="48"/>
      <c r="G78" s="48"/>
      <c r="H78" s="48" t="e">
        <v>#DIV/0!</v>
      </c>
      <c r="I78" s="48" t="e">
        <v>#DIV/0!</v>
      </c>
      <c r="J78" s="52" t="e">
        <v>#DIV/0!</v>
      </c>
    </row>
    <row r="79" spans="1:17" x14ac:dyDescent="0.2">
      <c r="A79" s="85"/>
      <c r="B79" s="53" t="s">
        <v>21</v>
      </c>
      <c r="C79" s="89"/>
      <c r="D79" s="48"/>
      <c r="E79" s="48"/>
      <c r="F79" s="48"/>
      <c r="G79" s="48"/>
      <c r="H79" s="48" t="e">
        <v>#DIV/0!</v>
      </c>
      <c r="I79" s="48" t="e">
        <v>#DIV/0!</v>
      </c>
      <c r="J79" s="52" t="e">
        <v>#DIV/0!</v>
      </c>
    </row>
    <row r="80" spans="1:17" ht="16" thickBot="1" x14ac:dyDescent="0.25">
      <c r="A80" s="93"/>
      <c r="B80" s="58" t="s">
        <v>22</v>
      </c>
      <c r="C80" s="94"/>
      <c r="D80" s="59"/>
      <c r="E80" s="59"/>
      <c r="F80" s="59"/>
      <c r="G80" s="59"/>
      <c r="H80" s="59" t="e">
        <v>#DIV/0!</v>
      </c>
      <c r="I80" s="59" t="e">
        <v>#DIV/0!</v>
      </c>
      <c r="J80" s="50" t="e">
        <v>#DIV/0!</v>
      </c>
    </row>
    <row r="81" spans="1:17" ht="16" thickBot="1" x14ac:dyDescent="0.25">
      <c r="A81" s="60" t="s">
        <v>1</v>
      </c>
      <c r="B81" s="61"/>
      <c r="C81" s="62"/>
      <c r="D81" s="63" t="s">
        <v>34</v>
      </c>
      <c r="E81" s="64"/>
      <c r="F81" s="58" t="s">
        <v>0</v>
      </c>
      <c r="G81" s="18">
        <v>44159</v>
      </c>
      <c r="H81" s="65" t="s">
        <v>24</v>
      </c>
      <c r="I81" s="66"/>
      <c r="J81" s="49">
        <v>90</v>
      </c>
    </row>
    <row r="82" spans="1:17" ht="16" thickBot="1" x14ac:dyDescent="0.25">
      <c r="A82" s="67" t="s">
        <v>2</v>
      </c>
      <c r="B82" s="68"/>
      <c r="C82" s="69"/>
      <c r="D82" s="70"/>
      <c r="E82" s="71"/>
      <c r="F82" s="72"/>
      <c r="G82" s="73"/>
      <c r="H82" s="74" t="s">
        <v>25</v>
      </c>
      <c r="I82" s="75"/>
      <c r="J82" s="49">
        <v>20</v>
      </c>
    </row>
    <row r="83" spans="1:17" ht="16" thickBot="1" x14ac:dyDescent="0.25">
      <c r="A83" s="76" t="s">
        <v>27</v>
      </c>
      <c r="B83" s="77"/>
      <c r="C83" s="78"/>
      <c r="D83" s="79" t="s">
        <v>32</v>
      </c>
      <c r="E83" s="80"/>
      <c r="F83" s="48" t="s">
        <v>30</v>
      </c>
      <c r="G83" s="48">
        <v>3.81</v>
      </c>
      <c r="H83" s="81" t="s">
        <v>26</v>
      </c>
      <c r="I83" s="82"/>
      <c r="J83" s="50">
        <v>50</v>
      </c>
    </row>
    <row r="84" spans="1:17" x14ac:dyDescent="0.2">
      <c r="A84" s="83"/>
      <c r="B84" s="84"/>
      <c r="C84" s="51" t="s">
        <v>29</v>
      </c>
      <c r="D84" s="51" t="s">
        <v>19</v>
      </c>
      <c r="E84" s="51" t="s">
        <v>15</v>
      </c>
      <c r="F84" s="51" t="s">
        <v>18</v>
      </c>
      <c r="G84" s="51" t="s">
        <v>17</v>
      </c>
      <c r="H84" s="48" t="s">
        <v>28</v>
      </c>
      <c r="I84" s="48" t="s">
        <v>16</v>
      </c>
      <c r="J84" s="52" t="s">
        <v>23</v>
      </c>
    </row>
    <row r="85" spans="1:17" x14ac:dyDescent="0.2">
      <c r="A85" s="86" t="s">
        <v>3</v>
      </c>
      <c r="B85" s="53" t="s">
        <v>20</v>
      </c>
      <c r="C85" s="88">
        <v>10</v>
      </c>
      <c r="D85" s="54"/>
      <c r="E85" s="54">
        <v>2.456</v>
      </c>
      <c r="F85" s="54">
        <v>3.407</v>
      </c>
      <c r="G85" s="54">
        <v>5.266</v>
      </c>
      <c r="H85" s="54">
        <v>0.17522747</v>
      </c>
      <c r="I85" s="54">
        <v>0</v>
      </c>
      <c r="J85" s="55">
        <v>0</v>
      </c>
      <c r="L85">
        <f>(G85+G86+G87)/3</f>
        <v>5.3760000000000003</v>
      </c>
      <c r="M85">
        <f>(F85+F86+F87)/3</f>
        <v>3.440666666666667</v>
      </c>
      <c r="N85">
        <f>(L85-M85)/M85</f>
        <v>0.56248788994380927</v>
      </c>
      <c r="O85">
        <f>(D86/(1+N85))</f>
        <v>360.96279761904765</v>
      </c>
      <c r="P85">
        <f>PI()*$G$3^2*C85</f>
        <v>456.03673118774793</v>
      </c>
      <c r="Q85">
        <f>O85/P85</f>
        <v>0.79152132478215043</v>
      </c>
    </row>
    <row r="86" spans="1:17" x14ac:dyDescent="0.2">
      <c r="A86" s="85"/>
      <c r="B86" s="53" t="s">
        <v>21</v>
      </c>
      <c r="C86" s="89"/>
      <c r="D86" s="48">
        <v>564</v>
      </c>
      <c r="E86" s="48">
        <v>2.4550000000000001</v>
      </c>
      <c r="F86" s="48">
        <v>3.3450000000000002</v>
      </c>
      <c r="G86" s="48">
        <v>5.3520000000000003</v>
      </c>
      <c r="H86" s="48">
        <v>0.13393124000000001</v>
      </c>
      <c r="I86" s="48">
        <v>488.46278030000002</v>
      </c>
      <c r="J86" s="52" t="e">
        <v>#DIV/0!</v>
      </c>
    </row>
    <row r="87" spans="1:17" x14ac:dyDescent="0.2">
      <c r="A87" s="87"/>
      <c r="B87" s="56" t="s">
        <v>22</v>
      </c>
      <c r="C87" s="90"/>
      <c r="D87" s="57"/>
      <c r="E87" s="57">
        <v>2.4580000000000002</v>
      </c>
      <c r="F87" s="57">
        <v>3.57</v>
      </c>
      <c r="G87" s="57">
        <v>5.51</v>
      </c>
      <c r="H87" s="57">
        <v>0.14509804000000001</v>
      </c>
      <c r="I87" s="57">
        <v>0</v>
      </c>
      <c r="J87" s="49" t="e">
        <v>#DIV/0!</v>
      </c>
    </row>
    <row r="88" spans="1:17" x14ac:dyDescent="0.2">
      <c r="A88" s="91" t="s">
        <v>4</v>
      </c>
      <c r="B88" s="53" t="s">
        <v>20</v>
      </c>
      <c r="C88" s="92">
        <v>10</v>
      </c>
      <c r="D88" s="48"/>
      <c r="E88" s="48">
        <v>2.42</v>
      </c>
      <c r="F88" s="48">
        <v>3.4289999999999998</v>
      </c>
      <c r="G88" s="48">
        <v>5.5019999999999998</v>
      </c>
      <c r="H88" s="48">
        <v>0.10119568</v>
      </c>
      <c r="I88" s="48">
        <v>0</v>
      </c>
      <c r="J88" s="52">
        <v>0</v>
      </c>
      <c r="L88">
        <f>(G88+G89+G90)/3</f>
        <v>5.5236666666666663</v>
      </c>
      <c r="M88">
        <f>(F88+F89+F90)/3</f>
        <v>3.4346666666666668</v>
      </c>
      <c r="N88">
        <f>(L88-M88)/M88</f>
        <v>0.60821040372670787</v>
      </c>
      <c r="O88">
        <f>(D89/(1+N88))</f>
        <v>412.25948946955532</v>
      </c>
      <c r="P88">
        <f>PI()*$G$3^2*C88</f>
        <v>456.03673118774793</v>
      </c>
      <c r="Q88">
        <f>O88/P88</f>
        <v>0.90400500941190687</v>
      </c>
    </row>
    <row r="89" spans="1:17" x14ac:dyDescent="0.2">
      <c r="A89" s="85"/>
      <c r="B89" s="53" t="s">
        <v>21</v>
      </c>
      <c r="C89" s="89"/>
      <c r="D89" s="48">
        <v>663</v>
      </c>
      <c r="E89" s="48">
        <v>2.4220000000000002</v>
      </c>
      <c r="F89" s="48">
        <v>3.7330000000000001</v>
      </c>
      <c r="G89" s="48">
        <v>5.7709999999999999</v>
      </c>
      <c r="H89" s="48">
        <v>0.10286633000000001</v>
      </c>
      <c r="I89" s="48">
        <v>594.79962499999999</v>
      </c>
      <c r="J89" s="52" t="e">
        <v>#DIV/0!</v>
      </c>
    </row>
    <row r="90" spans="1:17" x14ac:dyDescent="0.2">
      <c r="A90" s="87"/>
      <c r="B90" s="56" t="s">
        <v>22</v>
      </c>
      <c r="C90" s="90"/>
      <c r="D90" s="57"/>
      <c r="E90" s="57">
        <v>2.4609999999999999</v>
      </c>
      <c r="F90" s="57">
        <v>3.1419999999999999</v>
      </c>
      <c r="G90" s="57">
        <v>5.298</v>
      </c>
      <c r="H90" s="57">
        <v>9.7071930000000001E-2</v>
      </c>
      <c r="I90" s="57">
        <v>0</v>
      </c>
      <c r="J90" s="49" t="e">
        <v>#DIV/0!</v>
      </c>
    </row>
    <row r="91" spans="1:17" x14ac:dyDescent="0.2">
      <c r="A91" s="91" t="s">
        <v>5</v>
      </c>
      <c r="B91" s="53" t="s">
        <v>20</v>
      </c>
      <c r="C91" s="92">
        <v>10</v>
      </c>
      <c r="D91" s="48"/>
      <c r="E91" s="48">
        <v>2.4580000000000002</v>
      </c>
      <c r="F91" s="48">
        <v>3.4449999999999998</v>
      </c>
      <c r="G91" s="48">
        <v>5.5540000000000003</v>
      </c>
      <c r="H91" s="48">
        <v>0.10130624000000001</v>
      </c>
      <c r="I91" s="48">
        <v>0</v>
      </c>
      <c r="J91" s="52">
        <v>0</v>
      </c>
      <c r="L91">
        <f>(G91+G92+G93)/3</f>
        <v>5.6626666666666665</v>
      </c>
      <c r="M91">
        <f>(F91+F92+F93)/3</f>
        <v>3.5649999999999999</v>
      </c>
      <c r="N91">
        <f>(L91-M91)/M91</f>
        <v>0.58840579710144925</v>
      </c>
      <c r="O91">
        <f>(D92/(1+N91))</f>
        <v>504.27919708029202</v>
      </c>
      <c r="P91">
        <f>PI()*$G$3^2*C91</f>
        <v>456.03673118774793</v>
      </c>
      <c r="Q91">
        <f>O91/P91</f>
        <v>1.1057863601620346</v>
      </c>
    </row>
    <row r="92" spans="1:17" x14ac:dyDescent="0.2">
      <c r="A92" s="85"/>
      <c r="B92" s="53" t="s">
        <v>21</v>
      </c>
      <c r="C92" s="89"/>
      <c r="D92" s="48">
        <v>801</v>
      </c>
      <c r="E92" s="48">
        <v>2.4350000000000001</v>
      </c>
      <c r="F92" s="48">
        <v>3.5790000000000002</v>
      </c>
      <c r="G92" s="48">
        <v>5.6310000000000002</v>
      </c>
      <c r="H92" s="48">
        <v>0.10701313</v>
      </c>
      <c r="I92" s="48">
        <v>715.28248110000004</v>
      </c>
      <c r="J92" s="52" t="e">
        <v>#DIV/0!</v>
      </c>
    </row>
    <row r="93" spans="1:17" x14ac:dyDescent="0.2">
      <c r="A93" s="87"/>
      <c r="B93" s="56" t="s">
        <v>22</v>
      </c>
      <c r="C93" s="90"/>
      <c r="D93" s="57"/>
      <c r="E93" s="57">
        <v>2.452</v>
      </c>
      <c r="F93" s="57">
        <v>3.6709999999999998</v>
      </c>
      <c r="G93" s="57">
        <v>5.8029999999999999</v>
      </c>
      <c r="H93" s="57">
        <v>8.7169709999999997E-2</v>
      </c>
      <c r="I93" s="57">
        <v>0</v>
      </c>
      <c r="J93" s="49" t="e">
        <v>#DIV/0!</v>
      </c>
    </row>
    <row r="94" spans="1:17" x14ac:dyDescent="0.2">
      <c r="A94" s="91" t="s">
        <v>6</v>
      </c>
      <c r="B94" s="53" t="s">
        <v>20</v>
      </c>
      <c r="C94" s="92">
        <v>10</v>
      </c>
      <c r="D94" s="48"/>
      <c r="E94" s="48">
        <v>2.46</v>
      </c>
      <c r="F94" s="48">
        <v>3.61</v>
      </c>
      <c r="G94" s="48">
        <v>5.726</v>
      </c>
      <c r="H94" s="48">
        <v>9.5290860000000005E-2</v>
      </c>
      <c r="I94" s="48">
        <v>0</v>
      </c>
      <c r="J94" s="52">
        <v>0</v>
      </c>
      <c r="L94">
        <f>(G94+G95+G96)/3</f>
        <v>5.5186666666666655</v>
      </c>
      <c r="M94">
        <f>(F94+F95+F96)/3</f>
        <v>3.4006666666666665</v>
      </c>
      <c r="N94">
        <f>(L94-M94)/M94</f>
        <v>0.62281905508723756</v>
      </c>
      <c r="O94">
        <f>(D95/(1+N94))</f>
        <v>494.81795119594108</v>
      </c>
      <c r="P94">
        <f>PI()*$G$3^2*C94</f>
        <v>456.03673118774793</v>
      </c>
      <c r="Q94">
        <f>O94/P94</f>
        <v>1.0850396850867416</v>
      </c>
    </row>
    <row r="95" spans="1:17" x14ac:dyDescent="0.2">
      <c r="A95" s="85"/>
      <c r="B95" s="53" t="s">
        <v>21</v>
      </c>
      <c r="C95" s="89"/>
      <c r="D95" s="48">
        <v>803</v>
      </c>
      <c r="E95" s="48">
        <v>2.4590000000000001</v>
      </c>
      <c r="F95" s="48">
        <v>3.504</v>
      </c>
      <c r="G95" s="48">
        <v>5.5869999999999997</v>
      </c>
      <c r="H95" s="48">
        <v>0.10730594</v>
      </c>
      <c r="I95" s="48">
        <v>716.83333330000005</v>
      </c>
      <c r="J95" s="52" t="e">
        <v>#DIV/0!</v>
      </c>
    </row>
    <row r="96" spans="1:17" x14ac:dyDescent="0.2">
      <c r="A96" s="87"/>
      <c r="B96" s="56" t="s">
        <v>22</v>
      </c>
      <c r="C96" s="90"/>
      <c r="D96" s="57"/>
      <c r="E96" s="57">
        <v>2.4510000000000001</v>
      </c>
      <c r="F96" s="57">
        <v>3.0880000000000001</v>
      </c>
      <c r="G96" s="57">
        <v>5.2430000000000003</v>
      </c>
      <c r="H96" s="57">
        <v>9.5854919999999996E-2</v>
      </c>
      <c r="I96" s="57">
        <v>0</v>
      </c>
      <c r="J96" s="49" t="e">
        <v>#DIV/0!</v>
      </c>
    </row>
    <row r="97" spans="1:17" x14ac:dyDescent="0.2">
      <c r="A97" s="91" t="s">
        <v>7</v>
      </c>
      <c r="B97" s="53" t="s">
        <v>20</v>
      </c>
      <c r="C97" s="92">
        <v>10</v>
      </c>
      <c r="D97" s="48"/>
      <c r="E97" s="48">
        <v>2.464</v>
      </c>
      <c r="F97" s="48">
        <v>3.7370000000000001</v>
      </c>
      <c r="G97" s="48">
        <v>5.8890000000000002</v>
      </c>
      <c r="H97" s="48">
        <v>8.3489430000000003E-2</v>
      </c>
      <c r="I97" s="48">
        <v>0</v>
      </c>
      <c r="J97" s="52">
        <v>0</v>
      </c>
      <c r="L97">
        <f>(G97+G98+G99)/3</f>
        <v>5.6983333333333333</v>
      </c>
      <c r="M97">
        <f>(F97+F98+F99)/3</f>
        <v>3.5156666666666667</v>
      </c>
      <c r="N97">
        <f>(L97-M97)/M97</f>
        <v>0.62084004930311931</v>
      </c>
      <c r="O97">
        <f>(D98/(1+N97))</f>
        <v>634.23901725650785</v>
      </c>
      <c r="P97">
        <f>PI()*$G$3^2*C97</f>
        <v>456.03673118774793</v>
      </c>
      <c r="Q97">
        <f>O97/P97</f>
        <v>1.3907630107001074</v>
      </c>
    </row>
    <row r="98" spans="1:17" x14ac:dyDescent="0.2">
      <c r="A98" s="85"/>
      <c r="B98" s="53" t="s">
        <v>21</v>
      </c>
      <c r="C98" s="89"/>
      <c r="D98" s="48">
        <v>1028</v>
      </c>
      <c r="E98" s="48">
        <v>2.4670000000000001</v>
      </c>
      <c r="F98" s="48">
        <v>3.496</v>
      </c>
      <c r="G98" s="48">
        <v>5.6619999999999999</v>
      </c>
      <c r="H98" s="48">
        <v>8.6098400000000005E-2</v>
      </c>
      <c r="I98" s="48">
        <v>939.49084670000002</v>
      </c>
      <c r="J98" s="52" t="e">
        <v>#DIV/0!</v>
      </c>
    </row>
    <row r="99" spans="1:17" x14ac:dyDescent="0.2">
      <c r="A99" s="87"/>
      <c r="B99" s="56" t="s">
        <v>22</v>
      </c>
      <c r="C99" s="90"/>
      <c r="D99" s="57"/>
      <c r="E99" s="57">
        <v>2.468</v>
      </c>
      <c r="F99" s="57">
        <v>3.3140000000000001</v>
      </c>
      <c r="G99" s="57">
        <v>5.5439999999999996</v>
      </c>
      <c r="H99" s="57">
        <v>7.1816539999999998E-2</v>
      </c>
      <c r="I99" s="57">
        <v>0</v>
      </c>
      <c r="J99" s="49" t="e">
        <v>#DIV/0!</v>
      </c>
    </row>
    <row r="100" spans="1:17" x14ac:dyDescent="0.2">
      <c r="A100" s="91" t="s">
        <v>8</v>
      </c>
      <c r="B100" s="53" t="s">
        <v>20</v>
      </c>
      <c r="C100" s="92">
        <v>10</v>
      </c>
      <c r="D100" s="48"/>
      <c r="E100" s="48">
        <v>2.46</v>
      </c>
      <c r="F100" s="48">
        <v>3.7549999999999999</v>
      </c>
      <c r="G100" s="48">
        <v>6.0140000000000002</v>
      </c>
      <c r="H100" s="48">
        <v>5.3528630000000001E-2</v>
      </c>
      <c r="I100" s="48">
        <v>0</v>
      </c>
      <c r="J100" s="52">
        <v>0</v>
      </c>
      <c r="L100">
        <f>(G100+G101+G102)/3</f>
        <v>5.7773333333333339</v>
      </c>
      <c r="M100">
        <f>(F100+F101+F102)/3</f>
        <v>3.5016666666666669</v>
      </c>
      <c r="N100">
        <f>(L100-M100)/M100</f>
        <v>0.6498810090433127</v>
      </c>
      <c r="O100">
        <f>(D101/(1+N100))</f>
        <v>483.06513962612507</v>
      </c>
      <c r="P100">
        <f>PI()*$G$3^2*C100</f>
        <v>456.03673118774793</v>
      </c>
      <c r="Q100">
        <f>O100/P100</f>
        <v>1.059268051430817</v>
      </c>
    </row>
    <row r="101" spans="1:17" x14ac:dyDescent="0.2">
      <c r="A101" s="85"/>
      <c r="B101" s="53" t="s">
        <v>21</v>
      </c>
      <c r="C101" s="89"/>
      <c r="D101" s="48">
        <v>797</v>
      </c>
      <c r="E101" s="48">
        <v>2.4590000000000001</v>
      </c>
      <c r="F101" s="48">
        <v>3.28</v>
      </c>
      <c r="G101" s="48">
        <v>5.5609999999999999</v>
      </c>
      <c r="H101" s="48">
        <v>5.4268289999999997E-2</v>
      </c>
      <c r="I101" s="48">
        <v>753.74817069999995</v>
      </c>
      <c r="J101" s="52" t="e">
        <v>#DIV/0!</v>
      </c>
    </row>
    <row r="102" spans="1:17" x14ac:dyDescent="0.2">
      <c r="A102" s="87"/>
      <c r="B102" s="56" t="s">
        <v>22</v>
      </c>
      <c r="C102" s="90"/>
      <c r="D102" s="57"/>
      <c r="E102" s="57">
        <v>2.4689999999999999</v>
      </c>
      <c r="F102" s="57">
        <v>3.47</v>
      </c>
      <c r="G102" s="57">
        <v>5.7569999999999997</v>
      </c>
      <c r="H102" s="57">
        <v>5.2449570000000001E-2</v>
      </c>
      <c r="I102" s="57">
        <v>0</v>
      </c>
      <c r="J102" s="49" t="e">
        <v>#DIV/0!</v>
      </c>
    </row>
    <row r="103" spans="1:17" x14ac:dyDescent="0.2">
      <c r="A103" s="91" t="s">
        <v>9</v>
      </c>
      <c r="B103" s="53" t="s">
        <v>20</v>
      </c>
      <c r="C103" s="92">
        <v>10</v>
      </c>
      <c r="D103" s="48"/>
      <c r="E103" s="48">
        <v>2.46</v>
      </c>
      <c r="F103" s="48">
        <v>3.1480000000000001</v>
      </c>
      <c r="G103" s="48">
        <v>5.367</v>
      </c>
      <c r="H103" s="48">
        <v>7.6556540000000006E-2</v>
      </c>
      <c r="I103" s="48">
        <v>0</v>
      </c>
      <c r="J103" s="52">
        <v>0</v>
      </c>
      <c r="L103">
        <f>(G103+G104+G105)/3</f>
        <v>5.593</v>
      </c>
      <c r="M103">
        <f>(F103+F104+F105)/3</f>
        <v>3.4090000000000003</v>
      </c>
      <c r="N103">
        <f>(L103-M103)/M103</f>
        <v>0.64065708418891154</v>
      </c>
      <c r="O103">
        <f>(D104/(1+N103))</f>
        <v>643.64455569461836</v>
      </c>
      <c r="P103">
        <f>PI()*$G$3^2*C103</f>
        <v>456.03673118774793</v>
      </c>
      <c r="Q103">
        <f>O103/P103</f>
        <v>1.4113875301628571</v>
      </c>
    </row>
    <row r="104" spans="1:17" x14ac:dyDescent="0.2">
      <c r="A104" s="85"/>
      <c r="B104" s="53" t="s">
        <v>21</v>
      </c>
      <c r="C104" s="89"/>
      <c r="D104" s="48">
        <v>1056</v>
      </c>
      <c r="E104" s="48">
        <v>2.4620000000000002</v>
      </c>
      <c r="F104" s="48">
        <v>3.2389999999999999</v>
      </c>
      <c r="G104" s="48">
        <v>5.4359999999999999</v>
      </c>
      <c r="H104" s="48">
        <v>8.1815379999999993E-2</v>
      </c>
      <c r="I104" s="48">
        <v>969.60296389999996</v>
      </c>
      <c r="J104" s="52" t="e">
        <v>#DIV/0!</v>
      </c>
    </row>
    <row r="105" spans="1:17" x14ac:dyDescent="0.2">
      <c r="A105" s="87"/>
      <c r="B105" s="56" t="s">
        <v>22</v>
      </c>
      <c r="C105" s="90"/>
      <c r="D105" s="57"/>
      <c r="E105" s="57">
        <v>2.4369999999999998</v>
      </c>
      <c r="F105" s="57">
        <v>3.84</v>
      </c>
      <c r="G105" s="57">
        <v>5.976</v>
      </c>
      <c r="H105" s="57">
        <v>7.8385419999999997E-2</v>
      </c>
      <c r="I105" s="57">
        <v>0</v>
      </c>
      <c r="J105" s="49" t="e">
        <v>#DIV/0!</v>
      </c>
    </row>
    <row r="106" spans="1:17" x14ac:dyDescent="0.2">
      <c r="A106" s="91" t="s">
        <v>10</v>
      </c>
      <c r="B106" s="53" t="s">
        <v>20</v>
      </c>
      <c r="C106" s="92">
        <v>10</v>
      </c>
      <c r="D106" s="48"/>
      <c r="E106" s="48">
        <v>2.4089999999999998</v>
      </c>
      <c r="F106" s="48">
        <v>3.601</v>
      </c>
      <c r="G106" s="48">
        <v>5.819</v>
      </c>
      <c r="H106" s="48">
        <v>5.3040820000000002E-2</v>
      </c>
      <c r="I106" s="48">
        <v>0</v>
      </c>
      <c r="J106" s="52">
        <v>0</v>
      </c>
      <c r="L106">
        <f>(G106+G107+G108)/3</f>
        <v>5.6310000000000002</v>
      </c>
      <c r="M106">
        <f>(F106+F107+F108)/3</f>
        <v>3.3853333333333331</v>
      </c>
      <c r="N106">
        <f>(L106-M106)/M106</f>
        <v>0.66335171327294229</v>
      </c>
      <c r="O106">
        <f>(D107/(1+N106))</f>
        <v>565.12401586455917</v>
      </c>
      <c r="P106">
        <f>PI()*$G$3^2*C106</f>
        <v>456.03673118774793</v>
      </c>
      <c r="Q106">
        <f>O106/P106</f>
        <v>1.2392072331382022</v>
      </c>
    </row>
    <row r="107" spans="1:17" x14ac:dyDescent="0.2">
      <c r="A107" s="85"/>
      <c r="B107" s="53" t="s">
        <v>21</v>
      </c>
      <c r="C107" s="89"/>
      <c r="D107" s="48">
        <v>940</v>
      </c>
      <c r="E107" s="48">
        <v>2.4350000000000001</v>
      </c>
      <c r="F107" s="48">
        <v>3.3260000000000001</v>
      </c>
      <c r="G107" s="48">
        <v>5.5739999999999998</v>
      </c>
      <c r="H107" s="48">
        <v>5.622369E-2</v>
      </c>
      <c r="I107" s="48">
        <v>887.14972939999996</v>
      </c>
      <c r="J107" s="52" t="e">
        <v>#DIV/0!</v>
      </c>
    </row>
    <row r="108" spans="1:17" x14ac:dyDescent="0.2">
      <c r="A108" s="87"/>
      <c r="B108" s="56" t="s">
        <v>22</v>
      </c>
      <c r="C108" s="90"/>
      <c r="D108" s="57"/>
      <c r="E108" s="57">
        <v>2.4489999999999998</v>
      </c>
      <c r="F108" s="57">
        <v>3.2290000000000001</v>
      </c>
      <c r="G108" s="57">
        <v>5.5</v>
      </c>
      <c r="H108" s="57">
        <v>5.5125430000000003E-2</v>
      </c>
      <c r="I108" s="57">
        <v>0</v>
      </c>
      <c r="J108" s="49" t="e">
        <v>#DIV/0!</v>
      </c>
    </row>
    <row r="109" spans="1:17" x14ac:dyDescent="0.2">
      <c r="A109" s="91" t="s">
        <v>11</v>
      </c>
      <c r="B109" s="53" t="s">
        <v>20</v>
      </c>
      <c r="C109" s="92">
        <v>10</v>
      </c>
      <c r="D109" s="48"/>
      <c r="E109" s="48">
        <v>2.4500000000000002</v>
      </c>
      <c r="F109" s="48">
        <v>3.2080000000000002</v>
      </c>
      <c r="G109" s="48">
        <v>5.7690000000000001</v>
      </c>
      <c r="H109" s="48">
        <v>-3.4601E-2</v>
      </c>
      <c r="I109" s="48">
        <v>0</v>
      </c>
      <c r="J109" s="52">
        <v>0</v>
      </c>
      <c r="L109">
        <f>(G109+G110+G111)/3</f>
        <v>5.8083333333333336</v>
      </c>
      <c r="M109">
        <f>(F109+F110+F111)/3</f>
        <v>3.4923333333333333</v>
      </c>
      <c r="N109">
        <f>(L109-M109)/M109</f>
        <v>0.66316693710031505</v>
      </c>
      <c r="O109">
        <f>(D110/(1+N109))</f>
        <v>420.28252510760399</v>
      </c>
      <c r="P109">
        <f>PI()*$G$3^2*C109</f>
        <v>456.03673118774793</v>
      </c>
      <c r="Q109">
        <f>O109/P109</f>
        <v>0.92159796868330734</v>
      </c>
    </row>
    <row r="110" spans="1:17" x14ac:dyDescent="0.2">
      <c r="A110" s="85"/>
      <c r="B110" s="53" t="s">
        <v>21</v>
      </c>
      <c r="C110" s="89"/>
      <c r="D110" s="48">
        <v>699</v>
      </c>
      <c r="E110" s="48">
        <v>2.4630000000000001</v>
      </c>
      <c r="F110" s="48">
        <v>3.52</v>
      </c>
      <c r="G110" s="48">
        <v>5.7089999999999996</v>
      </c>
      <c r="H110" s="48">
        <v>7.7840909999999999E-2</v>
      </c>
      <c r="I110" s="48">
        <v>644.58920450000005</v>
      </c>
      <c r="J110" s="52" t="e">
        <v>#DIV/0!</v>
      </c>
    </row>
    <row r="111" spans="1:17" x14ac:dyDescent="0.2">
      <c r="A111" s="87"/>
      <c r="B111" s="56" t="s">
        <v>22</v>
      </c>
      <c r="C111" s="90"/>
      <c r="D111" s="57"/>
      <c r="E111" s="57">
        <v>2.4660000000000002</v>
      </c>
      <c r="F111" s="57">
        <v>3.7490000000000001</v>
      </c>
      <c r="G111" s="57">
        <v>5.9470000000000001</v>
      </c>
      <c r="H111" s="57">
        <v>7.1485729999999997E-2</v>
      </c>
      <c r="I111" s="57">
        <v>0</v>
      </c>
      <c r="J111" s="49" t="e">
        <v>#DIV/0!</v>
      </c>
    </row>
    <row r="112" spans="1:17" x14ac:dyDescent="0.2">
      <c r="A112" s="91" t="s">
        <v>12</v>
      </c>
      <c r="B112" s="53" t="s">
        <v>20</v>
      </c>
      <c r="C112" s="92">
        <v>10</v>
      </c>
      <c r="D112" s="48"/>
      <c r="E112" s="48"/>
      <c r="F112" s="48"/>
      <c r="G112" s="48"/>
      <c r="H112" s="48" t="e">
        <v>#DIV/0!</v>
      </c>
      <c r="I112" s="48" t="e">
        <v>#DIV/0!</v>
      </c>
      <c r="J112" s="52" t="e">
        <v>#DIV/0!</v>
      </c>
    </row>
    <row r="113" spans="1:17" x14ac:dyDescent="0.2">
      <c r="A113" s="85"/>
      <c r="B113" s="53" t="s">
        <v>21</v>
      </c>
      <c r="C113" s="89"/>
      <c r="D113" s="48"/>
      <c r="E113" s="48"/>
      <c r="F113" s="48"/>
      <c r="G113" s="48"/>
      <c r="H113" s="48" t="e">
        <v>#DIV/0!</v>
      </c>
      <c r="I113" s="48" t="e">
        <v>#DIV/0!</v>
      </c>
      <c r="J113" s="52" t="e">
        <v>#DIV/0!</v>
      </c>
    </row>
    <row r="114" spans="1:17" x14ac:dyDescent="0.2">
      <c r="A114" s="87"/>
      <c r="B114" s="56" t="s">
        <v>22</v>
      </c>
      <c r="C114" s="90"/>
      <c r="D114" s="57"/>
      <c r="E114" s="57"/>
      <c r="F114" s="57"/>
      <c r="G114" s="57"/>
      <c r="H114" s="57" t="e">
        <v>#DIV/0!</v>
      </c>
      <c r="I114" s="57" t="e">
        <v>#DIV/0!</v>
      </c>
      <c r="J114" s="49" t="e">
        <v>#DIV/0!</v>
      </c>
    </row>
    <row r="115" spans="1:17" x14ac:dyDescent="0.2">
      <c r="A115" s="91" t="s">
        <v>13</v>
      </c>
      <c r="B115" s="53" t="s">
        <v>20</v>
      </c>
      <c r="C115" s="92">
        <v>10</v>
      </c>
      <c r="D115" s="48"/>
      <c r="E115" s="48"/>
      <c r="F115" s="48"/>
      <c r="G115" s="48"/>
      <c r="H115" s="48" t="e">
        <v>#DIV/0!</v>
      </c>
      <c r="I115" s="48" t="e">
        <v>#DIV/0!</v>
      </c>
      <c r="J115" s="52" t="e">
        <v>#DIV/0!</v>
      </c>
    </row>
    <row r="116" spans="1:17" x14ac:dyDescent="0.2">
      <c r="A116" s="85"/>
      <c r="B116" s="53" t="s">
        <v>21</v>
      </c>
      <c r="C116" s="89"/>
      <c r="D116" s="48"/>
      <c r="E116" s="48"/>
      <c r="F116" s="48"/>
      <c r="G116" s="48"/>
      <c r="H116" s="48" t="e">
        <v>#DIV/0!</v>
      </c>
      <c r="I116" s="48" t="e">
        <v>#DIV/0!</v>
      </c>
      <c r="J116" s="52" t="e">
        <v>#DIV/0!</v>
      </c>
    </row>
    <row r="117" spans="1:17" x14ac:dyDescent="0.2">
      <c r="A117" s="87"/>
      <c r="B117" s="56" t="s">
        <v>22</v>
      </c>
      <c r="C117" s="90"/>
      <c r="D117" s="57"/>
      <c r="E117" s="57"/>
      <c r="F117" s="57"/>
      <c r="G117" s="57"/>
      <c r="H117" s="57" t="e">
        <v>#DIV/0!</v>
      </c>
      <c r="I117" s="57" t="e">
        <v>#DIV/0!</v>
      </c>
      <c r="J117" s="49" t="e">
        <v>#DIV/0!</v>
      </c>
    </row>
    <row r="118" spans="1:17" x14ac:dyDescent="0.2">
      <c r="A118" s="91" t="s">
        <v>14</v>
      </c>
      <c r="B118" s="53" t="s">
        <v>20</v>
      </c>
      <c r="C118" s="92">
        <v>10</v>
      </c>
      <c r="D118" s="48"/>
      <c r="E118" s="48"/>
      <c r="F118" s="48"/>
      <c r="G118" s="48"/>
      <c r="H118" s="48" t="e">
        <v>#DIV/0!</v>
      </c>
      <c r="I118" s="48" t="e">
        <v>#DIV/0!</v>
      </c>
      <c r="J118" s="52" t="e">
        <v>#DIV/0!</v>
      </c>
    </row>
    <row r="119" spans="1:17" x14ac:dyDescent="0.2">
      <c r="A119" s="85"/>
      <c r="B119" s="53" t="s">
        <v>21</v>
      </c>
      <c r="C119" s="89"/>
      <c r="D119" s="48"/>
      <c r="E119" s="48"/>
      <c r="F119" s="48"/>
      <c r="G119" s="48"/>
      <c r="H119" s="48" t="e">
        <v>#DIV/0!</v>
      </c>
      <c r="I119" s="48" t="e">
        <v>#DIV/0!</v>
      </c>
      <c r="J119" s="52" t="e">
        <v>#DIV/0!</v>
      </c>
    </row>
    <row r="120" spans="1:17" ht="16" thickBot="1" x14ac:dyDescent="0.25">
      <c r="A120" s="93"/>
      <c r="B120" s="58" t="s">
        <v>22</v>
      </c>
      <c r="C120" s="94"/>
      <c r="D120" s="59"/>
      <c r="E120" s="59"/>
      <c r="F120" s="59"/>
      <c r="G120" s="59"/>
      <c r="H120" s="59" t="e">
        <v>#DIV/0!</v>
      </c>
      <c r="I120" s="59" t="e">
        <v>#DIV/0!</v>
      </c>
      <c r="J120" s="50" t="e">
        <v>#DIV/0!</v>
      </c>
    </row>
    <row r="121" spans="1:17" ht="16" thickBot="1" x14ac:dyDescent="0.25">
      <c r="A121" s="60" t="s">
        <v>1</v>
      </c>
      <c r="B121" s="61"/>
      <c r="C121" s="62"/>
      <c r="D121" s="63" t="s">
        <v>34</v>
      </c>
      <c r="E121" s="64"/>
      <c r="F121" s="58" t="s">
        <v>0</v>
      </c>
      <c r="G121" s="18">
        <v>44159</v>
      </c>
      <c r="H121" s="65" t="s">
        <v>24</v>
      </c>
      <c r="I121" s="66"/>
      <c r="J121" s="49">
        <v>110</v>
      </c>
    </row>
    <row r="122" spans="1:17" ht="16" thickBot="1" x14ac:dyDescent="0.25">
      <c r="A122" s="67" t="s">
        <v>2</v>
      </c>
      <c r="B122" s="68"/>
      <c r="C122" s="69"/>
      <c r="D122" s="70"/>
      <c r="E122" s="71"/>
      <c r="F122" s="72"/>
      <c r="G122" s="73"/>
      <c r="H122" s="74" t="s">
        <v>25</v>
      </c>
      <c r="I122" s="75"/>
      <c r="J122" s="49">
        <v>30</v>
      </c>
    </row>
    <row r="123" spans="1:17" ht="16" thickBot="1" x14ac:dyDescent="0.25">
      <c r="A123" s="76" t="s">
        <v>27</v>
      </c>
      <c r="B123" s="77"/>
      <c r="C123" s="78"/>
      <c r="D123" s="79" t="s">
        <v>33</v>
      </c>
      <c r="E123" s="80"/>
      <c r="F123" s="48" t="s">
        <v>30</v>
      </c>
      <c r="G123" s="48">
        <v>3.81</v>
      </c>
      <c r="H123" s="81" t="s">
        <v>26</v>
      </c>
      <c r="I123" s="82"/>
      <c r="J123" s="50">
        <v>40</v>
      </c>
    </row>
    <row r="124" spans="1:17" x14ac:dyDescent="0.2">
      <c r="A124" s="83"/>
      <c r="B124" s="84"/>
      <c r="C124" s="51" t="s">
        <v>29</v>
      </c>
      <c r="D124" s="51" t="s">
        <v>19</v>
      </c>
      <c r="E124" s="51" t="s">
        <v>15</v>
      </c>
      <c r="F124" s="51" t="s">
        <v>18</v>
      </c>
      <c r="G124" s="51" t="s">
        <v>17</v>
      </c>
      <c r="H124" s="48" t="s">
        <v>28</v>
      </c>
      <c r="I124" s="48" t="s">
        <v>16</v>
      </c>
      <c r="J124" s="52" t="s">
        <v>23</v>
      </c>
    </row>
    <row r="125" spans="1:17" x14ac:dyDescent="0.2">
      <c r="A125" s="86" t="s">
        <v>3</v>
      </c>
      <c r="B125" s="53" t="s">
        <v>20</v>
      </c>
      <c r="C125" s="88">
        <v>10</v>
      </c>
      <c r="D125" s="54"/>
      <c r="E125" s="54">
        <v>2.4550000000000001</v>
      </c>
      <c r="F125" s="54">
        <v>3.1970000000000001</v>
      </c>
      <c r="G125" s="54">
        <v>5.22</v>
      </c>
      <c r="H125" s="54">
        <v>0.13512668</v>
      </c>
      <c r="I125" s="54">
        <v>0</v>
      </c>
      <c r="J125" s="55">
        <v>0</v>
      </c>
      <c r="L125">
        <f>(G125+G126+G127)/3</f>
        <v>5.4506666666666668</v>
      </c>
      <c r="M125">
        <f>(F125+F126+F127)/3</f>
        <v>3.4860000000000002</v>
      </c>
      <c r="N125">
        <f>(L125-M125)/M125</f>
        <v>0.56358768406961168</v>
      </c>
      <c r="O125">
        <f>(D126/(1+N125))</f>
        <v>466.87500000000006</v>
      </c>
      <c r="P125">
        <f>PI()*$G$3^2*C125</f>
        <v>456.03673118774793</v>
      </c>
      <c r="Q125">
        <f>O125/P125</f>
        <v>1.023766218971055</v>
      </c>
    </row>
    <row r="126" spans="1:17" x14ac:dyDescent="0.2">
      <c r="A126" s="85"/>
      <c r="B126" s="53" t="s">
        <v>21</v>
      </c>
      <c r="C126" s="89"/>
      <c r="D126" s="48">
        <v>730</v>
      </c>
      <c r="E126" s="48">
        <v>2.5619999999999998</v>
      </c>
      <c r="F126" s="48">
        <v>3.6040000000000001</v>
      </c>
      <c r="G126" s="48">
        <v>5.6</v>
      </c>
      <c r="H126" s="48">
        <v>0.15704772</v>
      </c>
      <c r="I126" s="48">
        <v>615.35516089999999</v>
      </c>
      <c r="J126" s="52" t="e">
        <v>#DIV/0!</v>
      </c>
    </row>
    <row r="127" spans="1:17" x14ac:dyDescent="0.2">
      <c r="A127" s="87"/>
      <c r="B127" s="56" t="s">
        <v>22</v>
      </c>
      <c r="C127" s="90"/>
      <c r="D127" s="57"/>
      <c r="E127" s="57">
        <v>2.4319999999999999</v>
      </c>
      <c r="F127" s="57">
        <v>3.657</v>
      </c>
      <c r="G127" s="57">
        <v>5.532</v>
      </c>
      <c r="H127" s="57">
        <v>0.15231064</v>
      </c>
      <c r="I127" s="57">
        <v>0</v>
      </c>
      <c r="J127" s="49" t="e">
        <v>#DIV/0!</v>
      </c>
    </row>
    <row r="128" spans="1:17" x14ac:dyDescent="0.2">
      <c r="A128" s="91" t="s">
        <v>4</v>
      </c>
      <c r="B128" s="53" t="s">
        <v>20</v>
      </c>
      <c r="C128" s="92">
        <v>10</v>
      </c>
      <c r="D128" s="48"/>
      <c r="E128" s="48">
        <v>2.46</v>
      </c>
      <c r="F128" s="48">
        <v>3.948</v>
      </c>
      <c r="G128" s="48">
        <v>5.9329999999999998</v>
      </c>
      <c r="H128" s="48">
        <v>0.12031408</v>
      </c>
      <c r="I128" s="48">
        <v>0</v>
      </c>
      <c r="J128" s="52">
        <v>0</v>
      </c>
      <c r="L128">
        <f>(G128+G129+G130)/3</f>
        <v>5.81</v>
      </c>
      <c r="M128">
        <f>(F128+F129+F130)/3</f>
        <v>3.8160000000000003</v>
      </c>
      <c r="N128">
        <f>(L128-M128)/M128</f>
        <v>0.52253668763102701</v>
      </c>
      <c r="O128">
        <f>(D129/(1+N128))</f>
        <v>537.26127366609308</v>
      </c>
      <c r="P128">
        <f>PI()*$G$3^2*C128</f>
        <v>456.03673118774793</v>
      </c>
      <c r="Q128">
        <f>O128/P128</f>
        <v>1.1781096497792969</v>
      </c>
    </row>
    <row r="129" spans="1:17" x14ac:dyDescent="0.2">
      <c r="A129" s="85"/>
      <c r="B129" s="53" t="s">
        <v>21</v>
      </c>
      <c r="C129" s="89"/>
      <c r="D129" s="48">
        <v>818</v>
      </c>
      <c r="E129" s="48">
        <v>2.4649999999999999</v>
      </c>
      <c r="F129" s="48">
        <v>3.93</v>
      </c>
      <c r="G129" s="48">
        <v>5.9080000000000004</v>
      </c>
      <c r="H129" s="48">
        <v>0.12391858</v>
      </c>
      <c r="I129" s="48">
        <v>716.63460559999999</v>
      </c>
      <c r="J129" s="52" t="e">
        <v>#DIV/0!</v>
      </c>
    </row>
    <row r="130" spans="1:17" x14ac:dyDescent="0.2">
      <c r="A130" s="87"/>
      <c r="B130" s="56" t="s">
        <v>22</v>
      </c>
      <c r="C130" s="90"/>
      <c r="D130" s="57"/>
      <c r="E130" s="57">
        <v>2.4569999999999999</v>
      </c>
      <c r="F130" s="57">
        <v>3.57</v>
      </c>
      <c r="G130" s="57">
        <v>5.5890000000000004</v>
      </c>
      <c r="H130" s="57">
        <v>0.12268908000000001</v>
      </c>
      <c r="I130" s="57">
        <v>0</v>
      </c>
      <c r="J130" s="49" t="e">
        <v>#DIV/0!</v>
      </c>
    </row>
    <row r="131" spans="1:17" x14ac:dyDescent="0.2">
      <c r="A131" s="91" t="s">
        <v>5</v>
      </c>
      <c r="B131" s="53" t="s">
        <v>20</v>
      </c>
      <c r="C131" s="92">
        <v>10</v>
      </c>
      <c r="D131" s="48"/>
      <c r="E131" s="48">
        <v>2.4540000000000002</v>
      </c>
      <c r="F131" s="48">
        <v>3.6659999999999999</v>
      </c>
      <c r="G131" s="48">
        <v>5.6980000000000004</v>
      </c>
      <c r="H131" s="48">
        <v>0.11511184000000001</v>
      </c>
      <c r="I131" s="48">
        <v>0</v>
      </c>
      <c r="J131" s="52">
        <v>0</v>
      </c>
      <c r="L131">
        <f>(G131+G132+G133)/3</f>
        <v>5.6473333333333331</v>
      </c>
      <c r="M131">
        <f>(F131+F132+F133)/3</f>
        <v>3.6026666666666665</v>
      </c>
      <c r="N131">
        <f>(L131-M131)/M131</f>
        <v>0.56754256106587719</v>
      </c>
      <c r="O131">
        <f>(D132/(1+N131))</f>
        <v>493.12855625073774</v>
      </c>
      <c r="P131">
        <f>PI()*$G$3^2*C131</f>
        <v>456.03673118774793</v>
      </c>
      <c r="Q131">
        <f>O131/P131</f>
        <v>1.0813351700122578</v>
      </c>
    </row>
    <row r="132" spans="1:17" x14ac:dyDescent="0.2">
      <c r="A132" s="85"/>
      <c r="B132" s="53" t="s">
        <v>21</v>
      </c>
      <c r="C132" s="89"/>
      <c r="D132" s="48">
        <v>773</v>
      </c>
      <c r="E132" s="48">
        <v>2.4569999999999999</v>
      </c>
      <c r="F132" s="48">
        <v>3.5539999999999998</v>
      </c>
      <c r="G132" s="48">
        <v>5.6050000000000004</v>
      </c>
      <c r="H132" s="48">
        <v>0.11423748</v>
      </c>
      <c r="I132" s="48">
        <v>684.69442879999997</v>
      </c>
      <c r="J132" s="52" t="e">
        <v>#DIV/0!</v>
      </c>
    </row>
    <row r="133" spans="1:17" x14ac:dyDescent="0.2">
      <c r="A133" s="87"/>
      <c r="B133" s="56" t="s">
        <v>22</v>
      </c>
      <c r="C133" s="90"/>
      <c r="D133" s="57"/>
      <c r="E133" s="57">
        <v>2.456</v>
      </c>
      <c r="F133" s="57">
        <v>3.5880000000000001</v>
      </c>
      <c r="G133" s="57">
        <v>5.6390000000000002</v>
      </c>
      <c r="H133" s="57">
        <v>0.11287625</v>
      </c>
      <c r="I133" s="57">
        <v>0</v>
      </c>
      <c r="J133" s="49" t="e">
        <v>#DIV/0!</v>
      </c>
    </row>
    <row r="134" spans="1:17" x14ac:dyDescent="0.2">
      <c r="A134" s="91" t="s">
        <v>6</v>
      </c>
      <c r="B134" s="53" t="s">
        <v>20</v>
      </c>
      <c r="C134" s="92">
        <v>10</v>
      </c>
      <c r="D134" s="48"/>
      <c r="E134" s="48">
        <v>2.4510000000000001</v>
      </c>
      <c r="F134" s="48">
        <v>3.5950000000000002</v>
      </c>
      <c r="G134" s="48">
        <v>5.6680000000000001</v>
      </c>
      <c r="H134" s="48">
        <v>0.10514604</v>
      </c>
      <c r="I134" s="48">
        <v>0</v>
      </c>
      <c r="J134" s="52">
        <v>0</v>
      </c>
      <c r="L134">
        <f>(G134+G135+G136)/3</f>
        <v>5.5603333333333333</v>
      </c>
      <c r="M134">
        <f>(F134+F135+F136)/3</f>
        <v>3.4633333333333334</v>
      </c>
      <c r="N134">
        <f>(L134-M134)/M134</f>
        <v>0.60548604427333974</v>
      </c>
      <c r="O134">
        <f>(D135/(1+N134))</f>
        <v>477.73694622624544</v>
      </c>
      <c r="P134">
        <f>PI()*$G$3^2*C134</f>
        <v>456.03673118774793</v>
      </c>
      <c r="Q134">
        <f>O134/P134</f>
        <v>1.0475843579134059</v>
      </c>
    </row>
    <row r="135" spans="1:17" x14ac:dyDescent="0.2">
      <c r="A135" s="85"/>
      <c r="B135" s="53" t="s">
        <v>21</v>
      </c>
      <c r="C135" s="89"/>
      <c r="D135" s="48">
        <v>767</v>
      </c>
      <c r="E135" s="48">
        <v>2.4510000000000001</v>
      </c>
      <c r="F135" s="48">
        <v>3.75</v>
      </c>
      <c r="G135" s="48">
        <v>5.8310000000000004</v>
      </c>
      <c r="H135" s="48">
        <v>9.8666669999999998E-2</v>
      </c>
      <c r="I135" s="48">
        <v>691.32266670000001</v>
      </c>
      <c r="J135" s="52" t="e">
        <v>#DIV/0!</v>
      </c>
    </row>
    <row r="136" spans="1:17" x14ac:dyDescent="0.2">
      <c r="A136" s="87"/>
      <c r="B136" s="56" t="s">
        <v>22</v>
      </c>
      <c r="C136" s="90"/>
      <c r="D136" s="57"/>
      <c r="E136" s="57">
        <v>2.456</v>
      </c>
      <c r="F136" s="57">
        <v>3.0449999999999999</v>
      </c>
      <c r="G136" s="57">
        <v>5.1820000000000004</v>
      </c>
      <c r="H136" s="57">
        <v>0.10476190000000001</v>
      </c>
      <c r="I136" s="57">
        <v>0</v>
      </c>
      <c r="J136" s="49" t="e">
        <v>#DIV/0!</v>
      </c>
    </row>
    <row r="137" spans="1:17" x14ac:dyDescent="0.2">
      <c r="A137" s="91" t="s">
        <v>7</v>
      </c>
      <c r="B137" s="53" t="s">
        <v>20</v>
      </c>
      <c r="C137" s="92">
        <v>10</v>
      </c>
      <c r="D137" s="48"/>
      <c r="E137" s="48">
        <v>2.4630000000000001</v>
      </c>
      <c r="F137" s="48">
        <v>3.1749999999999998</v>
      </c>
      <c r="G137" s="48">
        <v>5.3869999999999996</v>
      </c>
      <c r="H137" s="48">
        <v>7.9055120000000006E-2</v>
      </c>
      <c r="I137" s="48">
        <v>0</v>
      </c>
      <c r="J137" s="52">
        <v>0</v>
      </c>
      <c r="L137">
        <f>(G137+G138+G139)/3</f>
        <v>5.450333333333333</v>
      </c>
      <c r="M137">
        <f>(F137+F138+F139)/3</f>
        <v>3.2419999999999995</v>
      </c>
      <c r="N137">
        <f>(L137-M137)/M137</f>
        <v>0.68116389060250893</v>
      </c>
      <c r="O137">
        <f>(D138/(1+N137))</f>
        <v>472.88667359794505</v>
      </c>
      <c r="P137">
        <f>PI()*$G$3^2*C137</f>
        <v>456.03673118774793</v>
      </c>
      <c r="Q137">
        <f>O137/P137</f>
        <v>1.0369486518472129</v>
      </c>
    </row>
    <row r="138" spans="1:17" x14ac:dyDescent="0.2">
      <c r="A138" s="85"/>
      <c r="B138" s="53" t="s">
        <v>21</v>
      </c>
      <c r="C138" s="89"/>
      <c r="D138" s="48">
        <v>795</v>
      </c>
      <c r="E138" s="48">
        <v>2.4660000000000002</v>
      </c>
      <c r="F138" s="48">
        <v>3.5310000000000001</v>
      </c>
      <c r="G138" s="48">
        <v>5.7229999999999999</v>
      </c>
      <c r="H138" s="48">
        <v>7.7598410000000007E-2</v>
      </c>
      <c r="I138" s="48">
        <v>733.30926079999995</v>
      </c>
      <c r="J138" s="52" t="e">
        <v>#DIV/0!</v>
      </c>
    </row>
    <row r="139" spans="1:17" x14ac:dyDescent="0.2">
      <c r="A139" s="87"/>
      <c r="B139" s="56" t="s">
        <v>22</v>
      </c>
      <c r="C139" s="90"/>
      <c r="D139" s="57"/>
      <c r="E139" s="57">
        <v>2.4510000000000001</v>
      </c>
      <c r="F139" s="57">
        <v>3.02</v>
      </c>
      <c r="G139" s="57">
        <v>5.2409999999999997</v>
      </c>
      <c r="H139" s="57">
        <v>7.6158939999999994E-2</v>
      </c>
      <c r="I139" s="57">
        <v>0</v>
      </c>
      <c r="J139" s="49" t="e">
        <v>#DIV/0!</v>
      </c>
    </row>
    <row r="140" spans="1:17" x14ac:dyDescent="0.2">
      <c r="A140" s="91" t="s">
        <v>8</v>
      </c>
      <c r="B140" s="53" t="s">
        <v>20</v>
      </c>
      <c r="C140" s="92">
        <v>10</v>
      </c>
      <c r="D140" s="48"/>
      <c r="E140" s="48">
        <v>2.4609999999999999</v>
      </c>
      <c r="F140" s="48">
        <v>3.09</v>
      </c>
      <c r="G140" s="48">
        <v>5.2839999999999998</v>
      </c>
      <c r="H140" s="48">
        <v>8.6407769999999995E-2</v>
      </c>
      <c r="I140" s="48">
        <v>0</v>
      </c>
      <c r="J140" s="52">
        <v>0</v>
      </c>
      <c r="L140">
        <f>(G140+G141+G142)/3</f>
        <v>5.413333333333334</v>
      </c>
      <c r="M140">
        <f>(F140+F141+F142)/3</f>
        <v>3.2283333333333335</v>
      </c>
      <c r="N140">
        <f>(L140-M140)/M140</f>
        <v>0.67681982447083133</v>
      </c>
      <c r="O140">
        <f>(D141/(1+N140))</f>
        <v>395.98768472906403</v>
      </c>
      <c r="P140">
        <f>PI()*$G$3^2*C140</f>
        <v>456.03673118774793</v>
      </c>
      <c r="Q140">
        <f>O140/P140</f>
        <v>0.8683241012137638</v>
      </c>
    </row>
    <row r="141" spans="1:17" x14ac:dyDescent="0.2">
      <c r="A141" s="85"/>
      <c r="B141" s="53" t="s">
        <v>21</v>
      </c>
      <c r="C141" s="89"/>
      <c r="D141" s="48">
        <v>664</v>
      </c>
      <c r="E141" s="48">
        <v>2.4470000000000001</v>
      </c>
      <c r="F141" s="48">
        <v>3.1880000000000002</v>
      </c>
      <c r="G141" s="48">
        <v>5.3680000000000003</v>
      </c>
      <c r="H141" s="48">
        <v>8.3751569999999997E-2</v>
      </c>
      <c r="I141" s="48">
        <v>608.38895860000002</v>
      </c>
      <c r="J141" s="52" t="e">
        <v>#DIV/0!</v>
      </c>
    </row>
    <row r="142" spans="1:17" x14ac:dyDescent="0.2">
      <c r="A142" s="87"/>
      <c r="B142" s="56" t="s">
        <v>22</v>
      </c>
      <c r="C142" s="90"/>
      <c r="D142" s="57"/>
      <c r="E142" s="57">
        <v>2.4569999999999999</v>
      </c>
      <c r="F142" s="57">
        <v>3.407</v>
      </c>
      <c r="G142" s="57">
        <v>5.5880000000000001</v>
      </c>
      <c r="H142" s="57">
        <v>8.1009689999999995E-2</v>
      </c>
      <c r="I142" s="57">
        <v>0</v>
      </c>
      <c r="J142" s="49" t="e">
        <v>#DIV/0!</v>
      </c>
    </row>
    <row r="143" spans="1:17" x14ac:dyDescent="0.2">
      <c r="A143" s="91" t="s">
        <v>9</v>
      </c>
      <c r="B143" s="53" t="s">
        <v>20</v>
      </c>
      <c r="C143" s="92">
        <v>10</v>
      </c>
      <c r="D143" s="48"/>
      <c r="E143" s="48">
        <v>2.4710000000000001</v>
      </c>
      <c r="F143" s="48">
        <v>3.6640000000000001</v>
      </c>
      <c r="G143" s="48">
        <v>5.9050000000000002</v>
      </c>
      <c r="H143" s="48">
        <v>6.2772930000000005E-2</v>
      </c>
      <c r="I143" s="48">
        <v>0</v>
      </c>
      <c r="J143" s="52">
        <v>0</v>
      </c>
      <c r="L143">
        <f>(G143+G144+G145)/3</f>
        <v>5.538333333333334</v>
      </c>
      <c r="M143">
        <f>(F143+F144+F145)/3</f>
        <v>3.2890000000000001</v>
      </c>
      <c r="N143">
        <f>(L143-M143)/M143</f>
        <v>0.6838958143305971</v>
      </c>
      <c r="O143">
        <f>(D144/(1+N143))</f>
        <v>414.51495636473061</v>
      </c>
      <c r="P143">
        <f>PI()*$G$3^2*C143</f>
        <v>456.03673118774793</v>
      </c>
      <c r="Q143">
        <f>O143/P143</f>
        <v>0.90895081035496017</v>
      </c>
    </row>
    <row r="144" spans="1:17" x14ac:dyDescent="0.2">
      <c r="A144" s="85"/>
      <c r="B144" s="53" t="s">
        <v>21</v>
      </c>
      <c r="C144" s="89"/>
      <c r="D144" s="48">
        <v>698</v>
      </c>
      <c r="E144" s="48">
        <v>2.464</v>
      </c>
      <c r="F144" s="48">
        <v>3.1139999999999999</v>
      </c>
      <c r="G144" s="48">
        <v>5.3710000000000004</v>
      </c>
      <c r="H144" s="48">
        <v>6.6473989999999997E-2</v>
      </c>
      <c r="I144" s="48">
        <v>651.60115610000003</v>
      </c>
      <c r="J144" s="52" t="e">
        <v>#DIV/0!</v>
      </c>
    </row>
    <row r="145" spans="1:17" x14ac:dyDescent="0.2">
      <c r="A145" s="87"/>
      <c r="B145" s="56" t="s">
        <v>22</v>
      </c>
      <c r="C145" s="90"/>
      <c r="D145" s="57"/>
      <c r="E145" s="57">
        <v>2.4569999999999999</v>
      </c>
      <c r="F145" s="57">
        <v>3.089</v>
      </c>
      <c r="G145" s="57">
        <v>5.3390000000000004</v>
      </c>
      <c r="H145" s="57">
        <v>6.7011979999999999E-2</v>
      </c>
      <c r="I145" s="57">
        <v>0</v>
      </c>
      <c r="J145" s="49" t="e">
        <v>#DIV/0!</v>
      </c>
    </row>
    <row r="146" spans="1:17" x14ac:dyDescent="0.2">
      <c r="A146" s="91" t="s">
        <v>10</v>
      </c>
      <c r="B146" s="53" t="s">
        <v>20</v>
      </c>
      <c r="C146" s="92">
        <v>10</v>
      </c>
      <c r="D146" s="48"/>
      <c r="E146" s="48">
        <v>2.4489999999999998</v>
      </c>
      <c r="F146" s="48">
        <v>3.5179999999999998</v>
      </c>
      <c r="G146" s="48">
        <v>5.726</v>
      </c>
      <c r="H146" s="48">
        <v>6.8504830000000003E-2</v>
      </c>
      <c r="I146" s="48">
        <v>0</v>
      </c>
      <c r="J146" s="52">
        <v>0</v>
      </c>
      <c r="L146">
        <f>(G146+G147+G148)/3</f>
        <v>5.5966666666666667</v>
      </c>
      <c r="M146">
        <f>(F146+F147+F148)/3</f>
        <v>3.3723333333333336</v>
      </c>
      <c r="N146">
        <f>(L146-M146)/M146</f>
        <v>0.65958288030048418</v>
      </c>
      <c r="O146">
        <f>(D147/(1+N146))</f>
        <v>378.40833829660517</v>
      </c>
      <c r="P146">
        <f>PI()*$G$3^2*C146</f>
        <v>456.03673118774793</v>
      </c>
      <c r="Q146">
        <f>O146/P146</f>
        <v>0.82977600797865647</v>
      </c>
    </row>
    <row r="147" spans="1:17" x14ac:dyDescent="0.2">
      <c r="A147" s="85"/>
      <c r="B147" s="53" t="s">
        <v>21</v>
      </c>
      <c r="C147" s="89"/>
      <c r="D147" s="48">
        <v>628</v>
      </c>
      <c r="E147" s="48">
        <v>2.452</v>
      </c>
      <c r="F147" s="48">
        <v>3.4239999999999999</v>
      </c>
      <c r="G147" s="48">
        <v>5.649</v>
      </c>
      <c r="H147" s="48">
        <v>6.6296729999999998E-2</v>
      </c>
      <c r="I147" s="48">
        <v>586.36565419999999</v>
      </c>
      <c r="J147" s="52" t="e">
        <v>#DIV/0!</v>
      </c>
    </row>
    <row r="148" spans="1:17" x14ac:dyDescent="0.2">
      <c r="A148" s="87"/>
      <c r="B148" s="56" t="s">
        <v>22</v>
      </c>
      <c r="C148" s="90"/>
      <c r="D148" s="57"/>
      <c r="E148" s="57">
        <v>2.4609999999999999</v>
      </c>
      <c r="F148" s="57">
        <v>3.1749999999999998</v>
      </c>
      <c r="G148" s="57">
        <v>5.415</v>
      </c>
      <c r="H148" s="57">
        <v>6.9606299999999996E-2</v>
      </c>
      <c r="I148" s="57">
        <v>0</v>
      </c>
      <c r="J148" s="49" t="e">
        <v>#DIV/0!</v>
      </c>
    </row>
    <row r="149" spans="1:17" x14ac:dyDescent="0.2">
      <c r="A149" s="91" t="s">
        <v>11</v>
      </c>
      <c r="B149" s="53" t="s">
        <v>20</v>
      </c>
      <c r="C149" s="92">
        <v>10</v>
      </c>
      <c r="D149" s="48"/>
      <c r="E149" s="48">
        <v>2.4670000000000001</v>
      </c>
      <c r="F149" s="48">
        <v>3.0179999999999998</v>
      </c>
      <c r="G149" s="48">
        <v>5.298</v>
      </c>
      <c r="H149" s="48">
        <v>6.1961559999999999E-2</v>
      </c>
      <c r="I149" s="48">
        <v>0</v>
      </c>
      <c r="J149" s="52">
        <v>0</v>
      </c>
      <c r="L149">
        <f>(G149+G150+G151)/3</f>
        <v>5.5903333333333336</v>
      </c>
      <c r="M149">
        <f>(F149+F150+F151)/3</f>
        <v>3.3510000000000004</v>
      </c>
      <c r="N149">
        <f>(L149-M149)/M149</f>
        <v>0.6682582313737192</v>
      </c>
      <c r="O149">
        <f>(D150/(1+N149))</f>
        <v>394.42334983006384</v>
      </c>
      <c r="P149">
        <f>PI()*$G$3^2*C149</f>
        <v>456.03673118774793</v>
      </c>
      <c r="Q149">
        <f>O149/P149</f>
        <v>0.86489381853691483</v>
      </c>
    </row>
    <row r="150" spans="1:17" x14ac:dyDescent="0.2">
      <c r="A150" s="85"/>
      <c r="B150" s="53" t="s">
        <v>21</v>
      </c>
      <c r="C150" s="89"/>
      <c r="D150" s="48">
        <v>658</v>
      </c>
      <c r="E150" s="48">
        <v>2.468</v>
      </c>
      <c r="F150" s="48">
        <v>3.5550000000000002</v>
      </c>
      <c r="G150" s="48">
        <v>5.7880000000000003</v>
      </c>
      <c r="H150" s="48">
        <v>6.6104079999999996E-2</v>
      </c>
      <c r="I150" s="48">
        <v>614.50351620000004</v>
      </c>
      <c r="J150" s="52" t="e">
        <v>#DIV/0!</v>
      </c>
    </row>
    <row r="151" spans="1:17" x14ac:dyDescent="0.2">
      <c r="A151" s="87"/>
      <c r="B151" s="56" t="s">
        <v>22</v>
      </c>
      <c r="C151" s="90"/>
      <c r="D151" s="57"/>
      <c r="E151" s="57">
        <v>2.4529999999999998</v>
      </c>
      <c r="F151" s="57">
        <v>3.48</v>
      </c>
      <c r="G151" s="57">
        <v>5.6849999999999996</v>
      </c>
      <c r="H151" s="57">
        <v>7.1264369999999994E-2</v>
      </c>
      <c r="I151" s="57">
        <v>0</v>
      </c>
      <c r="J151" s="49" t="e">
        <v>#DIV/0!</v>
      </c>
    </row>
    <row r="152" spans="1:17" x14ac:dyDescent="0.2">
      <c r="A152" s="91" t="s">
        <v>12</v>
      </c>
      <c r="B152" s="53" t="s">
        <v>20</v>
      </c>
      <c r="C152" s="92">
        <v>10</v>
      </c>
      <c r="D152" s="48"/>
      <c r="E152" s="48">
        <v>2.4529999999999998</v>
      </c>
      <c r="F152" s="48">
        <v>3.125</v>
      </c>
      <c r="G152" s="48">
        <v>5.36</v>
      </c>
      <c r="H152" s="48">
        <v>6.9760000000000003E-2</v>
      </c>
      <c r="I152" s="48">
        <v>0</v>
      </c>
      <c r="J152" s="52">
        <v>0</v>
      </c>
      <c r="L152">
        <f>(G152+G153+G154)/3</f>
        <v>5.3816666666666668</v>
      </c>
      <c r="M152">
        <f>(F152+F153+F154)/3</f>
        <v>3.1526666666666667</v>
      </c>
      <c r="N152">
        <f>(L152-M152)/M152</f>
        <v>0.70702051173609648</v>
      </c>
      <c r="O152">
        <f>(D153/(1+N152))</f>
        <v>350.90380922886339</v>
      </c>
      <c r="P152">
        <f>PI()*$G$3^2*C152</f>
        <v>456.03673118774793</v>
      </c>
      <c r="Q152">
        <f>O152/P152</f>
        <v>0.76946391645895329</v>
      </c>
    </row>
    <row r="153" spans="1:17" x14ac:dyDescent="0.2">
      <c r="A153" s="85"/>
      <c r="B153" s="53" t="s">
        <v>21</v>
      </c>
      <c r="C153" s="89"/>
      <c r="D153" s="48">
        <v>599</v>
      </c>
      <c r="E153" s="48">
        <v>2.4430000000000001</v>
      </c>
      <c r="F153" s="48">
        <v>3.2480000000000002</v>
      </c>
      <c r="G153" s="48">
        <v>5.4690000000000003</v>
      </c>
      <c r="H153" s="48">
        <v>6.8349750000000001E-2</v>
      </c>
      <c r="I153" s="48">
        <v>558.05849750000004</v>
      </c>
      <c r="J153" s="52" t="e">
        <v>#DIV/0!</v>
      </c>
    </row>
    <row r="154" spans="1:17" x14ac:dyDescent="0.2">
      <c r="A154" s="87"/>
      <c r="B154" s="56" t="s">
        <v>22</v>
      </c>
      <c r="C154" s="90"/>
      <c r="D154" s="57"/>
      <c r="E154" s="57">
        <v>2.4359999999999999</v>
      </c>
      <c r="F154" s="57">
        <v>3.085</v>
      </c>
      <c r="G154" s="57">
        <v>5.3159999999999998</v>
      </c>
      <c r="H154" s="57">
        <v>6.645057E-2</v>
      </c>
      <c r="I154" s="57">
        <v>0</v>
      </c>
      <c r="J154" s="49" t="e">
        <v>#DIV/0!</v>
      </c>
    </row>
    <row r="155" spans="1:17" x14ac:dyDescent="0.2">
      <c r="A155" s="91" t="s">
        <v>13</v>
      </c>
      <c r="B155" s="53" t="s">
        <v>20</v>
      </c>
      <c r="C155" s="92">
        <v>10</v>
      </c>
      <c r="D155" s="48"/>
      <c r="E155" s="48">
        <v>2.4500000000000002</v>
      </c>
      <c r="F155" s="48">
        <v>3.4550000000000001</v>
      </c>
      <c r="G155" s="48">
        <v>5.6109999999999998</v>
      </c>
      <c r="H155" s="48">
        <v>8.5094069999999994E-2</v>
      </c>
      <c r="I155" s="48">
        <v>0</v>
      </c>
      <c r="J155" s="52">
        <v>0</v>
      </c>
      <c r="L155">
        <f>(G155+G156+G157)/3</f>
        <v>5.588000000000001</v>
      </c>
      <c r="M155">
        <f>(F155+F156+F157)/3</f>
        <v>3.4220000000000002</v>
      </c>
      <c r="N155">
        <f>(L155-M155)/M155</f>
        <v>0.63296317942723579</v>
      </c>
      <c r="O155">
        <f>(D156/(1+N155))</f>
        <v>306.80422333571931</v>
      </c>
      <c r="P155">
        <f>PI()*$G$3^2*C155</f>
        <v>456.03673118774793</v>
      </c>
      <c r="Q155">
        <f>O155/P155</f>
        <v>0.67276208768676926</v>
      </c>
    </row>
    <row r="156" spans="1:17" x14ac:dyDescent="0.2">
      <c r="A156" s="85"/>
      <c r="B156" s="53" t="s">
        <v>21</v>
      </c>
      <c r="C156" s="89"/>
      <c r="D156" s="48">
        <v>501</v>
      </c>
      <c r="E156" s="48">
        <v>2.4209999999999998</v>
      </c>
      <c r="F156" s="48">
        <v>3.5910000000000002</v>
      </c>
      <c r="G156" s="48">
        <v>5.7210000000000001</v>
      </c>
      <c r="H156" s="48">
        <v>8.1035919999999997E-2</v>
      </c>
      <c r="I156" s="48">
        <v>460.4010025</v>
      </c>
      <c r="J156" s="52" t="e">
        <v>#DIV/0!</v>
      </c>
    </row>
    <row r="157" spans="1:17" x14ac:dyDescent="0.2">
      <c r="A157" s="87"/>
      <c r="B157" s="56" t="s">
        <v>22</v>
      </c>
      <c r="C157" s="90"/>
      <c r="D157" s="57"/>
      <c r="E157" s="57">
        <v>2.4580000000000002</v>
      </c>
      <c r="F157" s="57">
        <v>3.22</v>
      </c>
      <c r="G157" s="57">
        <v>5.4320000000000004</v>
      </c>
      <c r="H157" s="57">
        <v>7.6397519999999997E-2</v>
      </c>
      <c r="I157" s="57">
        <v>0</v>
      </c>
      <c r="J157" s="49" t="e">
        <v>#DIV/0!</v>
      </c>
    </row>
    <row r="158" spans="1:17" x14ac:dyDescent="0.2">
      <c r="A158" s="91" t="s">
        <v>14</v>
      </c>
      <c r="B158" s="53" t="s">
        <v>20</v>
      </c>
      <c r="C158" s="92">
        <v>10</v>
      </c>
      <c r="D158" s="48"/>
      <c r="E158" s="48"/>
      <c r="F158" s="48"/>
      <c r="G158" s="48"/>
      <c r="H158" s="48" t="e">
        <v>#DIV/0!</v>
      </c>
      <c r="I158" s="48" t="e">
        <v>#DIV/0!</v>
      </c>
      <c r="J158" s="52" t="e">
        <v>#DIV/0!</v>
      </c>
    </row>
    <row r="159" spans="1:17" x14ac:dyDescent="0.2">
      <c r="A159" s="85"/>
      <c r="B159" s="53" t="s">
        <v>21</v>
      </c>
      <c r="C159" s="89"/>
      <c r="D159" s="48"/>
      <c r="E159" s="48"/>
      <c r="F159" s="48"/>
      <c r="G159" s="48"/>
      <c r="H159" s="48" t="e">
        <v>#DIV/0!</v>
      </c>
      <c r="I159" s="48" t="e">
        <v>#DIV/0!</v>
      </c>
      <c r="J159" s="52" t="e">
        <v>#DIV/0!</v>
      </c>
    </row>
    <row r="160" spans="1:17" ht="16" thickBot="1" x14ac:dyDescent="0.25">
      <c r="A160" s="93"/>
      <c r="B160" s="58" t="s">
        <v>22</v>
      </c>
      <c r="C160" s="94"/>
      <c r="D160" s="59"/>
      <c r="E160" s="59"/>
      <c r="F160" s="59"/>
      <c r="G160" s="59"/>
      <c r="H160" s="59" t="e">
        <v>#DIV/0!</v>
      </c>
      <c r="I160" s="59" t="e">
        <v>#DIV/0!</v>
      </c>
      <c r="J160" s="50" t="e">
        <v>#DIV/0!</v>
      </c>
    </row>
    <row r="161" spans="1:10" ht="16" thickBot="1" x14ac:dyDescent="0.25">
      <c r="A161" s="60" t="s">
        <v>1</v>
      </c>
      <c r="B161" s="61"/>
      <c r="C161" s="62"/>
      <c r="D161" s="63" t="s">
        <v>35</v>
      </c>
      <c r="E161" s="64"/>
      <c r="F161" s="58" t="s">
        <v>0</v>
      </c>
      <c r="G161" s="18">
        <v>44180</v>
      </c>
      <c r="H161" s="65" t="s">
        <v>24</v>
      </c>
      <c r="I161" s="66"/>
      <c r="J161" s="49">
        <v>95</v>
      </c>
    </row>
    <row r="162" spans="1:10" ht="16" thickBot="1" x14ac:dyDescent="0.25">
      <c r="A162" s="67" t="s">
        <v>2</v>
      </c>
      <c r="B162" s="68"/>
      <c r="C162" s="69"/>
      <c r="D162" s="70"/>
      <c r="E162" s="71"/>
      <c r="F162" s="72"/>
      <c r="G162" s="73"/>
      <c r="H162" s="74" t="s">
        <v>25</v>
      </c>
      <c r="I162" s="75"/>
      <c r="J162" s="49">
        <v>27</v>
      </c>
    </row>
    <row r="163" spans="1:10" ht="16" thickBot="1" x14ac:dyDescent="0.25">
      <c r="A163" s="76" t="s">
        <v>27</v>
      </c>
      <c r="B163" s="77"/>
      <c r="C163" s="78"/>
      <c r="D163" s="79" t="s">
        <v>36</v>
      </c>
      <c r="E163" s="80"/>
      <c r="F163" s="48" t="s">
        <v>30</v>
      </c>
      <c r="G163" s="48">
        <v>3.81</v>
      </c>
      <c r="H163" s="81" t="s">
        <v>26</v>
      </c>
      <c r="I163" s="82"/>
      <c r="J163" s="50">
        <v>45</v>
      </c>
    </row>
    <row r="164" spans="1:10" x14ac:dyDescent="0.2">
      <c r="A164" s="83"/>
      <c r="B164" s="84"/>
      <c r="C164" s="51" t="s">
        <v>29</v>
      </c>
      <c r="D164" s="51" t="s">
        <v>19</v>
      </c>
      <c r="E164" s="51" t="s">
        <v>15</v>
      </c>
      <c r="F164" s="51" t="s">
        <v>18</v>
      </c>
      <c r="G164" s="51" t="s">
        <v>17</v>
      </c>
      <c r="H164" s="48" t="s">
        <v>28</v>
      </c>
      <c r="I164" s="48" t="s">
        <v>16</v>
      </c>
      <c r="J164" s="52" t="s">
        <v>23</v>
      </c>
    </row>
    <row r="165" spans="1:10" x14ac:dyDescent="0.2">
      <c r="A165" s="86" t="s">
        <v>3</v>
      </c>
      <c r="B165" s="53" t="s">
        <v>20</v>
      </c>
      <c r="C165" s="88">
        <v>10</v>
      </c>
      <c r="D165" s="54"/>
      <c r="E165" s="54">
        <v>1.7230000000000001</v>
      </c>
      <c r="F165" s="54">
        <v>3.2160000000000002</v>
      </c>
      <c r="G165" s="54">
        <v>4.1529999999999996</v>
      </c>
      <c r="H165" s="54">
        <v>0.24440298999999999</v>
      </c>
      <c r="I165" s="54">
        <v>0</v>
      </c>
      <c r="J165" s="55">
        <v>0</v>
      </c>
    </row>
    <row r="166" spans="1:10" x14ac:dyDescent="0.2">
      <c r="A166" s="85"/>
      <c r="B166" s="53" t="s">
        <v>21</v>
      </c>
      <c r="C166" s="89"/>
      <c r="D166" s="48">
        <v>815</v>
      </c>
      <c r="E166" s="48">
        <v>1.728</v>
      </c>
      <c r="F166" s="48">
        <v>3.1509999999999998</v>
      </c>
      <c r="G166" s="48">
        <v>4.1399999999999997</v>
      </c>
      <c r="H166" s="48">
        <v>0.23452872</v>
      </c>
      <c r="I166" s="48">
        <v>623.85909240000001</v>
      </c>
      <c r="J166" s="52" t="e">
        <v>#DIV/0!</v>
      </c>
    </row>
    <row r="167" spans="1:10" x14ac:dyDescent="0.2">
      <c r="A167" s="87"/>
      <c r="B167" s="56" t="s">
        <v>22</v>
      </c>
      <c r="C167" s="90"/>
      <c r="D167" s="57"/>
      <c r="E167" s="57">
        <v>1.728</v>
      </c>
      <c r="F167" s="57">
        <v>3.0819999999999999</v>
      </c>
      <c r="G167" s="57">
        <v>4.0350000000000001</v>
      </c>
      <c r="H167" s="57">
        <v>0.25146009000000002</v>
      </c>
      <c r="I167" s="57">
        <v>0</v>
      </c>
      <c r="J167" s="49" t="e">
        <v>#DIV/0!</v>
      </c>
    </row>
    <row r="168" spans="1:10" x14ac:dyDescent="0.2">
      <c r="A168" s="91" t="s">
        <v>4</v>
      </c>
      <c r="B168" s="53" t="s">
        <v>20</v>
      </c>
      <c r="C168" s="92">
        <v>10</v>
      </c>
      <c r="D168" s="48"/>
      <c r="E168" s="48">
        <v>1.726</v>
      </c>
      <c r="F168" s="48">
        <v>3.4540000000000002</v>
      </c>
      <c r="G168" s="48">
        <v>4.4489999999999998</v>
      </c>
      <c r="H168" s="48">
        <v>0.21163868</v>
      </c>
      <c r="I168" s="48">
        <v>0</v>
      </c>
      <c r="J168" s="52">
        <v>0</v>
      </c>
    </row>
    <row r="169" spans="1:10" x14ac:dyDescent="0.2">
      <c r="A169" s="85"/>
      <c r="B169" s="53" t="s">
        <v>21</v>
      </c>
      <c r="C169" s="89"/>
      <c r="D169" s="48">
        <v>769</v>
      </c>
      <c r="E169" s="48">
        <v>1.7270000000000001</v>
      </c>
      <c r="F169" s="48">
        <v>3.6859999999999999</v>
      </c>
      <c r="G169" s="48">
        <v>4.6319999999999997</v>
      </c>
      <c r="H169" s="48">
        <v>0.21188280000000001</v>
      </c>
      <c r="I169" s="48">
        <v>606.06212700000003</v>
      </c>
      <c r="J169" s="52" t="e">
        <v>#DIV/0!</v>
      </c>
    </row>
    <row r="170" spans="1:10" x14ac:dyDescent="0.2">
      <c r="A170" s="87"/>
      <c r="B170" s="56" t="s">
        <v>22</v>
      </c>
      <c r="C170" s="90"/>
      <c r="D170" s="57"/>
      <c r="E170" s="57">
        <v>1.726</v>
      </c>
      <c r="F170" s="57">
        <v>3.0329999999999999</v>
      </c>
      <c r="G170" s="57">
        <v>4.1379999999999999</v>
      </c>
      <c r="H170" s="57">
        <v>0.20474777</v>
      </c>
      <c r="I170" s="57">
        <v>0</v>
      </c>
      <c r="J170" s="49" t="e">
        <v>#DIV/0!</v>
      </c>
    </row>
    <row r="171" spans="1:10" x14ac:dyDescent="0.2">
      <c r="A171" s="91" t="s">
        <v>5</v>
      </c>
      <c r="B171" s="53" t="s">
        <v>20</v>
      </c>
      <c r="C171" s="92">
        <v>10</v>
      </c>
      <c r="D171" s="48"/>
      <c r="E171" s="48">
        <v>1.736</v>
      </c>
      <c r="F171" s="48">
        <v>3.133</v>
      </c>
      <c r="G171" s="48">
        <v>4.2569999999999997</v>
      </c>
      <c r="H171" s="48">
        <v>0.19533992999999999</v>
      </c>
      <c r="I171" s="48">
        <v>0</v>
      </c>
      <c r="J171" s="52">
        <v>0</v>
      </c>
    </row>
    <row r="172" spans="1:10" x14ac:dyDescent="0.2">
      <c r="A172" s="85"/>
      <c r="B172" s="53" t="s">
        <v>21</v>
      </c>
      <c r="C172" s="89"/>
      <c r="D172" s="48">
        <v>710</v>
      </c>
      <c r="E172" s="48">
        <v>1.7310000000000001</v>
      </c>
      <c r="F172" s="48">
        <v>3.415</v>
      </c>
      <c r="G172" s="48">
        <v>4.4139999999999997</v>
      </c>
      <c r="H172" s="48">
        <v>0.21434845999999999</v>
      </c>
      <c r="I172" s="48">
        <v>557.81259150000005</v>
      </c>
      <c r="J172" s="52" t="e">
        <v>#DIV/0!</v>
      </c>
    </row>
    <row r="173" spans="1:10" x14ac:dyDescent="0.2">
      <c r="A173" s="87"/>
      <c r="B173" s="56" t="s">
        <v>22</v>
      </c>
      <c r="C173" s="90"/>
      <c r="D173" s="57"/>
      <c r="E173" s="57">
        <v>1.7270000000000001</v>
      </c>
      <c r="F173" s="57">
        <v>3.5750000000000002</v>
      </c>
      <c r="G173" s="57">
        <v>4.5110000000000001</v>
      </c>
      <c r="H173" s="57">
        <v>0.22125874000000001</v>
      </c>
      <c r="I173" s="57">
        <v>0</v>
      </c>
      <c r="J173" s="49" t="e">
        <v>#DIV/0!</v>
      </c>
    </row>
    <row r="174" spans="1:10" x14ac:dyDescent="0.2">
      <c r="A174" s="91" t="s">
        <v>6</v>
      </c>
      <c r="B174" s="53" t="s">
        <v>20</v>
      </c>
      <c r="C174" s="92">
        <v>10</v>
      </c>
      <c r="D174" s="48"/>
      <c r="E174" s="48">
        <v>1.726</v>
      </c>
      <c r="F174" s="48">
        <v>3.7629999999999999</v>
      </c>
      <c r="G174" s="48">
        <v>4.431</v>
      </c>
      <c r="H174" s="48">
        <v>0.28115865000000001</v>
      </c>
      <c r="I174" s="48">
        <v>0</v>
      </c>
      <c r="J174" s="52">
        <v>0</v>
      </c>
    </row>
    <row r="175" spans="1:10" x14ac:dyDescent="0.2">
      <c r="A175" s="85"/>
      <c r="B175" s="53" t="s">
        <v>21</v>
      </c>
      <c r="C175" s="89"/>
      <c r="D175" s="48">
        <v>569</v>
      </c>
      <c r="E175" s="48">
        <v>1.736</v>
      </c>
      <c r="F175" s="48">
        <v>3.1989999999999998</v>
      </c>
      <c r="G175" s="48">
        <v>3.7559999999999998</v>
      </c>
      <c r="H175" s="48">
        <v>0.36855267000000003</v>
      </c>
      <c r="I175" s="48">
        <v>359.29352920000002</v>
      </c>
      <c r="J175" s="52" t="e">
        <v>#DIV/0!</v>
      </c>
    </row>
    <row r="176" spans="1:10" x14ac:dyDescent="0.2">
      <c r="A176" s="87"/>
      <c r="B176" s="56" t="s">
        <v>22</v>
      </c>
      <c r="C176" s="90"/>
      <c r="D176" s="57"/>
      <c r="E176" s="57">
        <v>1.7110000000000001</v>
      </c>
      <c r="F176" s="57">
        <v>3.0990000000000002</v>
      </c>
      <c r="G176" s="57">
        <v>3.738</v>
      </c>
      <c r="H176" s="57">
        <v>0.34591803999999998</v>
      </c>
      <c r="I176" s="57">
        <v>0</v>
      </c>
      <c r="J176" s="49" t="e">
        <v>#DIV/0!</v>
      </c>
    </row>
    <row r="177" spans="1:10" x14ac:dyDescent="0.2">
      <c r="A177" s="91" t="s">
        <v>7</v>
      </c>
      <c r="B177" s="53" t="s">
        <v>20</v>
      </c>
      <c r="C177" s="92">
        <v>10</v>
      </c>
      <c r="D177" s="48"/>
      <c r="E177" s="48">
        <v>1.7150000000000001</v>
      </c>
      <c r="F177" s="48">
        <v>3.0880000000000001</v>
      </c>
      <c r="G177" s="48">
        <v>4.125</v>
      </c>
      <c r="H177" s="48">
        <v>0.21955959</v>
      </c>
      <c r="I177" s="48">
        <v>0</v>
      </c>
      <c r="J177" s="52">
        <v>0</v>
      </c>
    </row>
    <row r="178" spans="1:10" x14ac:dyDescent="0.2">
      <c r="A178" s="85"/>
      <c r="B178" s="53" t="s">
        <v>21</v>
      </c>
      <c r="C178" s="89"/>
      <c r="D178" s="48">
        <v>702</v>
      </c>
      <c r="E178" s="48">
        <v>1.716</v>
      </c>
      <c r="F178" s="48">
        <v>3.1680000000000001</v>
      </c>
      <c r="G178" s="48">
        <v>4.2009999999999996</v>
      </c>
      <c r="H178" s="48">
        <v>0.21559343</v>
      </c>
      <c r="I178" s="48">
        <v>550.65340909999998</v>
      </c>
      <c r="J178" s="52" t="e">
        <v>#DIV/0!</v>
      </c>
    </row>
    <row r="179" spans="1:10" x14ac:dyDescent="0.2">
      <c r="A179" s="87"/>
      <c r="B179" s="56" t="s">
        <v>22</v>
      </c>
      <c r="C179" s="90"/>
      <c r="D179" s="57"/>
      <c r="E179" s="57">
        <v>1.7250000000000001</v>
      </c>
      <c r="F179" s="57">
        <v>3.4089999999999998</v>
      </c>
      <c r="G179" s="57">
        <v>4.1509999999999998</v>
      </c>
      <c r="H179" s="57">
        <v>0.28835435999999998</v>
      </c>
      <c r="I179" s="57">
        <v>0</v>
      </c>
      <c r="J179" s="49" t="e">
        <v>#DIV/0!</v>
      </c>
    </row>
    <row r="180" spans="1:10" x14ac:dyDescent="0.2">
      <c r="A180" s="91" t="s">
        <v>8</v>
      </c>
      <c r="B180" s="53" t="s">
        <v>20</v>
      </c>
      <c r="C180" s="92">
        <v>10</v>
      </c>
      <c r="D180" s="48"/>
      <c r="E180" s="48">
        <v>1.7270000000000001</v>
      </c>
      <c r="F180" s="48">
        <v>3.2269999999999999</v>
      </c>
      <c r="G180" s="48">
        <v>4.3250000000000002</v>
      </c>
      <c r="H180" s="48">
        <v>0.19491787999999999</v>
      </c>
      <c r="I180" s="48">
        <v>0</v>
      </c>
      <c r="J180" s="52">
        <v>0</v>
      </c>
    </row>
    <row r="181" spans="1:10" x14ac:dyDescent="0.2">
      <c r="A181" s="85"/>
      <c r="B181" s="53" t="s">
        <v>21</v>
      </c>
      <c r="C181" s="89"/>
      <c r="D181" s="48">
        <v>887</v>
      </c>
      <c r="E181" s="48">
        <v>1.7430000000000001</v>
      </c>
      <c r="F181" s="48">
        <v>3.3610000000000002</v>
      </c>
      <c r="G181" s="48">
        <v>4.5449999999999999</v>
      </c>
      <c r="H181" s="48">
        <v>0.16631955000000001</v>
      </c>
      <c r="I181" s="48">
        <v>739.47456109999996</v>
      </c>
      <c r="J181" s="52" t="e">
        <v>#DIV/0!</v>
      </c>
    </row>
    <row r="182" spans="1:10" x14ac:dyDescent="0.2">
      <c r="A182" s="87"/>
      <c r="B182" s="56" t="s">
        <v>22</v>
      </c>
      <c r="C182" s="90"/>
      <c r="D182" s="57"/>
      <c r="E182" s="57">
        <v>1.7250000000000001</v>
      </c>
      <c r="F182" s="57">
        <v>3.5179999999999998</v>
      </c>
      <c r="G182" s="57">
        <v>4.6349999999999998</v>
      </c>
      <c r="H182" s="57">
        <v>0.17282547000000001</v>
      </c>
      <c r="I182" s="57">
        <v>0</v>
      </c>
      <c r="J182" s="49" t="e">
        <v>#DIV/0!</v>
      </c>
    </row>
    <row r="183" spans="1:10" x14ac:dyDescent="0.2">
      <c r="A183" s="91" t="s">
        <v>9</v>
      </c>
      <c r="B183" s="53" t="s">
        <v>20</v>
      </c>
      <c r="C183" s="92">
        <v>10</v>
      </c>
      <c r="D183" s="48"/>
      <c r="E183" s="48">
        <v>1.73</v>
      </c>
      <c r="F183" s="48">
        <v>3.5840000000000001</v>
      </c>
      <c r="G183" s="48">
        <v>4.8609999999999998</v>
      </c>
      <c r="H183" s="48">
        <v>0.12639508999999999</v>
      </c>
      <c r="I183" s="48">
        <v>0</v>
      </c>
      <c r="J183" s="52">
        <v>0</v>
      </c>
    </row>
    <row r="184" spans="1:10" x14ac:dyDescent="0.2">
      <c r="A184" s="85"/>
      <c r="B184" s="53" t="s">
        <v>21</v>
      </c>
      <c r="C184" s="89"/>
      <c r="D184" s="48">
        <v>963</v>
      </c>
      <c r="E184" s="48">
        <v>1.736</v>
      </c>
      <c r="F184" s="48">
        <v>3.1789999999999998</v>
      </c>
      <c r="G184" s="48">
        <v>4.51</v>
      </c>
      <c r="H184" s="48">
        <v>0.12739855</v>
      </c>
      <c r="I184" s="48">
        <v>840.31519349999996</v>
      </c>
      <c r="J184" s="52" t="e">
        <v>#DIV/0!</v>
      </c>
    </row>
    <row r="185" spans="1:10" x14ac:dyDescent="0.2">
      <c r="A185" s="87"/>
      <c r="B185" s="56" t="s">
        <v>22</v>
      </c>
      <c r="C185" s="90"/>
      <c r="D185" s="57"/>
      <c r="E185" s="57">
        <v>1.7250000000000001</v>
      </c>
      <c r="F185" s="57">
        <v>3.5630000000000002</v>
      </c>
      <c r="G185" s="57">
        <v>4.782</v>
      </c>
      <c r="H185" s="57">
        <v>0.14201516</v>
      </c>
      <c r="I185" s="57">
        <v>0</v>
      </c>
      <c r="J185" s="49" t="e">
        <v>#DIV/0!</v>
      </c>
    </row>
    <row r="186" spans="1:10" x14ac:dyDescent="0.2">
      <c r="A186" s="91" t="s">
        <v>10</v>
      </c>
      <c r="B186" s="53" t="s">
        <v>20</v>
      </c>
      <c r="C186" s="92">
        <v>10</v>
      </c>
      <c r="D186" s="48"/>
      <c r="E186" s="48">
        <v>1.722</v>
      </c>
      <c r="F186" s="48">
        <v>3.3460000000000001</v>
      </c>
      <c r="G186" s="48">
        <v>4.63</v>
      </c>
      <c r="H186" s="48">
        <v>0.13090257</v>
      </c>
      <c r="I186" s="48">
        <v>0</v>
      </c>
      <c r="J186" s="52">
        <v>0</v>
      </c>
    </row>
    <row r="187" spans="1:10" x14ac:dyDescent="0.2">
      <c r="A187" s="85"/>
      <c r="B187" s="53" t="s">
        <v>21</v>
      </c>
      <c r="C187" s="89"/>
      <c r="D187" s="48">
        <v>954</v>
      </c>
      <c r="E187" s="48">
        <v>1.7310000000000001</v>
      </c>
      <c r="F187" s="48">
        <v>3.379</v>
      </c>
      <c r="G187" s="48">
        <v>4.7140000000000004</v>
      </c>
      <c r="H187" s="48">
        <v>0.11719444</v>
      </c>
      <c r="I187" s="48">
        <v>842.19650779999995</v>
      </c>
      <c r="J187" s="52" t="e">
        <v>#DIV/0!</v>
      </c>
    </row>
    <row r="188" spans="1:10" x14ac:dyDescent="0.2">
      <c r="A188" s="87"/>
      <c r="B188" s="56" t="s">
        <v>22</v>
      </c>
      <c r="C188" s="90"/>
      <c r="D188" s="57"/>
      <c r="E188" s="57">
        <v>1.7250000000000001</v>
      </c>
      <c r="F188" s="57">
        <v>3.3519999999999999</v>
      </c>
      <c r="G188" s="57">
        <v>4.6529999999999996</v>
      </c>
      <c r="H188" s="57">
        <v>0.12649165000000001</v>
      </c>
      <c r="I188" s="57">
        <v>0</v>
      </c>
      <c r="J188" s="49" t="e">
        <v>#DIV/0!</v>
      </c>
    </row>
    <row r="189" spans="1:10" x14ac:dyDescent="0.2">
      <c r="A189" s="91" t="s">
        <v>11</v>
      </c>
      <c r="B189" s="53" t="s">
        <v>20</v>
      </c>
      <c r="C189" s="92">
        <v>10</v>
      </c>
      <c r="D189" s="48"/>
      <c r="E189" s="48">
        <v>1.7170000000000001</v>
      </c>
      <c r="F189" s="48">
        <v>3.3370000000000002</v>
      </c>
      <c r="G189" s="48">
        <v>4.6449999999999996</v>
      </c>
      <c r="H189" s="48">
        <v>0.12256518</v>
      </c>
      <c r="I189" s="48">
        <v>0</v>
      </c>
      <c r="J189" s="52">
        <v>0</v>
      </c>
    </row>
    <row r="190" spans="1:10" x14ac:dyDescent="0.2">
      <c r="A190" s="85"/>
      <c r="B190" s="53" t="s">
        <v>21</v>
      </c>
      <c r="C190" s="89"/>
      <c r="D190" s="48">
        <v>953</v>
      </c>
      <c r="E190" s="48">
        <v>1.7210000000000001</v>
      </c>
      <c r="F190" s="48">
        <v>3.3610000000000002</v>
      </c>
      <c r="G190" s="48">
        <v>4.9619999999999997</v>
      </c>
      <c r="H190" s="48">
        <v>3.5703659999999998E-2</v>
      </c>
      <c r="I190" s="48">
        <v>918.97441240000001</v>
      </c>
      <c r="J190" s="52" t="e">
        <v>#DIV/0!</v>
      </c>
    </row>
    <row r="191" spans="1:10" x14ac:dyDescent="0.2">
      <c r="A191" s="87"/>
      <c r="B191" s="56" t="s">
        <v>22</v>
      </c>
      <c r="C191" s="90"/>
      <c r="D191" s="57"/>
      <c r="E191" s="57">
        <v>1.728</v>
      </c>
      <c r="F191" s="57">
        <v>3.278</v>
      </c>
      <c r="G191" s="57">
        <v>4.5960000000000001</v>
      </c>
      <c r="H191" s="57">
        <v>0.12507626999999999</v>
      </c>
      <c r="I191" s="57">
        <v>0</v>
      </c>
      <c r="J191" s="49" t="e">
        <v>#DIV/0!</v>
      </c>
    </row>
    <row r="192" spans="1:10" x14ac:dyDescent="0.2">
      <c r="A192" s="91" t="s">
        <v>12</v>
      </c>
      <c r="B192" s="53" t="s">
        <v>20</v>
      </c>
      <c r="C192" s="92">
        <v>10</v>
      </c>
      <c r="D192" s="48"/>
      <c r="E192" s="48">
        <v>1.722</v>
      </c>
      <c r="F192" s="48">
        <v>2.1859999999999999</v>
      </c>
      <c r="G192" s="48">
        <v>4.4809999999999999</v>
      </c>
      <c r="H192" s="48">
        <v>-0.26212259999999998</v>
      </c>
      <c r="I192" s="48">
        <v>0</v>
      </c>
      <c r="J192" s="52">
        <v>0</v>
      </c>
    </row>
    <row r="193" spans="1:10" x14ac:dyDescent="0.2">
      <c r="A193" s="85"/>
      <c r="B193" s="53" t="s">
        <v>21</v>
      </c>
      <c r="C193" s="89"/>
      <c r="D193" s="48">
        <v>471</v>
      </c>
      <c r="E193" s="48">
        <v>1.7270000000000001</v>
      </c>
      <c r="F193" s="48">
        <v>3.2080000000000002</v>
      </c>
      <c r="G193" s="48">
        <v>4.5739999999999998</v>
      </c>
      <c r="H193" s="48">
        <v>0.11253117</v>
      </c>
      <c r="I193" s="48">
        <v>417.997818</v>
      </c>
      <c r="J193" s="52" t="e">
        <v>#DIV/0!</v>
      </c>
    </row>
    <row r="194" spans="1:10" x14ac:dyDescent="0.2">
      <c r="A194" s="87"/>
      <c r="B194" s="56" t="s">
        <v>22</v>
      </c>
      <c r="C194" s="90"/>
      <c r="D194" s="57"/>
      <c r="E194" s="57">
        <v>1.706</v>
      </c>
      <c r="F194" s="57">
        <v>3.109</v>
      </c>
      <c r="G194" s="57">
        <v>4.3920000000000003</v>
      </c>
      <c r="H194" s="57">
        <v>0.13605660999999999</v>
      </c>
      <c r="I194" s="57">
        <v>0</v>
      </c>
      <c r="J194" s="49" t="e">
        <v>#DIV/0!</v>
      </c>
    </row>
    <row r="195" spans="1:10" x14ac:dyDescent="0.2">
      <c r="A195" s="91" t="s">
        <v>13</v>
      </c>
      <c r="B195" s="53" t="s">
        <v>20</v>
      </c>
      <c r="C195" s="92">
        <v>10</v>
      </c>
      <c r="D195" s="48"/>
      <c r="E195" s="48"/>
      <c r="F195" s="48"/>
      <c r="G195" s="48"/>
      <c r="H195" s="48" t="e">
        <v>#DIV/0!</v>
      </c>
      <c r="I195" s="48" t="e">
        <v>#DIV/0!</v>
      </c>
      <c r="J195" s="52" t="e">
        <v>#DIV/0!</v>
      </c>
    </row>
    <row r="196" spans="1:10" x14ac:dyDescent="0.2">
      <c r="A196" s="85"/>
      <c r="B196" s="53" t="s">
        <v>21</v>
      </c>
      <c r="C196" s="89"/>
      <c r="D196" s="48"/>
      <c r="E196" s="48"/>
      <c r="F196" s="48"/>
      <c r="G196" s="48"/>
      <c r="H196" s="48" t="e">
        <v>#DIV/0!</v>
      </c>
      <c r="I196" s="48" t="e">
        <v>#DIV/0!</v>
      </c>
      <c r="J196" s="52" t="e">
        <v>#DIV/0!</v>
      </c>
    </row>
    <row r="197" spans="1:10" x14ac:dyDescent="0.2">
      <c r="A197" s="87"/>
      <c r="B197" s="56" t="s">
        <v>22</v>
      </c>
      <c r="C197" s="90"/>
      <c r="D197" s="57"/>
      <c r="E197" s="57"/>
      <c r="F197" s="57"/>
      <c r="G197" s="57"/>
      <c r="H197" s="57" t="e">
        <v>#DIV/0!</v>
      </c>
      <c r="I197" s="57" t="e">
        <v>#DIV/0!</v>
      </c>
      <c r="J197" s="49" t="e">
        <v>#DIV/0!</v>
      </c>
    </row>
    <row r="198" spans="1:10" x14ac:dyDescent="0.2">
      <c r="A198" s="91" t="s">
        <v>14</v>
      </c>
      <c r="B198" s="53" t="s">
        <v>20</v>
      </c>
      <c r="C198" s="92">
        <v>10</v>
      </c>
      <c r="D198" s="48"/>
      <c r="E198" s="48"/>
      <c r="F198" s="48"/>
      <c r="G198" s="48"/>
      <c r="H198" s="48" t="e">
        <v>#DIV/0!</v>
      </c>
      <c r="I198" s="48" t="e">
        <v>#DIV/0!</v>
      </c>
      <c r="J198" s="52" t="e">
        <v>#DIV/0!</v>
      </c>
    </row>
    <row r="199" spans="1:10" x14ac:dyDescent="0.2">
      <c r="A199" s="85"/>
      <c r="B199" s="53" t="s">
        <v>21</v>
      </c>
      <c r="C199" s="89"/>
      <c r="D199" s="48"/>
      <c r="E199" s="48"/>
      <c r="F199" s="48"/>
      <c r="G199" s="48"/>
      <c r="H199" s="48" t="e">
        <v>#DIV/0!</v>
      </c>
      <c r="I199" s="48" t="e">
        <v>#DIV/0!</v>
      </c>
      <c r="J199" s="52" t="e">
        <v>#DIV/0!</v>
      </c>
    </row>
    <row r="200" spans="1:10" ht="16" thickBot="1" x14ac:dyDescent="0.25">
      <c r="A200" s="93"/>
      <c r="B200" s="58" t="s">
        <v>22</v>
      </c>
      <c r="C200" s="94"/>
      <c r="D200" s="59"/>
      <c r="E200" s="59"/>
      <c r="F200" s="59"/>
      <c r="G200" s="59"/>
      <c r="H200" s="59" t="e">
        <v>#DIV/0!</v>
      </c>
      <c r="I200" s="59" t="e">
        <v>#DIV/0!</v>
      </c>
      <c r="J200" s="50" t="e">
        <v>#DIV/0!</v>
      </c>
    </row>
    <row r="201" spans="1:10" ht="16" thickBot="1" x14ac:dyDescent="0.25">
      <c r="A201" s="60" t="s">
        <v>1</v>
      </c>
      <c r="B201" s="61"/>
      <c r="C201" s="62"/>
      <c r="D201" s="63" t="s">
        <v>35</v>
      </c>
      <c r="E201" s="64"/>
      <c r="F201" s="58" t="s">
        <v>0</v>
      </c>
      <c r="G201" s="18">
        <v>44180</v>
      </c>
      <c r="H201" s="65" t="s">
        <v>24</v>
      </c>
      <c r="I201" s="66"/>
      <c r="J201" s="49">
        <v>75</v>
      </c>
    </row>
    <row r="202" spans="1:10" ht="16" thickBot="1" x14ac:dyDescent="0.25">
      <c r="A202" s="67" t="s">
        <v>2</v>
      </c>
      <c r="B202" s="68"/>
      <c r="C202" s="69"/>
      <c r="D202" s="70"/>
      <c r="E202" s="71"/>
      <c r="F202" s="72"/>
      <c r="G202" s="73"/>
      <c r="H202" s="74" t="s">
        <v>25</v>
      </c>
      <c r="I202" s="75"/>
      <c r="J202" s="49">
        <v>32</v>
      </c>
    </row>
    <row r="203" spans="1:10" ht="16" thickBot="1" x14ac:dyDescent="0.25">
      <c r="A203" s="76" t="s">
        <v>27</v>
      </c>
      <c r="B203" s="77"/>
      <c r="C203" s="78"/>
      <c r="D203" s="79" t="s">
        <v>32</v>
      </c>
      <c r="E203" s="80"/>
      <c r="F203" s="48" t="s">
        <v>30</v>
      </c>
      <c r="G203" s="48">
        <v>3.81</v>
      </c>
      <c r="H203" s="81" t="s">
        <v>26</v>
      </c>
      <c r="I203" s="82"/>
      <c r="J203" s="50">
        <v>48</v>
      </c>
    </row>
    <row r="204" spans="1:10" x14ac:dyDescent="0.2">
      <c r="A204" s="83"/>
      <c r="B204" s="84"/>
      <c r="C204" s="51" t="s">
        <v>29</v>
      </c>
      <c r="D204" s="51" t="s">
        <v>19</v>
      </c>
      <c r="E204" s="51" t="s">
        <v>15</v>
      </c>
      <c r="F204" s="51" t="s">
        <v>18</v>
      </c>
      <c r="G204" s="51" t="s">
        <v>17</v>
      </c>
      <c r="H204" s="48" t="s">
        <v>28</v>
      </c>
      <c r="I204" s="48" t="s">
        <v>16</v>
      </c>
      <c r="J204" s="52" t="s">
        <v>23</v>
      </c>
    </row>
    <row r="205" spans="1:10" x14ac:dyDescent="0.2">
      <c r="A205" s="86" t="s">
        <v>3</v>
      </c>
      <c r="B205" s="53" t="s">
        <v>20</v>
      </c>
      <c r="C205" s="88">
        <v>10</v>
      </c>
      <c r="D205" s="54"/>
      <c r="E205" s="54">
        <v>1.73</v>
      </c>
      <c r="F205" s="54">
        <v>3.226</v>
      </c>
      <c r="G205" s="54">
        <v>4.0720000000000001</v>
      </c>
      <c r="H205" s="54">
        <v>0.27402356</v>
      </c>
      <c r="I205" s="54">
        <v>0</v>
      </c>
      <c r="J205" s="55">
        <v>0</v>
      </c>
    </row>
    <row r="206" spans="1:10" x14ac:dyDescent="0.2">
      <c r="A206" s="85"/>
      <c r="B206" s="53" t="s">
        <v>21</v>
      </c>
      <c r="C206" s="89"/>
      <c r="D206" s="48">
        <v>647</v>
      </c>
      <c r="E206" s="48">
        <v>1.732</v>
      </c>
      <c r="F206" s="48">
        <v>3.774</v>
      </c>
      <c r="G206" s="48">
        <v>4.5209999999999999</v>
      </c>
      <c r="H206" s="48">
        <v>0.26099629000000002</v>
      </c>
      <c r="I206" s="48">
        <v>478.13540010000003</v>
      </c>
      <c r="J206" s="52" t="e">
        <v>#DIV/0!</v>
      </c>
    </row>
    <row r="207" spans="1:10" x14ac:dyDescent="0.2">
      <c r="A207" s="87"/>
      <c r="B207" s="56" t="s">
        <v>22</v>
      </c>
      <c r="C207" s="90"/>
      <c r="D207" s="57"/>
      <c r="E207" s="57">
        <v>1.722</v>
      </c>
      <c r="F207" s="57">
        <v>3.4980000000000002</v>
      </c>
      <c r="G207" s="57">
        <v>4.2480000000000002</v>
      </c>
      <c r="H207" s="57">
        <v>0.27787307</v>
      </c>
      <c r="I207" s="57">
        <v>0</v>
      </c>
      <c r="J207" s="49" t="e">
        <v>#DIV/0!</v>
      </c>
    </row>
    <row r="208" spans="1:10" x14ac:dyDescent="0.2">
      <c r="A208" s="91" t="s">
        <v>4</v>
      </c>
      <c r="B208" s="53" t="s">
        <v>20</v>
      </c>
      <c r="C208" s="92">
        <v>10</v>
      </c>
      <c r="D208" s="48"/>
      <c r="E208" s="48">
        <v>1.722</v>
      </c>
      <c r="F208" s="48">
        <v>3.504</v>
      </c>
      <c r="G208" s="48">
        <v>4.4480000000000004</v>
      </c>
      <c r="H208" s="48">
        <v>0.22203196</v>
      </c>
      <c r="I208" s="48">
        <v>0</v>
      </c>
      <c r="J208" s="52">
        <v>0</v>
      </c>
    </row>
    <row r="209" spans="1:10" x14ac:dyDescent="0.2">
      <c r="A209" s="85"/>
      <c r="B209" s="53" t="s">
        <v>21</v>
      </c>
      <c r="C209" s="89"/>
      <c r="D209" s="48">
        <v>727</v>
      </c>
      <c r="E209" s="48">
        <v>1.7410000000000001</v>
      </c>
      <c r="F209" s="48">
        <v>3.0569999999999999</v>
      </c>
      <c r="G209" s="48">
        <v>4.1440000000000001</v>
      </c>
      <c r="H209" s="48">
        <v>0.21393523</v>
      </c>
      <c r="I209" s="48">
        <v>571.46908729999996</v>
      </c>
      <c r="J209" s="52" t="e">
        <v>#DIV/0!</v>
      </c>
    </row>
    <row r="210" spans="1:10" x14ac:dyDescent="0.2">
      <c r="A210" s="87"/>
      <c r="B210" s="56" t="s">
        <v>22</v>
      </c>
      <c r="C210" s="90"/>
      <c r="D210" s="57"/>
      <c r="E210" s="57">
        <v>1.732</v>
      </c>
      <c r="F210" s="57">
        <v>3.3319999999999999</v>
      </c>
      <c r="G210" s="57">
        <v>4.3550000000000004</v>
      </c>
      <c r="H210" s="57">
        <v>0.21278511</v>
      </c>
      <c r="I210" s="57">
        <v>0</v>
      </c>
      <c r="J210" s="49" t="e">
        <v>#DIV/0!</v>
      </c>
    </row>
    <row r="211" spans="1:10" x14ac:dyDescent="0.2">
      <c r="A211" s="91" t="s">
        <v>5</v>
      </c>
      <c r="B211" s="53" t="s">
        <v>20</v>
      </c>
      <c r="C211" s="92">
        <v>10</v>
      </c>
      <c r="D211" s="48"/>
      <c r="E211" s="48">
        <v>1.7330000000000001</v>
      </c>
      <c r="F211" s="48">
        <v>3.3359999999999999</v>
      </c>
      <c r="G211" s="48">
        <v>4.319</v>
      </c>
      <c r="H211" s="48">
        <v>0.22482014</v>
      </c>
      <c r="I211" s="48">
        <v>0</v>
      </c>
      <c r="J211" s="52">
        <v>0</v>
      </c>
    </row>
    <row r="212" spans="1:10" x14ac:dyDescent="0.2">
      <c r="A212" s="85"/>
      <c r="B212" s="53" t="s">
        <v>21</v>
      </c>
      <c r="C212" s="89"/>
      <c r="D212" s="48">
        <v>678</v>
      </c>
      <c r="E212" s="48">
        <v>1.7290000000000001</v>
      </c>
      <c r="F212" s="48">
        <v>3.53</v>
      </c>
      <c r="G212" s="48">
        <v>4.4530000000000003</v>
      </c>
      <c r="H212" s="48">
        <v>0.22832860999999999</v>
      </c>
      <c r="I212" s="48">
        <v>523.19320110000001</v>
      </c>
      <c r="J212" s="52" t="e">
        <v>#DIV/0!</v>
      </c>
    </row>
    <row r="213" spans="1:10" x14ac:dyDescent="0.2">
      <c r="A213" s="87"/>
      <c r="B213" s="56" t="s">
        <v>22</v>
      </c>
      <c r="C213" s="90"/>
      <c r="D213" s="57"/>
      <c r="E213" s="57">
        <v>1.728</v>
      </c>
      <c r="F213" s="57">
        <v>3.9340000000000002</v>
      </c>
      <c r="G213" s="57">
        <v>4.7549999999999999</v>
      </c>
      <c r="H213" s="57">
        <v>0.23055413999999999</v>
      </c>
      <c r="I213" s="57">
        <v>0</v>
      </c>
      <c r="J213" s="49" t="e">
        <v>#DIV/0!</v>
      </c>
    </row>
    <row r="214" spans="1:10" x14ac:dyDescent="0.2">
      <c r="A214" s="91" t="s">
        <v>6</v>
      </c>
      <c r="B214" s="53" t="s">
        <v>20</v>
      </c>
      <c r="C214" s="92">
        <v>10</v>
      </c>
      <c r="D214" s="48"/>
      <c r="E214" s="48">
        <v>1.704</v>
      </c>
      <c r="F214" s="48">
        <v>3.1070000000000002</v>
      </c>
      <c r="G214" s="48">
        <v>4.2510000000000003</v>
      </c>
      <c r="H214" s="48">
        <v>0.18023817</v>
      </c>
      <c r="I214" s="48">
        <v>0</v>
      </c>
      <c r="J214" s="52">
        <v>0</v>
      </c>
    </row>
    <row r="215" spans="1:10" x14ac:dyDescent="0.2">
      <c r="A215" s="85"/>
      <c r="B215" s="53" t="s">
        <v>21</v>
      </c>
      <c r="C215" s="89"/>
      <c r="D215" s="48">
        <v>843</v>
      </c>
      <c r="E215" s="48">
        <v>1.718</v>
      </c>
      <c r="F215" s="48">
        <v>3.32</v>
      </c>
      <c r="G215" s="48">
        <v>4.4059999999999997</v>
      </c>
      <c r="H215" s="48">
        <v>0.19036144999999999</v>
      </c>
      <c r="I215" s="48">
        <v>682.52530119999994</v>
      </c>
      <c r="J215" s="52" t="e">
        <v>#DIV/0!</v>
      </c>
    </row>
    <row r="216" spans="1:10" x14ac:dyDescent="0.2">
      <c r="A216" s="87"/>
      <c r="B216" s="56" t="s">
        <v>22</v>
      </c>
      <c r="C216" s="90"/>
      <c r="D216" s="57"/>
      <c r="E216" s="57">
        <v>1.7350000000000001</v>
      </c>
      <c r="F216" s="57">
        <v>3.9830000000000001</v>
      </c>
      <c r="G216" s="57">
        <v>5.0439999999999996</v>
      </c>
      <c r="H216" s="57">
        <v>0.16921918</v>
      </c>
      <c r="I216" s="57">
        <v>0</v>
      </c>
      <c r="J216" s="49" t="e">
        <v>#DIV/0!</v>
      </c>
    </row>
    <row r="217" spans="1:10" x14ac:dyDescent="0.2">
      <c r="A217" s="91" t="s">
        <v>7</v>
      </c>
      <c r="B217" s="53" t="s">
        <v>20</v>
      </c>
      <c r="C217" s="92">
        <v>10</v>
      </c>
      <c r="D217" s="48"/>
      <c r="E217" s="48">
        <v>1.736</v>
      </c>
      <c r="F217" s="48">
        <v>3.206</v>
      </c>
      <c r="G217" s="48">
        <v>4.3869999999999996</v>
      </c>
      <c r="H217" s="48">
        <v>0.17311291000000001</v>
      </c>
      <c r="I217" s="48">
        <v>0</v>
      </c>
      <c r="J217" s="52">
        <v>0</v>
      </c>
    </row>
    <row r="218" spans="1:10" x14ac:dyDescent="0.2">
      <c r="A218" s="85"/>
      <c r="B218" s="53" t="s">
        <v>21</v>
      </c>
      <c r="C218" s="89"/>
      <c r="D218" s="48">
        <v>684</v>
      </c>
      <c r="E218" s="48">
        <v>1.72</v>
      </c>
      <c r="F218" s="48">
        <v>3.5539999999999998</v>
      </c>
      <c r="G218" s="48">
        <v>4.6660000000000004</v>
      </c>
      <c r="H218" s="48">
        <v>0.17107485</v>
      </c>
      <c r="I218" s="48">
        <v>566.98480589999997</v>
      </c>
      <c r="J218" s="52" t="e">
        <v>#DIV/0!</v>
      </c>
    </row>
    <row r="219" spans="1:10" x14ac:dyDescent="0.2">
      <c r="A219" s="87"/>
      <c r="B219" s="56" t="s">
        <v>22</v>
      </c>
      <c r="C219" s="90"/>
      <c r="D219" s="57"/>
      <c r="E219" s="57">
        <v>1.7250000000000001</v>
      </c>
      <c r="F219" s="57">
        <v>3.3660000000000001</v>
      </c>
      <c r="G219" s="57">
        <v>4.46</v>
      </c>
      <c r="H219" s="57">
        <v>0.18746286000000001</v>
      </c>
      <c r="I219" s="57">
        <v>0</v>
      </c>
      <c r="J219" s="49" t="e">
        <v>#DIV/0!</v>
      </c>
    </row>
    <row r="220" spans="1:10" x14ac:dyDescent="0.2">
      <c r="A220" s="91" t="s">
        <v>8</v>
      </c>
      <c r="B220" s="53" t="s">
        <v>20</v>
      </c>
      <c r="C220" s="92">
        <v>10</v>
      </c>
      <c r="D220" s="48"/>
      <c r="E220" s="48">
        <v>1.734</v>
      </c>
      <c r="F220" s="48">
        <v>3.532</v>
      </c>
      <c r="G220" s="48">
        <v>4.6909999999999998</v>
      </c>
      <c r="H220" s="48">
        <v>0.16279727999999999</v>
      </c>
      <c r="I220" s="48">
        <v>0</v>
      </c>
      <c r="J220" s="52">
        <v>0</v>
      </c>
    </row>
    <row r="221" spans="1:10" x14ac:dyDescent="0.2">
      <c r="A221" s="85"/>
      <c r="B221" s="53" t="s">
        <v>21</v>
      </c>
      <c r="C221" s="89"/>
      <c r="D221" s="48">
        <v>957</v>
      </c>
      <c r="E221" s="48">
        <v>1.7370000000000001</v>
      </c>
      <c r="F221" s="48">
        <v>3.113</v>
      </c>
      <c r="G221" s="48">
        <v>4.399</v>
      </c>
      <c r="H221" s="48">
        <v>0.14487633</v>
      </c>
      <c r="I221" s="48">
        <v>818.35335689999999</v>
      </c>
      <c r="J221" s="52" t="e">
        <v>#DIV/0!</v>
      </c>
    </row>
    <row r="222" spans="1:10" x14ac:dyDescent="0.2">
      <c r="A222" s="87"/>
      <c r="B222" s="56" t="s">
        <v>22</v>
      </c>
      <c r="C222" s="90"/>
      <c r="D222" s="57"/>
      <c r="E222" s="57">
        <v>1.7290000000000001</v>
      </c>
      <c r="F222" s="57">
        <v>3.1640000000000001</v>
      </c>
      <c r="G222" s="57">
        <v>4.3819999999999997</v>
      </c>
      <c r="H222" s="57">
        <v>0.16150442000000001</v>
      </c>
      <c r="I222" s="57">
        <v>0</v>
      </c>
      <c r="J222" s="49" t="e">
        <v>#DIV/0!</v>
      </c>
    </row>
    <row r="223" spans="1:10" x14ac:dyDescent="0.2">
      <c r="A223" s="91" t="s">
        <v>9</v>
      </c>
      <c r="B223" s="53" t="s">
        <v>20</v>
      </c>
      <c r="C223" s="92">
        <v>10</v>
      </c>
      <c r="D223" s="48"/>
      <c r="E223" s="48">
        <v>1.7190000000000001</v>
      </c>
      <c r="F223" s="48">
        <v>3.9319999999999999</v>
      </c>
      <c r="G223" s="48">
        <v>5.2279999999999998</v>
      </c>
      <c r="H223" s="48">
        <v>0.10757884</v>
      </c>
      <c r="I223" s="48">
        <v>0</v>
      </c>
      <c r="J223" s="52">
        <v>0</v>
      </c>
    </row>
    <row r="224" spans="1:10" x14ac:dyDescent="0.2">
      <c r="A224" s="85"/>
      <c r="B224" s="53" t="s">
        <v>21</v>
      </c>
      <c r="C224" s="89"/>
      <c r="D224" s="48">
        <v>873</v>
      </c>
      <c r="E224" s="48">
        <v>1.7270000000000001</v>
      </c>
      <c r="F224" s="48">
        <v>3.444</v>
      </c>
      <c r="G224" s="48">
        <v>4.7290000000000001</v>
      </c>
      <c r="H224" s="48">
        <v>0.12833913999999999</v>
      </c>
      <c r="I224" s="48">
        <v>760.9599303</v>
      </c>
      <c r="J224" s="52" t="e">
        <v>#DIV/0!</v>
      </c>
    </row>
    <row r="225" spans="1:10" x14ac:dyDescent="0.2">
      <c r="A225" s="87"/>
      <c r="B225" s="56" t="s">
        <v>22</v>
      </c>
      <c r="C225" s="90"/>
      <c r="D225" s="57"/>
      <c r="E225" s="57">
        <v>1.7330000000000001</v>
      </c>
      <c r="F225" s="57">
        <v>3.5649999999999999</v>
      </c>
      <c r="G225" s="57">
        <v>4.9930000000000003</v>
      </c>
      <c r="H225" s="57">
        <v>8.5554000000000005E-2</v>
      </c>
      <c r="I225" s="57">
        <v>0</v>
      </c>
      <c r="J225" s="49" t="e">
        <v>#DIV/0!</v>
      </c>
    </row>
    <row r="226" spans="1:10" x14ac:dyDescent="0.2">
      <c r="A226" s="91" t="s">
        <v>10</v>
      </c>
      <c r="B226" s="53" t="s">
        <v>20</v>
      </c>
      <c r="C226" s="92">
        <v>5</v>
      </c>
      <c r="D226" s="48"/>
      <c r="E226" s="48">
        <v>1.742</v>
      </c>
      <c r="F226" s="48">
        <v>3.7509999999999999</v>
      </c>
      <c r="G226" s="48">
        <v>5.0519999999999996</v>
      </c>
      <c r="H226" s="48">
        <v>0.11756865</v>
      </c>
      <c r="I226" s="48">
        <v>0</v>
      </c>
      <c r="J226" s="52">
        <v>0</v>
      </c>
    </row>
    <row r="227" spans="1:10" x14ac:dyDescent="0.2">
      <c r="A227" s="85"/>
      <c r="B227" s="53" t="s">
        <v>21</v>
      </c>
      <c r="C227" s="89"/>
      <c r="D227" s="48">
        <v>504</v>
      </c>
      <c r="E227" s="48">
        <v>1.7410000000000001</v>
      </c>
      <c r="F227" s="48">
        <v>3.27</v>
      </c>
      <c r="G227" s="48">
        <v>4.6280000000000001</v>
      </c>
      <c r="H227" s="48">
        <v>0.11712538</v>
      </c>
      <c r="I227" s="48">
        <v>444.96880729999998</v>
      </c>
      <c r="J227" s="52" t="e">
        <v>#DIV/0!</v>
      </c>
    </row>
    <row r="228" spans="1:10" x14ac:dyDescent="0.2">
      <c r="A228" s="87"/>
      <c r="B228" s="56" t="s">
        <v>22</v>
      </c>
      <c r="C228" s="90"/>
      <c r="D228" s="57"/>
      <c r="E228" s="57">
        <v>1.736</v>
      </c>
      <c r="F228" s="57">
        <v>3.1</v>
      </c>
      <c r="G228" s="57">
        <v>4.4480000000000004</v>
      </c>
      <c r="H228" s="57">
        <v>0.12516129000000001</v>
      </c>
      <c r="I228" s="57">
        <v>0</v>
      </c>
      <c r="J228" s="49" t="e">
        <v>#DIV/0!</v>
      </c>
    </row>
    <row r="229" spans="1:10" x14ac:dyDescent="0.2">
      <c r="A229" s="91" t="s">
        <v>11</v>
      </c>
      <c r="B229" s="53" t="s">
        <v>20</v>
      </c>
      <c r="C229" s="92">
        <v>10</v>
      </c>
      <c r="D229" s="48"/>
      <c r="E229" s="48"/>
      <c r="F229" s="48"/>
      <c r="G229" s="48"/>
      <c r="H229" s="48" t="e">
        <v>#DIV/0!</v>
      </c>
      <c r="I229" s="48" t="e">
        <v>#DIV/0!</v>
      </c>
      <c r="J229" s="52" t="e">
        <v>#DIV/0!</v>
      </c>
    </row>
    <row r="230" spans="1:10" x14ac:dyDescent="0.2">
      <c r="A230" s="85"/>
      <c r="B230" s="53" t="s">
        <v>21</v>
      </c>
      <c r="C230" s="89"/>
      <c r="D230" s="48"/>
      <c r="E230" s="48"/>
      <c r="F230" s="48"/>
      <c r="G230" s="48"/>
      <c r="H230" s="48" t="e">
        <v>#DIV/0!</v>
      </c>
      <c r="I230" s="48" t="e">
        <v>#DIV/0!</v>
      </c>
      <c r="J230" s="52" t="e">
        <v>#DIV/0!</v>
      </c>
    </row>
    <row r="231" spans="1:10" x14ac:dyDescent="0.2">
      <c r="A231" s="87"/>
      <c r="B231" s="56" t="s">
        <v>22</v>
      </c>
      <c r="C231" s="90"/>
      <c r="D231" s="57"/>
      <c r="E231" s="57"/>
      <c r="F231" s="57"/>
      <c r="G231" s="57"/>
      <c r="H231" s="57" t="e">
        <v>#DIV/0!</v>
      </c>
      <c r="I231" s="57" t="e">
        <v>#DIV/0!</v>
      </c>
      <c r="J231" s="49" t="e">
        <v>#DIV/0!</v>
      </c>
    </row>
    <row r="232" spans="1:10" x14ac:dyDescent="0.2">
      <c r="A232" s="91" t="s">
        <v>12</v>
      </c>
      <c r="B232" s="53" t="s">
        <v>20</v>
      </c>
      <c r="C232" s="92">
        <v>10</v>
      </c>
      <c r="D232" s="48"/>
      <c r="E232" s="48"/>
      <c r="F232" s="48"/>
      <c r="G232" s="48"/>
      <c r="H232" s="48" t="e">
        <v>#DIV/0!</v>
      </c>
      <c r="I232" s="48" t="e">
        <v>#DIV/0!</v>
      </c>
      <c r="J232" s="52" t="e">
        <v>#DIV/0!</v>
      </c>
    </row>
    <row r="233" spans="1:10" x14ac:dyDescent="0.2">
      <c r="A233" s="85"/>
      <c r="B233" s="53" t="s">
        <v>21</v>
      </c>
      <c r="C233" s="89"/>
      <c r="D233" s="48"/>
      <c r="E233" s="48"/>
      <c r="F233" s="48"/>
      <c r="G233" s="48"/>
      <c r="H233" s="48" t="e">
        <v>#DIV/0!</v>
      </c>
      <c r="I233" s="48" t="e">
        <v>#DIV/0!</v>
      </c>
      <c r="J233" s="52" t="e">
        <v>#DIV/0!</v>
      </c>
    </row>
    <row r="234" spans="1:10" x14ac:dyDescent="0.2">
      <c r="A234" s="87"/>
      <c r="B234" s="56" t="s">
        <v>22</v>
      </c>
      <c r="C234" s="90"/>
      <c r="D234" s="57"/>
      <c r="E234" s="57"/>
      <c r="F234" s="57"/>
      <c r="G234" s="57"/>
      <c r="H234" s="57" t="e">
        <v>#DIV/0!</v>
      </c>
      <c r="I234" s="57" t="e">
        <v>#DIV/0!</v>
      </c>
      <c r="J234" s="49" t="e">
        <v>#DIV/0!</v>
      </c>
    </row>
    <row r="235" spans="1:10" x14ac:dyDescent="0.2">
      <c r="A235" s="91" t="s">
        <v>13</v>
      </c>
      <c r="B235" s="53" t="s">
        <v>20</v>
      </c>
      <c r="C235" s="92">
        <v>10</v>
      </c>
      <c r="D235" s="48"/>
      <c r="E235" s="48"/>
      <c r="F235" s="48"/>
      <c r="G235" s="48"/>
      <c r="H235" s="48" t="e">
        <v>#DIV/0!</v>
      </c>
      <c r="I235" s="48" t="e">
        <v>#DIV/0!</v>
      </c>
      <c r="J235" s="52" t="e">
        <v>#DIV/0!</v>
      </c>
    </row>
    <row r="236" spans="1:10" x14ac:dyDescent="0.2">
      <c r="A236" s="85"/>
      <c r="B236" s="53" t="s">
        <v>21</v>
      </c>
      <c r="C236" s="89"/>
      <c r="D236" s="48"/>
      <c r="E236" s="48"/>
      <c r="F236" s="48"/>
      <c r="G236" s="48"/>
      <c r="H236" s="48" t="e">
        <v>#DIV/0!</v>
      </c>
      <c r="I236" s="48" t="e">
        <v>#DIV/0!</v>
      </c>
      <c r="J236" s="52" t="e">
        <v>#DIV/0!</v>
      </c>
    </row>
    <row r="237" spans="1:10" x14ac:dyDescent="0.2">
      <c r="A237" s="87"/>
      <c r="B237" s="56" t="s">
        <v>22</v>
      </c>
      <c r="C237" s="90"/>
      <c r="D237" s="57"/>
      <c r="E237" s="57"/>
      <c r="F237" s="57"/>
      <c r="G237" s="57"/>
      <c r="H237" s="57" t="e">
        <v>#DIV/0!</v>
      </c>
      <c r="I237" s="57" t="e">
        <v>#DIV/0!</v>
      </c>
      <c r="J237" s="49" t="e">
        <v>#DIV/0!</v>
      </c>
    </row>
    <row r="238" spans="1:10" x14ac:dyDescent="0.2">
      <c r="A238" s="91" t="s">
        <v>14</v>
      </c>
      <c r="B238" s="53" t="s">
        <v>20</v>
      </c>
      <c r="C238" s="92">
        <v>10</v>
      </c>
      <c r="D238" s="48"/>
      <c r="E238" s="48"/>
      <c r="F238" s="48"/>
      <c r="G238" s="48"/>
      <c r="H238" s="48" t="e">
        <v>#DIV/0!</v>
      </c>
      <c r="I238" s="48" t="e">
        <v>#DIV/0!</v>
      </c>
      <c r="J238" s="52" t="e">
        <v>#DIV/0!</v>
      </c>
    </row>
    <row r="239" spans="1:10" x14ac:dyDescent="0.2">
      <c r="A239" s="85"/>
      <c r="B239" s="53" t="s">
        <v>21</v>
      </c>
      <c r="C239" s="89"/>
      <c r="D239" s="48"/>
      <c r="E239" s="48"/>
      <c r="F239" s="48"/>
      <c r="G239" s="48"/>
      <c r="H239" s="48" t="e">
        <v>#DIV/0!</v>
      </c>
      <c r="I239" s="48" t="e">
        <v>#DIV/0!</v>
      </c>
      <c r="J239" s="52" t="e">
        <v>#DIV/0!</v>
      </c>
    </row>
    <row r="240" spans="1:10" ht="16" thickBot="1" x14ac:dyDescent="0.25">
      <c r="A240" s="93"/>
      <c r="B240" s="58" t="s">
        <v>22</v>
      </c>
      <c r="C240" s="94"/>
      <c r="D240" s="59"/>
      <c r="E240" s="59"/>
      <c r="F240" s="59"/>
      <c r="G240" s="59"/>
      <c r="H240" s="59" t="e">
        <v>#DIV/0!</v>
      </c>
      <c r="I240" s="59" t="e">
        <v>#DIV/0!</v>
      </c>
      <c r="J240" s="50" t="e">
        <v>#DIV/0!</v>
      </c>
    </row>
    <row r="241" spans="1:10" ht="16" thickBot="1" x14ac:dyDescent="0.25">
      <c r="A241" s="60" t="s">
        <v>1</v>
      </c>
      <c r="B241" s="61"/>
      <c r="C241" s="62"/>
      <c r="D241" s="63" t="s">
        <v>37</v>
      </c>
      <c r="E241" s="64"/>
      <c r="F241" s="58" t="s">
        <v>0</v>
      </c>
      <c r="G241" s="18">
        <v>44180</v>
      </c>
      <c r="H241" s="65" t="s">
        <v>24</v>
      </c>
      <c r="I241" s="66"/>
      <c r="J241" s="49">
        <v>120</v>
      </c>
    </row>
    <row r="242" spans="1:10" ht="16" thickBot="1" x14ac:dyDescent="0.25">
      <c r="A242" s="67" t="s">
        <v>2</v>
      </c>
      <c r="B242" s="68"/>
      <c r="C242" s="69"/>
      <c r="D242" s="70"/>
      <c r="E242" s="71"/>
      <c r="F242" s="72"/>
      <c r="G242" s="73"/>
      <c r="H242" s="74" t="s">
        <v>25</v>
      </c>
      <c r="I242" s="75"/>
      <c r="J242" s="49">
        <v>10</v>
      </c>
    </row>
    <row r="243" spans="1:10" ht="16" thickBot="1" x14ac:dyDescent="0.25">
      <c r="A243" s="76" t="s">
        <v>27</v>
      </c>
      <c r="B243" s="77"/>
      <c r="C243" s="78"/>
      <c r="D243" s="79" t="s">
        <v>33</v>
      </c>
      <c r="E243" s="80"/>
      <c r="F243" s="48" t="s">
        <v>30</v>
      </c>
      <c r="G243" s="48">
        <v>3.81</v>
      </c>
      <c r="H243" s="81" t="s">
        <v>26</v>
      </c>
      <c r="I243" s="82"/>
      <c r="J243" s="50">
        <v>30</v>
      </c>
    </row>
    <row r="244" spans="1:10" x14ac:dyDescent="0.2">
      <c r="A244" s="83"/>
      <c r="B244" s="84"/>
      <c r="C244" s="51" t="s">
        <v>29</v>
      </c>
      <c r="D244" s="51" t="s">
        <v>19</v>
      </c>
      <c r="E244" s="51" t="s">
        <v>15</v>
      </c>
      <c r="F244" s="51" t="s">
        <v>18</v>
      </c>
      <c r="G244" s="51" t="s">
        <v>17</v>
      </c>
      <c r="H244" s="48" t="s">
        <v>28</v>
      </c>
      <c r="I244" s="48" t="s">
        <v>16</v>
      </c>
      <c r="J244" s="52" t="s">
        <v>23</v>
      </c>
    </row>
    <row r="245" spans="1:10" x14ac:dyDescent="0.2">
      <c r="A245" s="86" t="s">
        <v>3</v>
      </c>
      <c r="B245" s="53" t="s">
        <v>20</v>
      </c>
      <c r="C245" s="88">
        <v>10</v>
      </c>
      <c r="D245" s="54"/>
      <c r="E245" s="54">
        <v>2.4359999999999999</v>
      </c>
      <c r="F245" s="54">
        <v>3.6080000000000001</v>
      </c>
      <c r="G245" s="54">
        <v>4.968</v>
      </c>
      <c r="H245" s="54">
        <v>0.29822616000000002</v>
      </c>
      <c r="I245" s="54">
        <v>0</v>
      </c>
      <c r="J245" s="55">
        <v>0</v>
      </c>
    </row>
    <row r="246" spans="1:10" x14ac:dyDescent="0.2">
      <c r="A246" s="85"/>
      <c r="B246" s="53" t="s">
        <v>21</v>
      </c>
      <c r="C246" s="89"/>
      <c r="D246" s="48">
        <v>557</v>
      </c>
      <c r="E246" s="48">
        <v>2.444</v>
      </c>
      <c r="F246" s="48">
        <v>3.714</v>
      </c>
      <c r="G246" s="48">
        <v>5.0519999999999996</v>
      </c>
      <c r="H246" s="48">
        <v>0.29779213999999998</v>
      </c>
      <c r="I246" s="48">
        <v>391.12977919999997</v>
      </c>
      <c r="J246" s="52" t="e">
        <v>#DIV/0!</v>
      </c>
    </row>
    <row r="247" spans="1:10" x14ac:dyDescent="0.2">
      <c r="A247" s="87"/>
      <c r="B247" s="56" t="s">
        <v>22</v>
      </c>
      <c r="C247" s="90"/>
      <c r="D247" s="57"/>
      <c r="E247" s="57">
        <v>2.4540000000000002</v>
      </c>
      <c r="F247" s="57">
        <v>3.2349999999999999</v>
      </c>
      <c r="G247" s="57">
        <v>4.7279999999999998</v>
      </c>
      <c r="H247" s="57">
        <v>0.29706336999999999</v>
      </c>
      <c r="I247" s="57">
        <v>0</v>
      </c>
      <c r="J247" s="49" t="e">
        <v>#DIV/0!</v>
      </c>
    </row>
    <row r="248" spans="1:10" x14ac:dyDescent="0.2">
      <c r="A248" s="91" t="s">
        <v>4</v>
      </c>
      <c r="B248" s="53" t="s">
        <v>20</v>
      </c>
      <c r="C248" s="92">
        <v>10</v>
      </c>
      <c r="D248" s="48"/>
      <c r="E248" s="48">
        <v>2.4180000000000001</v>
      </c>
      <c r="F248" s="48">
        <v>3.0779999999999998</v>
      </c>
      <c r="G248" s="48">
        <v>4.6660000000000004</v>
      </c>
      <c r="H248" s="48">
        <v>0.26965561999999998</v>
      </c>
      <c r="I248" s="48">
        <v>0</v>
      </c>
      <c r="J248" s="52">
        <v>0</v>
      </c>
    </row>
    <row r="249" spans="1:10" x14ac:dyDescent="0.2">
      <c r="A249" s="85"/>
      <c r="B249" s="53" t="s">
        <v>21</v>
      </c>
      <c r="C249" s="89"/>
      <c r="D249" s="48">
        <v>694</v>
      </c>
      <c r="E249" s="48">
        <v>2.4359999999999999</v>
      </c>
      <c r="F249" s="48">
        <v>3.8559999999999999</v>
      </c>
      <c r="G249" s="48">
        <v>5.3360000000000003</v>
      </c>
      <c r="H249" s="48">
        <v>0.24792531000000001</v>
      </c>
      <c r="I249" s="48">
        <v>521.93983400000002</v>
      </c>
      <c r="J249" s="52" t="e">
        <v>#DIV/0!</v>
      </c>
    </row>
    <row r="250" spans="1:10" x14ac:dyDescent="0.2">
      <c r="A250" s="87"/>
      <c r="B250" s="56" t="s">
        <v>22</v>
      </c>
      <c r="C250" s="90"/>
      <c r="D250" s="57"/>
      <c r="E250" s="57">
        <v>2.4420000000000002</v>
      </c>
      <c r="F250" s="57">
        <v>3.6890000000000001</v>
      </c>
      <c r="G250" s="57">
        <v>5.1820000000000004</v>
      </c>
      <c r="H250" s="57">
        <v>0.25725129000000002</v>
      </c>
      <c r="I250" s="57">
        <v>0</v>
      </c>
      <c r="J250" s="49" t="e">
        <v>#DIV/0!</v>
      </c>
    </row>
    <row r="251" spans="1:10" x14ac:dyDescent="0.2">
      <c r="A251" s="91" t="s">
        <v>5</v>
      </c>
      <c r="B251" s="53" t="s">
        <v>20</v>
      </c>
      <c r="C251" s="92">
        <v>10</v>
      </c>
      <c r="D251" s="48"/>
      <c r="E251" s="48">
        <v>2.44</v>
      </c>
      <c r="F251" s="48">
        <v>3.2930000000000001</v>
      </c>
      <c r="G251" s="48">
        <v>4.9160000000000004</v>
      </c>
      <c r="H251" s="48">
        <v>0.24810203</v>
      </c>
      <c r="I251" s="48">
        <v>0</v>
      </c>
      <c r="J251" s="52">
        <v>0</v>
      </c>
    </row>
    <row r="252" spans="1:10" x14ac:dyDescent="0.2">
      <c r="A252" s="85"/>
      <c r="B252" s="53" t="s">
        <v>21</v>
      </c>
      <c r="C252" s="89"/>
      <c r="D252" s="48">
        <v>654</v>
      </c>
      <c r="E252" s="48">
        <v>2.4609999999999999</v>
      </c>
      <c r="F252" s="48">
        <v>3.407</v>
      </c>
      <c r="G252" s="48">
        <v>5.0190000000000001</v>
      </c>
      <c r="H252" s="48">
        <v>0.24919284</v>
      </c>
      <c r="I252" s="48">
        <v>491.02788379999998</v>
      </c>
      <c r="J252" s="52" t="e">
        <v>#DIV/0!</v>
      </c>
    </row>
    <row r="253" spans="1:10" x14ac:dyDescent="0.2">
      <c r="A253" s="87"/>
      <c r="B253" s="56" t="s">
        <v>22</v>
      </c>
      <c r="C253" s="90"/>
      <c r="D253" s="57"/>
      <c r="E253" s="57">
        <v>2.4129999999999998</v>
      </c>
      <c r="F253" s="57">
        <v>3.86</v>
      </c>
      <c r="G253" s="57">
        <v>5.3330000000000002</v>
      </c>
      <c r="H253" s="57">
        <v>0.24352331999999999</v>
      </c>
      <c r="I253" s="57">
        <v>0</v>
      </c>
      <c r="J253" s="49" t="e">
        <v>#DIV/0!</v>
      </c>
    </row>
    <row r="254" spans="1:10" x14ac:dyDescent="0.2">
      <c r="A254" s="91" t="s">
        <v>6</v>
      </c>
      <c r="B254" s="53" t="s">
        <v>20</v>
      </c>
      <c r="C254" s="92">
        <v>10</v>
      </c>
      <c r="D254" s="48"/>
      <c r="E254" s="48">
        <v>2.4620000000000002</v>
      </c>
      <c r="F254" s="48">
        <v>3.6360000000000001</v>
      </c>
      <c r="G254" s="48">
        <v>5.2210000000000001</v>
      </c>
      <c r="H254" s="48">
        <v>0.24119911999999999</v>
      </c>
      <c r="I254" s="48">
        <v>0</v>
      </c>
      <c r="J254" s="52">
        <v>0</v>
      </c>
    </row>
    <row r="255" spans="1:10" x14ac:dyDescent="0.2">
      <c r="A255" s="85"/>
      <c r="B255" s="53" t="s">
        <v>21</v>
      </c>
      <c r="C255" s="89"/>
      <c r="D255" s="48">
        <v>821</v>
      </c>
      <c r="E255" s="48">
        <v>2.4510000000000001</v>
      </c>
      <c r="F255" s="48">
        <v>3.306</v>
      </c>
      <c r="G255" s="48">
        <v>5.0380000000000003</v>
      </c>
      <c r="H255" s="48">
        <v>0.21748335999999999</v>
      </c>
      <c r="I255" s="48">
        <v>642.44615850000002</v>
      </c>
      <c r="J255" s="52" t="e">
        <v>#DIV/0!</v>
      </c>
    </row>
    <row r="256" spans="1:10" x14ac:dyDescent="0.2">
      <c r="A256" s="87"/>
      <c r="B256" s="56" t="s">
        <v>22</v>
      </c>
      <c r="C256" s="90"/>
      <c r="D256" s="57"/>
      <c r="E256" s="57">
        <v>2.44</v>
      </c>
      <c r="F256" s="57">
        <v>3.73</v>
      </c>
      <c r="G256" s="57">
        <v>5.3730000000000002</v>
      </c>
      <c r="H256" s="57">
        <v>0.21367291999999999</v>
      </c>
      <c r="I256" s="57">
        <v>0</v>
      </c>
      <c r="J256" s="49" t="e">
        <v>#DIV/0!</v>
      </c>
    </row>
    <row r="257" spans="1:10" x14ac:dyDescent="0.2">
      <c r="A257" s="91" t="s">
        <v>7</v>
      </c>
      <c r="B257" s="53" t="s">
        <v>20</v>
      </c>
      <c r="C257" s="92">
        <v>10</v>
      </c>
      <c r="D257" s="48"/>
      <c r="E257" s="48">
        <v>2.4180000000000001</v>
      </c>
      <c r="F257" s="48">
        <v>3.7309999999999999</v>
      </c>
      <c r="G257" s="48">
        <v>5.2770000000000001</v>
      </c>
      <c r="H257" s="48">
        <v>0.23371749999999999</v>
      </c>
      <c r="I257" s="48">
        <v>0</v>
      </c>
      <c r="J257" s="52">
        <v>0</v>
      </c>
    </row>
    <row r="258" spans="1:10" x14ac:dyDescent="0.2">
      <c r="A258" s="85"/>
      <c r="B258" s="53" t="s">
        <v>21</v>
      </c>
      <c r="C258" s="89"/>
      <c r="D258" s="48">
        <v>751</v>
      </c>
      <c r="E258" s="48">
        <v>2.44</v>
      </c>
      <c r="F258" s="48">
        <v>3.5939999999999999</v>
      </c>
      <c r="G258" s="48">
        <v>5.1879999999999997</v>
      </c>
      <c r="H258" s="48">
        <v>0.23539231999999999</v>
      </c>
      <c r="I258" s="48">
        <v>574.22036730000002</v>
      </c>
      <c r="J258" s="52" t="e">
        <v>#DIV/0!</v>
      </c>
    </row>
    <row r="259" spans="1:10" x14ac:dyDescent="0.2">
      <c r="A259" s="87"/>
      <c r="B259" s="56" t="s">
        <v>22</v>
      </c>
      <c r="C259" s="90"/>
      <c r="D259" s="57"/>
      <c r="E259" s="57">
        <v>2.4470000000000001</v>
      </c>
      <c r="F259" s="57">
        <v>3.4660000000000002</v>
      </c>
      <c r="G259" s="57">
        <v>5.1459999999999999</v>
      </c>
      <c r="H259" s="57">
        <v>0.22129256</v>
      </c>
      <c r="I259" s="57">
        <v>0</v>
      </c>
      <c r="J259" s="49" t="e">
        <v>#DIV/0!</v>
      </c>
    </row>
    <row r="260" spans="1:10" x14ac:dyDescent="0.2">
      <c r="A260" s="91" t="s">
        <v>8</v>
      </c>
      <c r="B260" s="53" t="s">
        <v>20</v>
      </c>
      <c r="C260" s="92">
        <v>10</v>
      </c>
      <c r="D260" s="48"/>
      <c r="E260" s="48">
        <v>2.4649999999999999</v>
      </c>
      <c r="F260" s="48">
        <v>3.94</v>
      </c>
      <c r="G260" s="48">
        <v>5.5</v>
      </c>
      <c r="H260" s="48">
        <v>0.22969543000000001</v>
      </c>
      <c r="I260" s="48">
        <v>0</v>
      </c>
      <c r="J260" s="52">
        <v>0</v>
      </c>
    </row>
    <row r="261" spans="1:10" x14ac:dyDescent="0.2">
      <c r="A261" s="85"/>
      <c r="B261" s="53" t="s">
        <v>21</v>
      </c>
      <c r="C261" s="89"/>
      <c r="D261" s="48">
        <v>720</v>
      </c>
      <c r="E261" s="48">
        <v>2.4670000000000001</v>
      </c>
      <c r="F261" s="48">
        <v>3.2879999999999998</v>
      </c>
      <c r="G261" s="48">
        <v>4.968</v>
      </c>
      <c r="H261" s="48">
        <v>0.23935523</v>
      </c>
      <c r="I261" s="48">
        <v>547.66423359999999</v>
      </c>
      <c r="J261" s="52" t="e">
        <v>#DIV/0!</v>
      </c>
    </row>
    <row r="262" spans="1:10" x14ac:dyDescent="0.2">
      <c r="A262" s="87"/>
      <c r="B262" s="56" t="s">
        <v>22</v>
      </c>
      <c r="C262" s="90"/>
      <c r="D262" s="57"/>
      <c r="E262" s="57">
        <v>2.419</v>
      </c>
      <c r="F262" s="57">
        <v>3.319</v>
      </c>
      <c r="G262" s="57">
        <v>5.0289999999999999</v>
      </c>
      <c r="H262" s="57">
        <v>0.21361856000000001</v>
      </c>
      <c r="I262" s="57">
        <v>0</v>
      </c>
      <c r="J262" s="49" t="e">
        <v>#DIV/0!</v>
      </c>
    </row>
    <row r="263" spans="1:10" x14ac:dyDescent="0.2">
      <c r="A263" s="91" t="s">
        <v>9</v>
      </c>
      <c r="B263" s="53" t="s">
        <v>20</v>
      </c>
      <c r="C263" s="92">
        <v>10</v>
      </c>
      <c r="D263" s="48"/>
      <c r="E263" s="48">
        <v>2.4860000000000002</v>
      </c>
      <c r="F263" s="48">
        <v>3.4079999999999999</v>
      </c>
      <c r="G263" s="48">
        <v>5.1379999999999999</v>
      </c>
      <c r="H263" s="48">
        <v>0.22183099000000001</v>
      </c>
      <c r="I263" s="48">
        <v>0</v>
      </c>
      <c r="J263" s="52">
        <v>0</v>
      </c>
    </row>
    <row r="264" spans="1:10" x14ac:dyDescent="0.2">
      <c r="A264" s="85"/>
      <c r="B264" s="53" t="s">
        <v>21</v>
      </c>
      <c r="C264" s="89"/>
      <c r="D264" s="48">
        <v>897</v>
      </c>
      <c r="E264" s="48">
        <v>2.4140000000000001</v>
      </c>
      <c r="F264" s="48">
        <v>3.8410000000000002</v>
      </c>
      <c r="G264" s="48">
        <v>5.4340000000000002</v>
      </c>
      <c r="H264" s="48">
        <v>0.21374641999999999</v>
      </c>
      <c r="I264" s="48">
        <v>705.26946109999994</v>
      </c>
      <c r="J264" s="52" t="e">
        <v>#DIV/0!</v>
      </c>
    </row>
    <row r="265" spans="1:10" x14ac:dyDescent="0.2">
      <c r="A265" s="87"/>
      <c r="B265" s="56" t="s">
        <v>22</v>
      </c>
      <c r="C265" s="90"/>
      <c r="D265" s="57"/>
      <c r="E265" s="57">
        <v>2.4329999999999998</v>
      </c>
      <c r="F265" s="57">
        <v>3.512</v>
      </c>
      <c r="G265" s="57">
        <v>5.2039999999999997</v>
      </c>
      <c r="H265" s="57">
        <v>0.21099088999999999</v>
      </c>
      <c r="I265" s="57">
        <v>0</v>
      </c>
      <c r="J265" s="49" t="e">
        <v>#DIV/0!</v>
      </c>
    </row>
    <row r="266" spans="1:10" x14ac:dyDescent="0.2">
      <c r="A266" s="91" t="s">
        <v>10</v>
      </c>
      <c r="B266" s="53" t="s">
        <v>20</v>
      </c>
      <c r="C266" s="92">
        <v>10</v>
      </c>
      <c r="D266" s="48"/>
      <c r="E266" s="48">
        <v>1.7250000000000001</v>
      </c>
      <c r="F266" s="48">
        <v>3.6459999999999999</v>
      </c>
      <c r="G266" s="48">
        <v>4.4290000000000003</v>
      </c>
      <c r="H266" s="48">
        <v>0.25836533</v>
      </c>
      <c r="I266" s="48">
        <v>0</v>
      </c>
      <c r="J266" s="52">
        <v>0</v>
      </c>
    </row>
    <row r="267" spans="1:10" x14ac:dyDescent="0.2">
      <c r="A267" s="85"/>
      <c r="B267" s="53" t="s">
        <v>21</v>
      </c>
      <c r="C267" s="89"/>
      <c r="D267" s="48">
        <v>741</v>
      </c>
      <c r="E267" s="48">
        <v>1.7370000000000001</v>
      </c>
      <c r="F267" s="48">
        <v>3.22</v>
      </c>
      <c r="G267" s="48">
        <v>4.1459999999999999</v>
      </c>
      <c r="H267" s="48">
        <v>0.25186334999999999</v>
      </c>
      <c r="I267" s="48">
        <v>554.36925470000006</v>
      </c>
      <c r="J267" s="52" t="e">
        <v>#DIV/0!</v>
      </c>
    </row>
    <row r="268" spans="1:10" x14ac:dyDescent="0.2">
      <c r="A268" s="87"/>
      <c r="B268" s="56" t="s">
        <v>22</v>
      </c>
      <c r="C268" s="90"/>
      <c r="D268" s="57"/>
      <c r="E268" s="57">
        <v>1.75</v>
      </c>
      <c r="F268" s="57">
        <v>3.1720000000000002</v>
      </c>
      <c r="G268" s="57">
        <v>4.0990000000000002</v>
      </c>
      <c r="H268" s="57">
        <v>0.25945775999999998</v>
      </c>
      <c r="I268" s="57">
        <v>0</v>
      </c>
      <c r="J268" s="49" t="e">
        <v>#DIV/0!</v>
      </c>
    </row>
    <row r="269" spans="1:10" x14ac:dyDescent="0.2">
      <c r="A269" s="91" t="s">
        <v>11</v>
      </c>
      <c r="B269" s="53" t="s">
        <v>20</v>
      </c>
      <c r="C269" s="92">
        <v>10</v>
      </c>
      <c r="D269" s="48"/>
      <c r="E269" s="48">
        <v>1.736</v>
      </c>
      <c r="F269" s="48">
        <v>3.294</v>
      </c>
      <c r="G269" s="48">
        <v>4.0439999999999996</v>
      </c>
      <c r="H269" s="48">
        <v>0.29933211999999998</v>
      </c>
      <c r="I269" s="48">
        <v>0</v>
      </c>
      <c r="J269" s="52">
        <v>0</v>
      </c>
    </row>
    <row r="270" spans="1:10" x14ac:dyDescent="0.2">
      <c r="A270" s="85"/>
      <c r="B270" s="53" t="s">
        <v>21</v>
      </c>
      <c r="C270" s="89"/>
      <c r="D270" s="48">
        <v>772</v>
      </c>
      <c r="E270" s="48">
        <v>1.744</v>
      </c>
      <c r="F270" s="48">
        <v>3.5049999999999999</v>
      </c>
      <c r="G270" s="48">
        <v>4.2699999999999996</v>
      </c>
      <c r="H270" s="48">
        <v>0.27931526000000001</v>
      </c>
      <c r="I270" s="48">
        <v>556.36861629999999</v>
      </c>
      <c r="J270" s="52" t="e">
        <v>#DIV/0!</v>
      </c>
    </row>
    <row r="271" spans="1:10" x14ac:dyDescent="0.2">
      <c r="A271" s="87"/>
      <c r="B271" s="56" t="s">
        <v>22</v>
      </c>
      <c r="C271" s="90"/>
      <c r="D271" s="57"/>
      <c r="E271" s="57">
        <v>1.7210000000000001</v>
      </c>
      <c r="F271" s="57">
        <v>3.2759999999999998</v>
      </c>
      <c r="G271" s="57">
        <v>3.99</v>
      </c>
      <c r="H271" s="57">
        <v>0.30738705999999999</v>
      </c>
      <c r="I271" s="57">
        <v>0</v>
      </c>
      <c r="J271" s="49" t="e">
        <v>#DIV/0!</v>
      </c>
    </row>
    <row r="272" spans="1:10" x14ac:dyDescent="0.2">
      <c r="A272" s="91" t="s">
        <v>12</v>
      </c>
      <c r="B272" s="53" t="s">
        <v>20</v>
      </c>
      <c r="C272" s="92">
        <v>10</v>
      </c>
      <c r="D272" s="48"/>
      <c r="E272" s="48">
        <v>1.7230000000000001</v>
      </c>
      <c r="F272" s="48">
        <v>3.177</v>
      </c>
      <c r="G272" s="48">
        <v>3.8119999999999998</v>
      </c>
      <c r="H272" s="48">
        <v>0.34246144000000001</v>
      </c>
      <c r="I272" s="48">
        <v>0</v>
      </c>
      <c r="J272" s="52">
        <v>0</v>
      </c>
    </row>
    <row r="273" spans="1:10" x14ac:dyDescent="0.2">
      <c r="A273" s="85"/>
      <c r="B273" s="53" t="s">
        <v>21</v>
      </c>
      <c r="C273" s="89"/>
      <c r="D273" s="48">
        <v>768</v>
      </c>
      <c r="E273" s="48">
        <v>1.7330000000000001</v>
      </c>
      <c r="F273" s="48">
        <v>3.2109999999999999</v>
      </c>
      <c r="G273" s="48">
        <v>3.8759999999999999</v>
      </c>
      <c r="H273" s="48">
        <v>0.33260666</v>
      </c>
      <c r="I273" s="48">
        <v>512.55808160000004</v>
      </c>
      <c r="J273" s="52" t="e">
        <v>#DIV/0!</v>
      </c>
    </row>
    <row r="274" spans="1:10" x14ac:dyDescent="0.2">
      <c r="A274" s="87"/>
      <c r="B274" s="56" t="s">
        <v>22</v>
      </c>
      <c r="C274" s="90"/>
      <c r="D274" s="57"/>
      <c r="E274" s="57">
        <v>1.7310000000000001</v>
      </c>
      <c r="F274" s="57">
        <v>3.5790000000000002</v>
      </c>
      <c r="G274" s="57">
        <v>4.1239999999999997</v>
      </c>
      <c r="H274" s="57">
        <v>0.33137748</v>
      </c>
      <c r="I274" s="57">
        <v>0</v>
      </c>
      <c r="J274" s="49" t="e">
        <v>#DIV/0!</v>
      </c>
    </row>
    <row r="275" spans="1:10" x14ac:dyDescent="0.2">
      <c r="A275" s="91" t="s">
        <v>13</v>
      </c>
      <c r="B275" s="53" t="s">
        <v>20</v>
      </c>
      <c r="C275" s="92">
        <v>10</v>
      </c>
      <c r="D275" s="48"/>
      <c r="E275" s="48">
        <v>1.7190000000000001</v>
      </c>
      <c r="F275" s="48">
        <v>3.6949999999999998</v>
      </c>
      <c r="G275" s="48">
        <v>4.1360000000000001</v>
      </c>
      <c r="H275" s="48">
        <v>0.34587279999999998</v>
      </c>
      <c r="I275" s="48">
        <v>0</v>
      </c>
      <c r="J275" s="52">
        <v>0</v>
      </c>
    </row>
    <row r="276" spans="1:10" x14ac:dyDescent="0.2">
      <c r="A276" s="85"/>
      <c r="B276" s="53" t="s">
        <v>21</v>
      </c>
      <c r="C276" s="89"/>
      <c r="D276" s="48">
        <v>684</v>
      </c>
      <c r="E276" s="48">
        <v>1.7250000000000001</v>
      </c>
      <c r="F276" s="48">
        <v>3.3570000000000002</v>
      </c>
      <c r="G276" s="48">
        <v>3.8639999999999999</v>
      </c>
      <c r="H276" s="48">
        <v>0.36282395000000001</v>
      </c>
      <c r="I276" s="48">
        <v>435.82841819999999</v>
      </c>
      <c r="J276" s="52" t="e">
        <v>#DIV/0!</v>
      </c>
    </row>
    <row r="277" spans="1:10" x14ac:dyDescent="0.2">
      <c r="A277" s="87"/>
      <c r="B277" s="56" t="s">
        <v>22</v>
      </c>
      <c r="C277" s="90"/>
      <c r="D277" s="57"/>
      <c r="E277" s="57">
        <v>1.7130000000000001</v>
      </c>
      <c r="F277" s="57">
        <v>3.2450000000000001</v>
      </c>
      <c r="G277" s="57">
        <v>3.7639999999999998</v>
      </c>
      <c r="H277" s="57">
        <v>0.36795069000000002</v>
      </c>
      <c r="I277" s="57">
        <v>0</v>
      </c>
      <c r="J277" s="49" t="e">
        <v>#DIV/0!</v>
      </c>
    </row>
    <row r="278" spans="1:10" x14ac:dyDescent="0.2">
      <c r="A278" s="91" t="s">
        <v>14</v>
      </c>
      <c r="B278" s="53" t="s">
        <v>20</v>
      </c>
      <c r="C278" s="92">
        <v>10</v>
      </c>
      <c r="D278" s="48"/>
      <c r="E278" s="48">
        <v>1.718</v>
      </c>
      <c r="F278" s="48">
        <v>3.3279999999999998</v>
      </c>
      <c r="G278" s="48">
        <v>3.911</v>
      </c>
      <c r="H278" s="48">
        <v>0.34104567000000002</v>
      </c>
      <c r="I278" s="48">
        <v>0</v>
      </c>
      <c r="J278" s="52">
        <v>0</v>
      </c>
    </row>
    <row r="279" spans="1:10" x14ac:dyDescent="0.2">
      <c r="A279" s="85"/>
      <c r="B279" s="53" t="s">
        <v>21</v>
      </c>
      <c r="C279" s="89"/>
      <c r="D279" s="48">
        <v>628</v>
      </c>
      <c r="E279" s="48">
        <v>1.7270000000000001</v>
      </c>
      <c r="F279" s="48">
        <v>3.0790000000000002</v>
      </c>
      <c r="G279" s="48">
        <v>3.855</v>
      </c>
      <c r="H279" s="48">
        <v>0.30886651999999998</v>
      </c>
      <c r="I279" s="48">
        <v>434.03182850000002</v>
      </c>
      <c r="J279" s="52" t="e">
        <v>#DIV/0!</v>
      </c>
    </row>
    <row r="280" spans="1:10" ht="16" thickBot="1" x14ac:dyDescent="0.25">
      <c r="A280" s="93"/>
      <c r="B280" s="58" t="s">
        <v>22</v>
      </c>
      <c r="C280" s="94"/>
      <c r="D280" s="59"/>
      <c r="E280" s="59">
        <v>1.74</v>
      </c>
      <c r="F280" s="59">
        <v>3.1739999999999999</v>
      </c>
      <c r="G280" s="59">
        <v>3.931</v>
      </c>
      <c r="H280" s="59">
        <v>0.30970384000000001</v>
      </c>
      <c r="I280" s="59">
        <v>0</v>
      </c>
      <c r="J280" s="50" t="e">
        <v>#DIV/0!</v>
      </c>
    </row>
    <row r="281" spans="1:10" ht="16" thickBot="1" x14ac:dyDescent="0.25">
      <c r="A281" s="60" t="s">
        <v>1</v>
      </c>
      <c r="B281" s="61"/>
      <c r="C281" s="62"/>
      <c r="D281" s="63" t="s">
        <v>37</v>
      </c>
      <c r="E281" s="64"/>
      <c r="F281" s="58" t="s">
        <v>0</v>
      </c>
      <c r="G281" s="18">
        <v>44180</v>
      </c>
      <c r="H281" s="65" t="s">
        <v>24</v>
      </c>
      <c r="I281" s="66"/>
      <c r="J281" s="49">
        <v>110</v>
      </c>
    </row>
    <row r="282" spans="1:10" ht="16" thickBot="1" x14ac:dyDescent="0.25">
      <c r="A282" s="67" t="s">
        <v>2</v>
      </c>
      <c r="B282" s="68"/>
      <c r="C282" s="69"/>
      <c r="D282" s="70"/>
      <c r="E282" s="71"/>
      <c r="F282" s="72"/>
      <c r="G282" s="73"/>
      <c r="H282" s="74" t="s">
        <v>25</v>
      </c>
      <c r="I282" s="75"/>
      <c r="J282" s="49">
        <v>17</v>
      </c>
    </row>
    <row r="283" spans="1:10" ht="16" thickBot="1" x14ac:dyDescent="0.25">
      <c r="A283" s="76" t="s">
        <v>27</v>
      </c>
      <c r="B283" s="77"/>
      <c r="C283" s="78"/>
      <c r="D283" s="79" t="s">
        <v>32</v>
      </c>
      <c r="E283" s="80"/>
      <c r="F283" s="48" t="s">
        <v>30</v>
      </c>
      <c r="G283" s="48">
        <v>3.81</v>
      </c>
      <c r="H283" s="81" t="s">
        <v>26</v>
      </c>
      <c r="I283" s="82"/>
      <c r="J283" s="50">
        <v>52</v>
      </c>
    </row>
    <row r="284" spans="1:10" x14ac:dyDescent="0.2">
      <c r="A284" s="83"/>
      <c r="B284" s="84"/>
      <c r="C284" s="51" t="s">
        <v>29</v>
      </c>
      <c r="D284" s="51" t="s">
        <v>19</v>
      </c>
      <c r="E284" s="51" t="s">
        <v>15</v>
      </c>
      <c r="F284" s="51" t="s">
        <v>18</v>
      </c>
      <c r="G284" s="51" t="s">
        <v>17</v>
      </c>
      <c r="H284" s="48" t="s">
        <v>28</v>
      </c>
      <c r="I284" s="48" t="s">
        <v>16</v>
      </c>
      <c r="J284" s="52" t="s">
        <v>23</v>
      </c>
    </row>
    <row r="285" spans="1:10" x14ac:dyDescent="0.2">
      <c r="A285" s="86" t="s">
        <v>3</v>
      </c>
      <c r="B285" s="53" t="s">
        <v>20</v>
      </c>
      <c r="C285" s="88">
        <v>10</v>
      </c>
      <c r="D285" s="54"/>
      <c r="E285" s="54">
        <v>1.744</v>
      </c>
      <c r="F285" s="54">
        <v>3.2759999999999998</v>
      </c>
      <c r="G285" s="54">
        <v>4.3369999999999997</v>
      </c>
      <c r="H285" s="54">
        <v>0.20848596</v>
      </c>
      <c r="I285" s="54">
        <v>0</v>
      </c>
      <c r="J285" s="55">
        <v>0</v>
      </c>
    </row>
    <row r="286" spans="1:10" x14ac:dyDescent="0.2">
      <c r="A286" s="85"/>
      <c r="B286" s="53" t="s">
        <v>21</v>
      </c>
      <c r="C286" s="89"/>
      <c r="D286" s="48">
        <v>791</v>
      </c>
      <c r="E286" s="48">
        <v>1.736</v>
      </c>
      <c r="F286" s="48">
        <v>3.4329999999999998</v>
      </c>
      <c r="G286" s="48">
        <v>4.4480000000000004</v>
      </c>
      <c r="H286" s="48">
        <v>0.21002039</v>
      </c>
      <c r="I286" s="48">
        <v>624.87387120000005</v>
      </c>
      <c r="J286" s="52" t="e">
        <v>#DIV/0!</v>
      </c>
    </row>
    <row r="287" spans="1:10" x14ac:dyDescent="0.2">
      <c r="A287" s="87"/>
      <c r="B287" s="56" t="s">
        <v>22</v>
      </c>
      <c r="C287" s="90"/>
      <c r="D287" s="57"/>
      <c r="E287" s="57">
        <v>1.7190000000000001</v>
      </c>
      <c r="F287" s="57">
        <v>3.516</v>
      </c>
      <c r="G287" s="57">
        <v>4.24</v>
      </c>
      <c r="H287" s="57">
        <v>0.28299204</v>
      </c>
      <c r="I287" s="57">
        <v>0</v>
      </c>
      <c r="J287" s="49" t="e">
        <v>#DIV/0!</v>
      </c>
    </row>
    <row r="288" spans="1:10" x14ac:dyDescent="0.2">
      <c r="A288" s="91" t="s">
        <v>4</v>
      </c>
      <c r="B288" s="53" t="s">
        <v>20</v>
      </c>
      <c r="C288" s="92">
        <v>10</v>
      </c>
      <c r="D288" s="48"/>
      <c r="E288" s="48">
        <v>1.7050000000000001</v>
      </c>
      <c r="F288" s="48">
        <v>3.7</v>
      </c>
      <c r="G288" s="48">
        <v>4.5599999999999996</v>
      </c>
      <c r="H288" s="48">
        <v>0.22837837999999999</v>
      </c>
      <c r="I288" s="48">
        <v>0</v>
      </c>
      <c r="J288" s="52">
        <v>0</v>
      </c>
    </row>
    <row r="289" spans="1:10" x14ac:dyDescent="0.2">
      <c r="A289" s="85"/>
      <c r="B289" s="53" t="s">
        <v>21</v>
      </c>
      <c r="C289" s="89"/>
      <c r="D289" s="48">
        <v>775</v>
      </c>
      <c r="E289" s="48">
        <v>1.7190000000000001</v>
      </c>
      <c r="F289" s="48">
        <v>3.4390000000000001</v>
      </c>
      <c r="G289" s="48">
        <v>4.4000000000000004</v>
      </c>
      <c r="H289" s="48">
        <v>0.22041290999999999</v>
      </c>
      <c r="I289" s="48">
        <v>604.17999420000001</v>
      </c>
      <c r="J289" s="52" t="e">
        <v>#DIV/0!</v>
      </c>
    </row>
    <row r="290" spans="1:10" x14ac:dyDescent="0.2">
      <c r="A290" s="87"/>
      <c r="B290" s="56" t="s">
        <v>22</v>
      </c>
      <c r="C290" s="90"/>
      <c r="D290" s="57"/>
      <c r="E290" s="57">
        <v>1.716</v>
      </c>
      <c r="F290" s="57">
        <v>3.7010000000000001</v>
      </c>
      <c r="G290" s="57">
        <v>4.6920000000000002</v>
      </c>
      <c r="H290" s="57">
        <v>0.19589300000000001</v>
      </c>
      <c r="I290" s="57">
        <v>0</v>
      </c>
      <c r="J290" s="49" t="e">
        <v>#DIV/0!</v>
      </c>
    </row>
    <row r="291" spans="1:10" x14ac:dyDescent="0.2">
      <c r="A291" s="91" t="s">
        <v>5</v>
      </c>
      <c r="B291" s="53" t="s">
        <v>20</v>
      </c>
      <c r="C291" s="92">
        <v>10</v>
      </c>
      <c r="D291" s="48"/>
      <c r="E291" s="48">
        <v>1.7370000000000001</v>
      </c>
      <c r="F291" s="48">
        <v>3.633</v>
      </c>
      <c r="G291" s="48">
        <v>4.7619999999999996</v>
      </c>
      <c r="H291" s="48">
        <v>0.1673548</v>
      </c>
      <c r="I291" s="48">
        <v>0</v>
      </c>
      <c r="J291" s="52">
        <v>0</v>
      </c>
    </row>
    <row r="292" spans="1:10" x14ac:dyDescent="0.2">
      <c r="A292" s="85"/>
      <c r="B292" s="53" t="s">
        <v>21</v>
      </c>
      <c r="C292" s="89"/>
      <c r="D292" s="48">
        <v>759</v>
      </c>
      <c r="E292" s="48">
        <v>1.7150000000000001</v>
      </c>
      <c r="F292" s="48">
        <v>3.706</v>
      </c>
      <c r="G292" s="48">
        <v>4.7770000000000001</v>
      </c>
      <c r="H292" s="48">
        <v>0.17377226000000001</v>
      </c>
      <c r="I292" s="48">
        <v>627.10685379999995</v>
      </c>
      <c r="J292" s="52" t="e">
        <v>#DIV/0!</v>
      </c>
    </row>
    <row r="293" spans="1:10" x14ac:dyDescent="0.2">
      <c r="A293" s="87"/>
      <c r="B293" s="56" t="s">
        <v>22</v>
      </c>
      <c r="C293" s="90"/>
      <c r="D293" s="57"/>
      <c r="E293" s="57">
        <v>1.7410000000000001</v>
      </c>
      <c r="F293" s="57">
        <v>3.8519999999999999</v>
      </c>
      <c r="G293" s="57">
        <v>4.9119999999999999</v>
      </c>
      <c r="H293" s="57">
        <v>0.17679128</v>
      </c>
      <c r="I293" s="57">
        <v>0</v>
      </c>
      <c r="J293" s="49" t="e">
        <v>#DIV/0!</v>
      </c>
    </row>
    <row r="294" spans="1:10" x14ac:dyDescent="0.2">
      <c r="A294" s="91" t="s">
        <v>6</v>
      </c>
      <c r="B294" s="53" t="s">
        <v>20</v>
      </c>
      <c r="C294" s="92">
        <v>10</v>
      </c>
      <c r="D294" s="48"/>
      <c r="E294" s="48">
        <v>1.748</v>
      </c>
      <c r="F294" s="48">
        <v>3.8490000000000002</v>
      </c>
      <c r="G294" s="48">
        <v>5.1420000000000003</v>
      </c>
      <c r="H294" s="48">
        <v>0.11821252</v>
      </c>
      <c r="I294" s="48">
        <v>0</v>
      </c>
      <c r="J294" s="52">
        <v>0</v>
      </c>
    </row>
    <row r="295" spans="1:10" x14ac:dyDescent="0.2">
      <c r="A295" s="85"/>
      <c r="B295" s="53" t="s">
        <v>21</v>
      </c>
      <c r="C295" s="89"/>
      <c r="D295" s="48">
        <v>855</v>
      </c>
      <c r="E295" s="48">
        <v>1.7290000000000001</v>
      </c>
      <c r="F295" s="48">
        <v>3.0529999999999999</v>
      </c>
      <c r="G295" s="48">
        <v>4.2089999999999996</v>
      </c>
      <c r="H295" s="48">
        <v>0.18768425</v>
      </c>
      <c r="I295" s="48">
        <v>694.52997049999999</v>
      </c>
      <c r="J295" s="52" t="e">
        <v>#DIV/0!</v>
      </c>
    </row>
    <row r="296" spans="1:10" x14ac:dyDescent="0.2">
      <c r="A296" s="87"/>
      <c r="B296" s="56" t="s">
        <v>22</v>
      </c>
      <c r="C296" s="90"/>
      <c r="D296" s="57"/>
      <c r="E296" s="57">
        <v>1.7250000000000001</v>
      </c>
      <c r="F296" s="57">
        <v>3.7</v>
      </c>
      <c r="G296" s="57">
        <v>4.7320000000000002</v>
      </c>
      <c r="H296" s="57">
        <v>0.1872973</v>
      </c>
      <c r="I296" s="57">
        <v>0</v>
      </c>
      <c r="J296" s="49" t="e">
        <v>#DIV/0!</v>
      </c>
    </row>
    <row r="297" spans="1:10" x14ac:dyDescent="0.2">
      <c r="A297" s="91" t="s">
        <v>7</v>
      </c>
      <c r="B297" s="53" t="s">
        <v>20</v>
      </c>
      <c r="C297" s="92">
        <v>10</v>
      </c>
      <c r="D297" s="48"/>
      <c r="E297" s="48">
        <v>1.7310000000000001</v>
      </c>
      <c r="F297" s="48">
        <v>3.2970000000000002</v>
      </c>
      <c r="G297" s="48">
        <v>4.3789999999999996</v>
      </c>
      <c r="H297" s="48">
        <v>0.19684562</v>
      </c>
      <c r="I297" s="48">
        <v>0</v>
      </c>
      <c r="J297" s="52">
        <v>0</v>
      </c>
    </row>
    <row r="298" spans="1:10" x14ac:dyDescent="0.2">
      <c r="A298" s="85"/>
      <c r="B298" s="53" t="s">
        <v>21</v>
      </c>
      <c r="C298" s="89"/>
      <c r="D298" s="48">
        <v>758</v>
      </c>
      <c r="E298" s="48">
        <v>1.756</v>
      </c>
      <c r="F298" s="48">
        <v>3.371</v>
      </c>
      <c r="G298" s="48">
        <v>4.3879999999999999</v>
      </c>
      <c r="H298" s="48">
        <v>0.21922278000000001</v>
      </c>
      <c r="I298" s="48">
        <v>591.82913080000003</v>
      </c>
      <c r="J298" s="52" t="e">
        <v>#DIV/0!</v>
      </c>
    </row>
    <row r="299" spans="1:10" x14ac:dyDescent="0.2">
      <c r="A299" s="87"/>
      <c r="B299" s="56" t="s">
        <v>22</v>
      </c>
      <c r="C299" s="90"/>
      <c r="D299" s="57"/>
      <c r="E299" s="57">
        <v>1.744</v>
      </c>
      <c r="F299" s="57">
        <v>3.4049999999999998</v>
      </c>
      <c r="G299" s="57">
        <v>4.41</v>
      </c>
      <c r="H299" s="57">
        <v>0.21703376999999999</v>
      </c>
      <c r="I299" s="57">
        <v>0</v>
      </c>
      <c r="J299" s="49" t="e">
        <v>#DIV/0!</v>
      </c>
    </row>
    <row r="300" spans="1:10" x14ac:dyDescent="0.2">
      <c r="A300" s="91" t="s">
        <v>8</v>
      </c>
      <c r="B300" s="53" t="s">
        <v>20</v>
      </c>
      <c r="C300" s="92">
        <v>10</v>
      </c>
      <c r="D300" s="48"/>
      <c r="E300" s="48">
        <v>1.7250000000000001</v>
      </c>
      <c r="F300" s="48">
        <v>3.2080000000000002</v>
      </c>
      <c r="G300" s="48">
        <v>4.2640000000000002</v>
      </c>
      <c r="H300" s="48">
        <v>0.20854115000000001</v>
      </c>
      <c r="I300" s="48">
        <v>0</v>
      </c>
      <c r="J300" s="52">
        <v>0</v>
      </c>
    </row>
    <row r="301" spans="1:10" x14ac:dyDescent="0.2">
      <c r="A301" s="85"/>
      <c r="B301" s="53" t="s">
        <v>21</v>
      </c>
      <c r="C301" s="89"/>
      <c r="D301" s="48">
        <v>731</v>
      </c>
      <c r="E301" s="48">
        <v>1.7310000000000001</v>
      </c>
      <c r="F301" s="48">
        <v>3.661</v>
      </c>
      <c r="G301" s="48">
        <v>4.5990000000000002</v>
      </c>
      <c r="H301" s="48">
        <v>0.21660747999999999</v>
      </c>
      <c r="I301" s="48">
        <v>572.65992900000003</v>
      </c>
      <c r="J301" s="52" t="e">
        <v>#DIV/0!</v>
      </c>
    </row>
    <row r="302" spans="1:10" x14ac:dyDescent="0.2">
      <c r="A302" s="87"/>
      <c r="B302" s="56" t="s">
        <v>22</v>
      </c>
      <c r="C302" s="90"/>
      <c r="D302" s="57"/>
      <c r="E302" s="57">
        <v>1.724</v>
      </c>
      <c r="F302" s="57">
        <v>3.4929999999999999</v>
      </c>
      <c r="G302" s="57">
        <v>4.5149999999999997</v>
      </c>
      <c r="H302" s="57">
        <v>0.20097338000000001</v>
      </c>
      <c r="I302" s="57">
        <v>0</v>
      </c>
      <c r="J302" s="49" t="e">
        <v>#DIV/0!</v>
      </c>
    </row>
    <row r="303" spans="1:10" x14ac:dyDescent="0.2">
      <c r="A303" s="91" t="s">
        <v>9</v>
      </c>
      <c r="B303" s="53" t="s">
        <v>20</v>
      </c>
      <c r="C303" s="92">
        <v>10</v>
      </c>
      <c r="D303" s="48"/>
      <c r="E303" s="48">
        <v>1.756</v>
      </c>
      <c r="F303" s="48">
        <v>3.21</v>
      </c>
      <c r="G303" s="48">
        <v>4.1769999999999996</v>
      </c>
      <c r="H303" s="48">
        <v>0.24579439</v>
      </c>
      <c r="I303" s="48">
        <v>0</v>
      </c>
      <c r="J303" s="52">
        <v>0</v>
      </c>
    </row>
    <row r="304" spans="1:10" x14ac:dyDescent="0.2">
      <c r="A304" s="85"/>
      <c r="B304" s="53" t="s">
        <v>21</v>
      </c>
      <c r="C304" s="89"/>
      <c r="D304" s="48">
        <v>808</v>
      </c>
      <c r="E304" s="48">
        <v>1.73</v>
      </c>
      <c r="F304" s="48">
        <v>3.242</v>
      </c>
      <c r="G304" s="48">
        <v>4.218</v>
      </c>
      <c r="H304" s="48">
        <v>0.23257248999999999</v>
      </c>
      <c r="I304" s="48">
        <v>620.0814312</v>
      </c>
      <c r="J304" s="52" t="e">
        <v>#DIV/0!</v>
      </c>
    </row>
    <row r="305" spans="1:10" x14ac:dyDescent="0.2">
      <c r="A305" s="87"/>
      <c r="B305" s="56" t="s">
        <v>22</v>
      </c>
      <c r="C305" s="90"/>
      <c r="D305" s="57"/>
      <c r="E305" s="57">
        <v>1.7529999999999999</v>
      </c>
      <c r="F305" s="57">
        <v>3.6819999999999999</v>
      </c>
      <c r="G305" s="57">
        <v>4.5919999999999996</v>
      </c>
      <c r="H305" s="57">
        <v>0.22895166</v>
      </c>
      <c r="I305" s="57">
        <v>0</v>
      </c>
      <c r="J305" s="49" t="e">
        <v>#DIV/0!</v>
      </c>
    </row>
    <row r="306" spans="1:10" x14ac:dyDescent="0.2">
      <c r="A306" s="91" t="s">
        <v>10</v>
      </c>
      <c r="B306" s="53" t="s">
        <v>20</v>
      </c>
      <c r="C306" s="92">
        <v>10</v>
      </c>
      <c r="D306" s="48"/>
      <c r="E306" s="48">
        <v>1.728</v>
      </c>
      <c r="F306" s="48">
        <v>3.3069999999999999</v>
      </c>
      <c r="G306" s="48">
        <v>4.516</v>
      </c>
      <c r="H306" s="48">
        <v>0.15693982000000001</v>
      </c>
      <c r="I306" s="48">
        <v>0</v>
      </c>
      <c r="J306" s="52">
        <v>0</v>
      </c>
    </row>
    <row r="307" spans="1:10" x14ac:dyDescent="0.2">
      <c r="A307" s="85"/>
      <c r="B307" s="53" t="s">
        <v>21</v>
      </c>
      <c r="C307" s="89"/>
      <c r="D307" s="48">
        <v>900</v>
      </c>
      <c r="E307" s="48">
        <v>1.7210000000000001</v>
      </c>
      <c r="F307" s="48">
        <v>3.8759999999999999</v>
      </c>
      <c r="G307" s="48">
        <v>4.9489999999999998</v>
      </c>
      <c r="H307" s="48">
        <v>0.16718266000000001</v>
      </c>
      <c r="I307" s="48">
        <v>749.53560370000002</v>
      </c>
      <c r="J307" s="52" t="e">
        <v>#DIV/0!</v>
      </c>
    </row>
    <row r="308" spans="1:10" x14ac:dyDescent="0.2">
      <c r="A308" s="87"/>
      <c r="B308" s="56" t="s">
        <v>22</v>
      </c>
      <c r="C308" s="90"/>
      <c r="D308" s="57"/>
      <c r="E308" s="57">
        <v>1.7290000000000001</v>
      </c>
      <c r="F308" s="57">
        <v>3.464</v>
      </c>
      <c r="G308" s="57">
        <v>4.7210000000000001</v>
      </c>
      <c r="H308" s="57">
        <v>0.13625866</v>
      </c>
      <c r="I308" s="57">
        <v>0</v>
      </c>
      <c r="J308" s="49" t="e">
        <v>#DIV/0!</v>
      </c>
    </row>
    <row r="309" spans="1:10" x14ac:dyDescent="0.2">
      <c r="A309" s="91" t="s">
        <v>11</v>
      </c>
      <c r="B309" s="53" t="s">
        <v>20</v>
      </c>
      <c r="C309" s="92">
        <v>10</v>
      </c>
      <c r="D309" s="48"/>
      <c r="E309" s="48">
        <v>1.716</v>
      </c>
      <c r="F309" s="48">
        <v>3.024</v>
      </c>
      <c r="G309" s="48">
        <v>4.2530000000000001</v>
      </c>
      <c r="H309" s="48">
        <v>0.16104497000000001</v>
      </c>
      <c r="I309" s="48">
        <v>0</v>
      </c>
      <c r="J309" s="52">
        <v>0</v>
      </c>
    </row>
    <row r="310" spans="1:10" x14ac:dyDescent="0.2">
      <c r="A310" s="85"/>
      <c r="B310" s="53" t="s">
        <v>21</v>
      </c>
      <c r="C310" s="89"/>
      <c r="D310" s="48">
        <v>906</v>
      </c>
      <c r="E310" s="48">
        <v>1.746</v>
      </c>
      <c r="F310" s="48">
        <v>3.1880000000000002</v>
      </c>
      <c r="G310" s="48">
        <v>4.4359999999999999</v>
      </c>
      <c r="H310" s="48">
        <v>0.15621078999999999</v>
      </c>
      <c r="I310" s="48">
        <v>764.47302379999996</v>
      </c>
      <c r="J310" s="52" t="e">
        <v>#DIV/0!</v>
      </c>
    </row>
    <row r="311" spans="1:10" x14ac:dyDescent="0.2">
      <c r="A311" s="87"/>
      <c r="B311" s="56" t="s">
        <v>22</v>
      </c>
      <c r="C311" s="90"/>
      <c r="D311" s="57"/>
      <c r="E311" s="57">
        <v>1.718</v>
      </c>
      <c r="F311" s="57">
        <v>3.3780000000000001</v>
      </c>
      <c r="G311" s="57">
        <v>4.5579999999999998</v>
      </c>
      <c r="H311" s="57">
        <v>0.15926583999999999</v>
      </c>
      <c r="I311" s="57">
        <v>0</v>
      </c>
      <c r="J311" s="49" t="e">
        <v>#DIV/0!</v>
      </c>
    </row>
    <row r="312" spans="1:10" x14ac:dyDescent="0.2">
      <c r="A312" s="91" t="s">
        <v>12</v>
      </c>
      <c r="B312" s="53" t="s">
        <v>20</v>
      </c>
      <c r="C312" s="92">
        <v>10</v>
      </c>
      <c r="D312" s="48"/>
      <c r="E312" s="48">
        <v>1.746</v>
      </c>
      <c r="F312" s="48">
        <v>3.0139999999999998</v>
      </c>
      <c r="G312" s="48">
        <v>4.2149999999999999</v>
      </c>
      <c r="H312" s="48">
        <v>0.18082282999999999</v>
      </c>
      <c r="I312" s="48">
        <v>0</v>
      </c>
      <c r="J312" s="52">
        <v>0</v>
      </c>
    </row>
    <row r="313" spans="1:10" x14ac:dyDescent="0.2">
      <c r="A313" s="85"/>
      <c r="B313" s="53" t="s">
        <v>21</v>
      </c>
      <c r="C313" s="89"/>
      <c r="D313" s="48">
        <v>928</v>
      </c>
      <c r="E313" s="48">
        <v>1.7410000000000001</v>
      </c>
      <c r="F313" s="48">
        <v>3.6520000000000001</v>
      </c>
      <c r="G313" s="48">
        <v>4.8150000000000004</v>
      </c>
      <c r="H313" s="48">
        <v>0.15826944000000001</v>
      </c>
      <c r="I313" s="48">
        <v>781.12595839999994</v>
      </c>
      <c r="J313" s="52" t="e">
        <v>#DIV/0!</v>
      </c>
    </row>
    <row r="314" spans="1:10" x14ac:dyDescent="0.2">
      <c r="A314" s="87"/>
      <c r="B314" s="56" t="s">
        <v>22</v>
      </c>
      <c r="C314" s="90"/>
      <c r="D314" s="57"/>
      <c r="E314" s="57">
        <v>1.7310000000000001</v>
      </c>
      <c r="F314" s="57">
        <v>3.5059999999999998</v>
      </c>
      <c r="G314" s="57">
        <v>4.6639999999999997</v>
      </c>
      <c r="H314" s="57">
        <v>0.16343410999999999</v>
      </c>
      <c r="I314" s="57">
        <v>0</v>
      </c>
      <c r="J314" s="49" t="e">
        <v>#DIV/0!</v>
      </c>
    </row>
    <row r="315" spans="1:10" x14ac:dyDescent="0.2">
      <c r="A315" s="91" t="s">
        <v>13</v>
      </c>
      <c r="B315" s="53" t="s">
        <v>20</v>
      </c>
      <c r="C315" s="92">
        <v>10</v>
      </c>
      <c r="D315" s="48"/>
      <c r="E315" s="48">
        <v>1.7250000000000001</v>
      </c>
      <c r="F315" s="48">
        <v>3.59</v>
      </c>
      <c r="G315" s="48">
        <v>4.7670000000000003</v>
      </c>
      <c r="H315" s="48">
        <v>0.15264623999999999</v>
      </c>
      <c r="I315" s="48">
        <v>0</v>
      </c>
      <c r="J315" s="52">
        <v>0</v>
      </c>
    </row>
    <row r="316" spans="1:10" x14ac:dyDescent="0.2">
      <c r="A316" s="85"/>
      <c r="B316" s="53" t="s">
        <v>21</v>
      </c>
      <c r="C316" s="89"/>
      <c r="D316" s="48">
        <v>852</v>
      </c>
      <c r="E316" s="48">
        <v>1.73</v>
      </c>
      <c r="F316" s="48">
        <v>3.5859999999999999</v>
      </c>
      <c r="G316" s="48">
        <v>4.7469999999999999</v>
      </c>
      <c r="H316" s="48">
        <v>0.15867261999999999</v>
      </c>
      <c r="I316" s="48">
        <v>716.81093139999996</v>
      </c>
      <c r="J316" s="52" t="e">
        <v>#DIV/0!</v>
      </c>
    </row>
    <row r="317" spans="1:10" x14ac:dyDescent="0.2">
      <c r="A317" s="87"/>
      <c r="B317" s="56" t="s">
        <v>22</v>
      </c>
      <c r="C317" s="90"/>
      <c r="D317" s="57"/>
      <c r="E317" s="57">
        <v>1.7230000000000001</v>
      </c>
      <c r="F317" s="57">
        <v>3.7919999999999998</v>
      </c>
      <c r="G317" s="57">
        <v>4.9189999999999996</v>
      </c>
      <c r="H317" s="57">
        <v>0.15717300000000001</v>
      </c>
      <c r="I317" s="57">
        <v>0</v>
      </c>
      <c r="J317" s="49" t="e">
        <v>#DIV/0!</v>
      </c>
    </row>
    <row r="318" spans="1:10" x14ac:dyDescent="0.2">
      <c r="A318" s="91" t="s">
        <v>14</v>
      </c>
      <c r="B318" s="53" t="s">
        <v>20</v>
      </c>
      <c r="C318" s="92">
        <v>10</v>
      </c>
      <c r="D318" s="48"/>
      <c r="E318" s="48"/>
      <c r="F318" s="48"/>
      <c r="G318" s="48"/>
      <c r="H318" s="48" t="e">
        <v>#DIV/0!</v>
      </c>
      <c r="I318" s="48" t="e">
        <v>#DIV/0!</v>
      </c>
      <c r="J318" s="52" t="e">
        <v>#DIV/0!</v>
      </c>
    </row>
    <row r="319" spans="1:10" x14ac:dyDescent="0.2">
      <c r="A319" s="85"/>
      <c r="B319" s="53" t="s">
        <v>21</v>
      </c>
      <c r="C319" s="89"/>
      <c r="D319" s="48"/>
      <c r="E319" s="48"/>
      <c r="F319" s="48"/>
      <c r="G319" s="48"/>
      <c r="H319" s="48" t="e">
        <v>#DIV/0!</v>
      </c>
      <c r="I319" s="48" t="e">
        <v>#DIV/0!</v>
      </c>
      <c r="J319" s="52" t="e">
        <v>#DIV/0!</v>
      </c>
    </row>
    <row r="320" spans="1:10" ht="16" thickBot="1" x14ac:dyDescent="0.25">
      <c r="A320" s="93"/>
      <c r="B320" s="58" t="s">
        <v>22</v>
      </c>
      <c r="C320" s="94"/>
      <c r="D320" s="59"/>
      <c r="E320" s="59"/>
      <c r="F320" s="59"/>
      <c r="G320" s="59"/>
      <c r="H320" s="59" t="e">
        <v>#DIV/0!</v>
      </c>
      <c r="I320" s="59" t="e">
        <v>#DIV/0!</v>
      </c>
      <c r="J320" s="50" t="e">
        <v>#DIV/0!</v>
      </c>
    </row>
    <row r="321" spans="1:10" ht="16" thickBot="1" x14ac:dyDescent="0.25">
      <c r="A321" s="60" t="s">
        <v>1</v>
      </c>
      <c r="B321" s="61"/>
      <c r="C321" s="62"/>
      <c r="D321" s="63" t="s">
        <v>35</v>
      </c>
      <c r="E321" s="64"/>
      <c r="F321" s="58" t="s">
        <v>0</v>
      </c>
      <c r="G321" s="18">
        <v>44180</v>
      </c>
      <c r="H321" s="65" t="s">
        <v>24</v>
      </c>
      <c r="I321" s="66"/>
      <c r="J321" s="49">
        <v>90</v>
      </c>
    </row>
    <row r="322" spans="1:10" ht="16" thickBot="1" x14ac:dyDescent="0.25">
      <c r="A322" s="67" t="s">
        <v>2</v>
      </c>
      <c r="B322" s="68"/>
      <c r="C322" s="69"/>
      <c r="D322" s="70"/>
      <c r="E322" s="71"/>
      <c r="F322" s="72"/>
      <c r="G322" s="73"/>
      <c r="H322" s="74" t="s">
        <v>25</v>
      </c>
      <c r="I322" s="75"/>
      <c r="J322" s="49">
        <v>13</v>
      </c>
    </row>
    <row r="323" spans="1:10" ht="16" thickBot="1" x14ac:dyDescent="0.25">
      <c r="A323" s="76" t="s">
        <v>27</v>
      </c>
      <c r="B323" s="77"/>
      <c r="C323" s="78"/>
      <c r="D323" s="79" t="s">
        <v>33</v>
      </c>
      <c r="E323" s="80"/>
      <c r="F323" s="48" t="s">
        <v>30</v>
      </c>
      <c r="G323" s="48">
        <v>3.81</v>
      </c>
      <c r="H323" s="81" t="s">
        <v>26</v>
      </c>
      <c r="I323" s="82"/>
      <c r="J323" s="50">
        <v>26</v>
      </c>
    </row>
    <row r="324" spans="1:10" x14ac:dyDescent="0.2">
      <c r="A324" s="83"/>
      <c r="B324" s="84"/>
      <c r="C324" s="51" t="s">
        <v>29</v>
      </c>
      <c r="D324" s="51" t="s">
        <v>19</v>
      </c>
      <c r="E324" s="51" t="s">
        <v>15</v>
      </c>
      <c r="F324" s="51" t="s">
        <v>18</v>
      </c>
      <c r="G324" s="51" t="s">
        <v>17</v>
      </c>
      <c r="H324" s="48" t="s">
        <v>28</v>
      </c>
      <c r="I324" s="48" t="s">
        <v>16</v>
      </c>
      <c r="J324" s="52" t="s">
        <v>23</v>
      </c>
    </row>
    <row r="325" spans="1:10" x14ac:dyDescent="0.2">
      <c r="A325" s="86" t="s">
        <v>3</v>
      </c>
      <c r="B325" s="53" t="s">
        <v>20</v>
      </c>
      <c r="C325" s="88">
        <v>10</v>
      </c>
      <c r="D325" s="54"/>
      <c r="E325" s="54">
        <v>1.716</v>
      </c>
      <c r="F325" s="54">
        <v>3.492</v>
      </c>
      <c r="G325" s="54">
        <v>4.32</v>
      </c>
      <c r="H325" s="54">
        <v>0.25429552999999999</v>
      </c>
      <c r="I325" s="54">
        <v>0</v>
      </c>
      <c r="J325" s="55">
        <v>0</v>
      </c>
    </row>
    <row r="326" spans="1:10" x14ac:dyDescent="0.2">
      <c r="A326" s="85"/>
      <c r="B326" s="53" t="s">
        <v>21</v>
      </c>
      <c r="C326" s="89"/>
      <c r="D326" s="48">
        <v>764</v>
      </c>
      <c r="E326" s="48">
        <v>1.728</v>
      </c>
      <c r="F326" s="48">
        <v>3.5529999999999999</v>
      </c>
      <c r="G326" s="48">
        <v>4.3540000000000001</v>
      </c>
      <c r="H326" s="48">
        <v>0.26090627999999999</v>
      </c>
      <c r="I326" s="48">
        <v>564.66760480000005</v>
      </c>
      <c r="J326" s="52" t="e">
        <v>#DIV/0!</v>
      </c>
    </row>
    <row r="327" spans="1:10" x14ac:dyDescent="0.2">
      <c r="A327" s="87"/>
      <c r="B327" s="56" t="s">
        <v>22</v>
      </c>
      <c r="C327" s="90"/>
      <c r="D327" s="57"/>
      <c r="E327" s="57">
        <v>1.72</v>
      </c>
      <c r="F327" s="57">
        <v>3.6859999999999999</v>
      </c>
      <c r="G327" s="57">
        <v>4.45</v>
      </c>
      <c r="H327" s="57">
        <v>0.25935974000000001</v>
      </c>
      <c r="I327" s="57">
        <v>0</v>
      </c>
      <c r="J327" s="49" t="e">
        <v>#DIV/0!</v>
      </c>
    </row>
    <row r="328" spans="1:10" x14ac:dyDescent="0.2">
      <c r="A328" s="91" t="s">
        <v>4</v>
      </c>
      <c r="B328" s="53" t="s">
        <v>20</v>
      </c>
      <c r="C328" s="92">
        <v>10</v>
      </c>
      <c r="D328" s="48"/>
      <c r="E328" s="48">
        <v>1.744</v>
      </c>
      <c r="F328" s="48">
        <v>3.3159999999999998</v>
      </c>
      <c r="G328" s="48">
        <v>4.3630000000000004</v>
      </c>
      <c r="H328" s="48">
        <v>0.21019299999999999</v>
      </c>
      <c r="I328" s="48">
        <v>0</v>
      </c>
      <c r="J328" s="52">
        <v>0</v>
      </c>
    </row>
    <row r="329" spans="1:10" x14ac:dyDescent="0.2">
      <c r="A329" s="85"/>
      <c r="B329" s="53" t="s">
        <v>21</v>
      </c>
      <c r="C329" s="89"/>
      <c r="D329" s="48">
        <v>824</v>
      </c>
      <c r="E329" s="48">
        <v>1.7370000000000001</v>
      </c>
      <c r="F329" s="48">
        <v>3.2730000000000001</v>
      </c>
      <c r="G329" s="48">
        <v>4.3099999999999996</v>
      </c>
      <c r="H329" s="48">
        <v>0.21387107</v>
      </c>
      <c r="I329" s="48">
        <v>647.77024140000003</v>
      </c>
      <c r="J329" s="52" t="e">
        <v>#DIV/0!</v>
      </c>
    </row>
    <row r="330" spans="1:10" x14ac:dyDescent="0.2">
      <c r="A330" s="87"/>
      <c r="B330" s="56" t="s">
        <v>22</v>
      </c>
      <c r="C330" s="90"/>
      <c r="D330" s="57"/>
      <c r="E330" s="57">
        <v>1.7190000000000001</v>
      </c>
      <c r="F330" s="57">
        <v>3.577</v>
      </c>
      <c r="G330" s="57">
        <v>4.7709999999999999</v>
      </c>
      <c r="H330" s="57">
        <v>0.14677103999999999</v>
      </c>
      <c r="I330" s="57">
        <v>0</v>
      </c>
      <c r="J330" s="49" t="e">
        <v>#DIV/0!</v>
      </c>
    </row>
    <row r="331" spans="1:10" x14ac:dyDescent="0.2">
      <c r="A331" s="91" t="s">
        <v>5</v>
      </c>
      <c r="B331" s="53" t="s">
        <v>20</v>
      </c>
      <c r="C331" s="92">
        <v>10</v>
      </c>
      <c r="D331" s="48"/>
      <c r="E331" s="48">
        <v>1.7250000000000001</v>
      </c>
      <c r="F331" s="48">
        <v>3.2679999999999998</v>
      </c>
      <c r="G331" s="48">
        <v>4.3250000000000002</v>
      </c>
      <c r="H331" s="48">
        <v>0.20440636000000001</v>
      </c>
      <c r="I331" s="48">
        <v>0</v>
      </c>
      <c r="J331" s="52">
        <v>0</v>
      </c>
    </row>
    <row r="332" spans="1:10" x14ac:dyDescent="0.2">
      <c r="A332" s="85"/>
      <c r="B332" s="53" t="s">
        <v>21</v>
      </c>
      <c r="C332" s="89"/>
      <c r="D332" s="48">
        <v>919</v>
      </c>
      <c r="E332" s="48">
        <v>1.736</v>
      </c>
      <c r="F332" s="48">
        <v>3.4289999999999998</v>
      </c>
      <c r="G332" s="48">
        <v>4.4260000000000002</v>
      </c>
      <c r="H332" s="48">
        <v>0.21551472999999999</v>
      </c>
      <c r="I332" s="48">
        <v>720.9419656</v>
      </c>
      <c r="J332" s="52" t="e">
        <v>#DIV/0!</v>
      </c>
    </row>
    <row r="333" spans="1:10" x14ac:dyDescent="0.2">
      <c r="A333" s="87"/>
      <c r="B333" s="56" t="s">
        <v>22</v>
      </c>
      <c r="C333" s="90"/>
      <c r="D333" s="57"/>
      <c r="E333" s="57">
        <v>1.7310000000000001</v>
      </c>
      <c r="F333" s="57">
        <v>3.22</v>
      </c>
      <c r="G333" s="57">
        <v>4.3239999999999998</v>
      </c>
      <c r="H333" s="57">
        <v>0.19472049999999999</v>
      </c>
      <c r="I333" s="57">
        <v>0</v>
      </c>
      <c r="J333" s="49" t="e">
        <v>#DIV/0!</v>
      </c>
    </row>
    <row r="334" spans="1:10" x14ac:dyDescent="0.2">
      <c r="A334" s="91" t="s">
        <v>6</v>
      </c>
      <c r="B334" s="53" t="s">
        <v>20</v>
      </c>
      <c r="C334" s="92">
        <v>10</v>
      </c>
      <c r="D334" s="48"/>
      <c r="E334" s="48">
        <v>1.722</v>
      </c>
      <c r="F334" s="48">
        <v>3.367</v>
      </c>
      <c r="G334" s="48">
        <v>4.4400000000000004</v>
      </c>
      <c r="H334" s="48">
        <v>0.19275318999999999</v>
      </c>
      <c r="I334" s="48">
        <v>0</v>
      </c>
      <c r="J334" s="52">
        <v>0</v>
      </c>
    </row>
    <row r="335" spans="1:10" x14ac:dyDescent="0.2">
      <c r="A335" s="85"/>
      <c r="B335" s="53" t="s">
        <v>21</v>
      </c>
      <c r="C335" s="89"/>
      <c r="D335" s="48">
        <v>836</v>
      </c>
      <c r="E335" s="48">
        <v>1.698</v>
      </c>
      <c r="F335" s="48">
        <v>3.3479999999999999</v>
      </c>
      <c r="G335" s="48">
        <v>4.3929999999999998</v>
      </c>
      <c r="H335" s="48">
        <v>0.19504182</v>
      </c>
      <c r="I335" s="48">
        <v>672.94504180000001</v>
      </c>
      <c r="J335" s="52" t="e">
        <v>#DIV/0!</v>
      </c>
    </row>
    <row r="336" spans="1:10" x14ac:dyDescent="0.2">
      <c r="A336" s="87"/>
      <c r="B336" s="56" t="s">
        <v>22</v>
      </c>
      <c r="C336" s="90"/>
      <c r="D336" s="57"/>
      <c r="E336" s="57">
        <v>1.724</v>
      </c>
      <c r="F336" s="57">
        <v>3.1659999999999999</v>
      </c>
      <c r="G336" s="57">
        <v>4.3170000000000002</v>
      </c>
      <c r="H336" s="57">
        <v>0.18098547000000001</v>
      </c>
      <c r="I336" s="57">
        <v>0</v>
      </c>
      <c r="J336" s="49" t="e">
        <v>#DIV/0!</v>
      </c>
    </row>
    <row r="337" spans="1:10" x14ac:dyDescent="0.2">
      <c r="A337" s="91" t="s">
        <v>7</v>
      </c>
      <c r="B337" s="53" t="s">
        <v>20</v>
      </c>
      <c r="C337" s="92">
        <v>10</v>
      </c>
      <c r="D337" s="48"/>
      <c r="E337" s="48">
        <v>1.728</v>
      </c>
      <c r="F337" s="48">
        <v>3.9769999999999999</v>
      </c>
      <c r="G337" s="48">
        <v>4.9489999999999998</v>
      </c>
      <c r="H337" s="48">
        <v>0.19009303</v>
      </c>
      <c r="I337" s="48">
        <v>0</v>
      </c>
      <c r="J337" s="52">
        <v>0</v>
      </c>
    </row>
    <row r="338" spans="1:10" x14ac:dyDescent="0.2">
      <c r="A338" s="85"/>
      <c r="B338" s="53" t="s">
        <v>21</v>
      </c>
      <c r="C338" s="89"/>
      <c r="D338" s="48">
        <v>804</v>
      </c>
      <c r="E338" s="48">
        <v>1.7150000000000001</v>
      </c>
      <c r="F338" s="48">
        <v>3.0270000000000001</v>
      </c>
      <c r="G338" s="48">
        <v>4.2130000000000001</v>
      </c>
      <c r="H338" s="48">
        <v>0.17476048999999999</v>
      </c>
      <c r="I338" s="48">
        <v>663.49256690000004</v>
      </c>
      <c r="J338" s="52" t="e">
        <v>#DIV/0!</v>
      </c>
    </row>
    <row r="339" spans="1:10" x14ac:dyDescent="0.2">
      <c r="A339" s="87"/>
      <c r="B339" s="56" t="s">
        <v>22</v>
      </c>
      <c r="C339" s="90"/>
      <c r="D339" s="57"/>
      <c r="E339" s="57">
        <v>1.7270000000000001</v>
      </c>
      <c r="F339" s="57">
        <v>3.5760000000000001</v>
      </c>
      <c r="G339" s="57">
        <v>4.6219999999999999</v>
      </c>
      <c r="H339" s="57">
        <v>0.19043624000000001</v>
      </c>
      <c r="I339" s="57">
        <v>0</v>
      </c>
      <c r="J339" s="49" t="e">
        <v>#DIV/0!</v>
      </c>
    </row>
    <row r="340" spans="1:10" x14ac:dyDescent="0.2">
      <c r="A340" s="91" t="s">
        <v>8</v>
      </c>
      <c r="B340" s="53" t="s">
        <v>20</v>
      </c>
      <c r="C340" s="92">
        <v>10</v>
      </c>
      <c r="D340" s="48"/>
      <c r="E340" s="48">
        <v>1.7330000000000001</v>
      </c>
      <c r="F340" s="48">
        <v>3.9039999999999999</v>
      </c>
      <c r="G340" s="48">
        <v>5</v>
      </c>
      <c r="H340" s="48">
        <v>0.16316597999999999</v>
      </c>
      <c r="I340" s="48">
        <v>0</v>
      </c>
      <c r="J340" s="52">
        <v>0</v>
      </c>
    </row>
    <row r="341" spans="1:10" x14ac:dyDescent="0.2">
      <c r="A341" s="85"/>
      <c r="B341" s="53" t="s">
        <v>21</v>
      </c>
      <c r="C341" s="89"/>
      <c r="D341" s="48">
        <v>744</v>
      </c>
      <c r="E341" s="48">
        <v>1.738</v>
      </c>
      <c r="F341" s="48">
        <v>3.3420000000000001</v>
      </c>
      <c r="G341" s="48">
        <v>4.4740000000000002</v>
      </c>
      <c r="H341" s="48">
        <v>0.18132855000000001</v>
      </c>
      <c r="I341" s="48">
        <v>609.09156189999999</v>
      </c>
      <c r="J341" s="52" t="e">
        <v>#DIV/0!</v>
      </c>
    </row>
    <row r="342" spans="1:10" x14ac:dyDescent="0.2">
      <c r="A342" s="87"/>
      <c r="B342" s="56" t="s">
        <v>22</v>
      </c>
      <c r="C342" s="90"/>
      <c r="D342" s="57"/>
      <c r="E342" s="57">
        <v>1.728</v>
      </c>
      <c r="F342" s="57">
        <v>3.7949999999999999</v>
      </c>
      <c r="G342" s="57">
        <v>4.8129999999999997</v>
      </c>
      <c r="H342" s="57">
        <v>0.18708827</v>
      </c>
      <c r="I342" s="57">
        <v>0</v>
      </c>
      <c r="J342" s="49" t="e">
        <v>#DIV/0!</v>
      </c>
    </row>
    <row r="343" spans="1:10" x14ac:dyDescent="0.2">
      <c r="A343" s="91" t="s">
        <v>9</v>
      </c>
      <c r="B343" s="53" t="s">
        <v>20</v>
      </c>
      <c r="C343" s="92">
        <v>10</v>
      </c>
      <c r="D343" s="48"/>
      <c r="E343" s="48">
        <v>1.7050000000000001</v>
      </c>
      <c r="F343" s="48">
        <v>3.0870000000000002</v>
      </c>
      <c r="G343" s="48">
        <v>4.2789999999999999</v>
      </c>
      <c r="H343" s="48">
        <v>0.16618076000000001</v>
      </c>
      <c r="I343" s="48">
        <v>0</v>
      </c>
      <c r="J343" s="52">
        <v>0</v>
      </c>
    </row>
    <row r="344" spans="1:10" x14ac:dyDescent="0.2">
      <c r="A344" s="85"/>
      <c r="B344" s="53" t="s">
        <v>21</v>
      </c>
      <c r="C344" s="89"/>
      <c r="D344" s="48">
        <v>550</v>
      </c>
      <c r="E344" s="48">
        <v>1.7230000000000001</v>
      </c>
      <c r="F344" s="48">
        <v>3.0310000000000001</v>
      </c>
      <c r="G344" s="48">
        <v>4.1189999999999998</v>
      </c>
      <c r="H344" s="48">
        <v>0.20950181000000001</v>
      </c>
      <c r="I344" s="48">
        <v>434.774002</v>
      </c>
      <c r="J344" s="52" t="e">
        <v>#DIV/0!</v>
      </c>
    </row>
    <row r="345" spans="1:10" x14ac:dyDescent="0.2">
      <c r="A345" s="87"/>
      <c r="B345" s="56" t="s">
        <v>22</v>
      </c>
      <c r="C345" s="90"/>
      <c r="D345" s="57"/>
      <c r="E345" s="57">
        <v>1.7230000000000001</v>
      </c>
      <c r="F345" s="57">
        <v>3.7330000000000001</v>
      </c>
      <c r="G345" s="57">
        <v>4.7699999999999996</v>
      </c>
      <c r="H345" s="57">
        <v>0.18376640999999999</v>
      </c>
      <c r="I345" s="57">
        <v>0</v>
      </c>
      <c r="J345" s="49" t="e">
        <v>#DIV/0!</v>
      </c>
    </row>
    <row r="346" spans="1:10" x14ac:dyDescent="0.2">
      <c r="A346" s="91" t="s">
        <v>10</v>
      </c>
      <c r="B346" s="53" t="s">
        <v>20</v>
      </c>
      <c r="C346" s="92">
        <v>10</v>
      </c>
      <c r="D346" s="48"/>
      <c r="E346" s="48">
        <v>1.7210000000000001</v>
      </c>
      <c r="F346" s="48">
        <v>3.18</v>
      </c>
      <c r="G346" s="48">
        <v>4.2629999999999999</v>
      </c>
      <c r="H346" s="48">
        <v>0.20062893000000001</v>
      </c>
      <c r="I346" s="48">
        <v>0</v>
      </c>
      <c r="J346" s="52">
        <v>0</v>
      </c>
    </row>
    <row r="347" spans="1:10" x14ac:dyDescent="0.2">
      <c r="A347" s="85"/>
      <c r="B347" s="53" t="s">
        <v>21</v>
      </c>
      <c r="C347" s="89"/>
      <c r="D347" s="48">
        <v>881</v>
      </c>
      <c r="E347" s="48">
        <v>1.7370000000000001</v>
      </c>
      <c r="F347" s="48">
        <v>3.528</v>
      </c>
      <c r="G347" s="48">
        <v>4.694</v>
      </c>
      <c r="H347" s="48">
        <v>0.16184807000000001</v>
      </c>
      <c r="I347" s="48">
        <v>738.41184810000004</v>
      </c>
      <c r="J347" s="52" t="e">
        <v>#DIV/0!</v>
      </c>
    </row>
    <row r="348" spans="1:10" x14ac:dyDescent="0.2">
      <c r="A348" s="87"/>
      <c r="B348" s="56" t="s">
        <v>22</v>
      </c>
      <c r="C348" s="90"/>
      <c r="D348" s="57"/>
      <c r="E348" s="57">
        <v>1.718</v>
      </c>
      <c r="F348" s="57">
        <v>3.1909999999999998</v>
      </c>
      <c r="G348" s="57">
        <v>4.3369999999999997</v>
      </c>
      <c r="H348" s="57">
        <v>0.17925415</v>
      </c>
      <c r="I348" s="57">
        <v>0</v>
      </c>
      <c r="J348" s="49" t="e">
        <v>#DIV/0!</v>
      </c>
    </row>
    <row r="349" spans="1:10" x14ac:dyDescent="0.2">
      <c r="A349" s="91" t="s">
        <v>11</v>
      </c>
      <c r="B349" s="53" t="s">
        <v>20</v>
      </c>
      <c r="C349" s="92">
        <v>10</v>
      </c>
      <c r="D349" s="48"/>
      <c r="E349" s="48">
        <v>1.7250000000000001</v>
      </c>
      <c r="F349" s="48">
        <v>3.177</v>
      </c>
      <c r="G349" s="48">
        <v>4.4729999999999999</v>
      </c>
      <c r="H349" s="48">
        <v>0.13503304999999999</v>
      </c>
      <c r="I349" s="48">
        <v>0</v>
      </c>
      <c r="J349" s="52">
        <v>0</v>
      </c>
    </row>
    <row r="350" spans="1:10" x14ac:dyDescent="0.2">
      <c r="A350" s="85"/>
      <c r="B350" s="53" t="s">
        <v>21</v>
      </c>
      <c r="C350" s="89"/>
      <c r="D350" s="48">
        <v>798</v>
      </c>
      <c r="E350" s="48">
        <v>1.734</v>
      </c>
      <c r="F350" s="48">
        <v>3.2389999999999999</v>
      </c>
      <c r="G350" s="48">
        <v>4.5179999999999998</v>
      </c>
      <c r="H350" s="48">
        <v>0.14047546</v>
      </c>
      <c r="I350" s="48">
        <v>685.9005866</v>
      </c>
      <c r="J350" s="52" t="e">
        <v>#DIV/0!</v>
      </c>
    </row>
    <row r="351" spans="1:10" x14ac:dyDescent="0.2">
      <c r="A351" s="87"/>
      <c r="B351" s="56" t="s">
        <v>22</v>
      </c>
      <c r="C351" s="90"/>
      <c r="D351" s="57"/>
      <c r="E351" s="57">
        <v>1.72</v>
      </c>
      <c r="F351" s="57">
        <v>3.0640000000000001</v>
      </c>
      <c r="G351" s="57">
        <v>4.3559999999999999</v>
      </c>
      <c r="H351" s="57">
        <v>0.13968668000000001</v>
      </c>
      <c r="I351" s="57">
        <v>0</v>
      </c>
      <c r="J351" s="49" t="e">
        <v>#DIV/0!</v>
      </c>
    </row>
    <row r="352" spans="1:10" x14ac:dyDescent="0.2">
      <c r="A352" s="91" t="s">
        <v>12</v>
      </c>
      <c r="B352" s="53" t="s">
        <v>20</v>
      </c>
      <c r="C352" s="92">
        <v>10</v>
      </c>
      <c r="D352" s="48"/>
      <c r="E352" s="48"/>
      <c r="F352" s="48"/>
      <c r="G352" s="48"/>
      <c r="H352" s="48" t="e">
        <v>#DIV/0!</v>
      </c>
      <c r="I352" s="48" t="e">
        <v>#DIV/0!</v>
      </c>
      <c r="J352" s="52" t="e">
        <v>#DIV/0!</v>
      </c>
    </row>
    <row r="353" spans="1:10" x14ac:dyDescent="0.2">
      <c r="A353" s="85"/>
      <c r="B353" s="53" t="s">
        <v>21</v>
      </c>
      <c r="C353" s="89"/>
      <c r="D353" s="48"/>
      <c r="E353" s="48"/>
      <c r="F353" s="48"/>
      <c r="G353" s="48"/>
      <c r="H353" s="48" t="e">
        <v>#DIV/0!</v>
      </c>
      <c r="I353" s="48" t="e">
        <v>#DIV/0!</v>
      </c>
      <c r="J353" s="52" t="e">
        <v>#DIV/0!</v>
      </c>
    </row>
    <row r="354" spans="1:10" x14ac:dyDescent="0.2">
      <c r="A354" s="87"/>
      <c r="B354" s="56" t="s">
        <v>22</v>
      </c>
      <c r="C354" s="90"/>
      <c r="D354" s="57"/>
      <c r="E354" s="57"/>
      <c r="F354" s="57"/>
      <c r="G354" s="57"/>
      <c r="H354" s="57" t="e">
        <v>#DIV/0!</v>
      </c>
      <c r="I354" s="57" t="e">
        <v>#DIV/0!</v>
      </c>
      <c r="J354" s="49" t="e">
        <v>#DIV/0!</v>
      </c>
    </row>
    <row r="355" spans="1:10" x14ac:dyDescent="0.2">
      <c r="A355" s="91" t="s">
        <v>13</v>
      </c>
      <c r="B355" s="53" t="s">
        <v>20</v>
      </c>
      <c r="C355" s="92">
        <v>10</v>
      </c>
      <c r="D355" s="48"/>
      <c r="E355" s="48"/>
      <c r="F355" s="48"/>
      <c r="G355" s="48"/>
      <c r="H355" s="48" t="e">
        <v>#DIV/0!</v>
      </c>
      <c r="I355" s="48" t="e">
        <v>#DIV/0!</v>
      </c>
      <c r="J355" s="52" t="e">
        <v>#DIV/0!</v>
      </c>
    </row>
    <row r="356" spans="1:10" x14ac:dyDescent="0.2">
      <c r="A356" s="85"/>
      <c r="B356" s="53" t="s">
        <v>21</v>
      </c>
      <c r="C356" s="89"/>
      <c r="D356" s="48"/>
      <c r="E356" s="48"/>
      <c r="F356" s="48"/>
      <c r="G356" s="48"/>
      <c r="H356" s="48" t="e">
        <v>#DIV/0!</v>
      </c>
      <c r="I356" s="48" t="e">
        <v>#DIV/0!</v>
      </c>
      <c r="J356" s="52" t="e">
        <v>#DIV/0!</v>
      </c>
    </row>
    <row r="357" spans="1:10" x14ac:dyDescent="0.2">
      <c r="A357" s="87"/>
      <c r="B357" s="56" t="s">
        <v>22</v>
      </c>
      <c r="C357" s="90"/>
      <c r="D357" s="57"/>
      <c r="E357" s="57"/>
      <c r="F357" s="57"/>
      <c r="G357" s="57"/>
      <c r="H357" s="57" t="e">
        <v>#DIV/0!</v>
      </c>
      <c r="I357" s="57" t="e">
        <v>#DIV/0!</v>
      </c>
      <c r="J357" s="49" t="e">
        <v>#DIV/0!</v>
      </c>
    </row>
    <row r="358" spans="1:10" x14ac:dyDescent="0.2">
      <c r="A358" s="91" t="s">
        <v>14</v>
      </c>
      <c r="B358" s="53" t="s">
        <v>20</v>
      </c>
      <c r="C358" s="92">
        <v>10</v>
      </c>
      <c r="D358" s="48"/>
      <c r="E358" s="48"/>
      <c r="F358" s="48"/>
      <c r="G358" s="48"/>
      <c r="H358" s="48" t="e">
        <v>#DIV/0!</v>
      </c>
      <c r="I358" s="48" t="e">
        <v>#DIV/0!</v>
      </c>
      <c r="J358" s="52" t="e">
        <v>#DIV/0!</v>
      </c>
    </row>
    <row r="359" spans="1:10" x14ac:dyDescent="0.2">
      <c r="A359" s="85"/>
      <c r="B359" s="53" t="s">
        <v>21</v>
      </c>
      <c r="C359" s="89"/>
      <c r="D359" s="48"/>
      <c r="E359" s="48"/>
      <c r="F359" s="48"/>
      <c r="G359" s="48"/>
      <c r="H359" s="48" t="e">
        <v>#DIV/0!</v>
      </c>
      <c r="I359" s="48" t="e">
        <v>#DIV/0!</v>
      </c>
      <c r="J359" s="52" t="e">
        <v>#DIV/0!</v>
      </c>
    </row>
    <row r="360" spans="1:10" ht="16" thickBot="1" x14ac:dyDescent="0.25">
      <c r="A360" s="93"/>
      <c r="B360" s="58" t="s">
        <v>22</v>
      </c>
      <c r="C360" s="94"/>
      <c r="D360" s="59"/>
      <c r="E360" s="59"/>
      <c r="F360" s="59"/>
      <c r="G360" s="59"/>
      <c r="H360" s="59" t="e">
        <v>#DIV/0!</v>
      </c>
      <c r="I360" s="59" t="e">
        <v>#DIV/0!</v>
      </c>
      <c r="J360" s="50" t="e">
        <v>#DIV/0!</v>
      </c>
    </row>
    <row r="361" spans="1:10" ht="16" thickBot="1" x14ac:dyDescent="0.25">
      <c r="A361" s="60" t="s">
        <v>1</v>
      </c>
      <c r="B361" s="61"/>
      <c r="C361" s="62"/>
      <c r="D361" s="63" t="s">
        <v>37</v>
      </c>
      <c r="E361" s="64"/>
      <c r="F361" s="58" t="s">
        <v>0</v>
      </c>
      <c r="G361" s="18">
        <v>44180</v>
      </c>
      <c r="H361" s="65" t="s">
        <v>24</v>
      </c>
      <c r="I361" s="66"/>
      <c r="J361" s="49">
        <v>110</v>
      </c>
    </row>
    <row r="362" spans="1:10" ht="16" thickBot="1" x14ac:dyDescent="0.25">
      <c r="A362" s="67" t="s">
        <v>2</v>
      </c>
      <c r="B362" s="68"/>
      <c r="C362" s="69"/>
      <c r="D362" s="70"/>
      <c r="E362" s="71"/>
      <c r="F362" s="72"/>
      <c r="G362" s="73"/>
      <c r="H362" s="74" t="s">
        <v>25</v>
      </c>
      <c r="I362" s="75"/>
      <c r="J362" s="49">
        <v>11</v>
      </c>
    </row>
    <row r="363" spans="1:10" ht="16" thickBot="1" x14ac:dyDescent="0.25">
      <c r="A363" s="76" t="s">
        <v>27</v>
      </c>
      <c r="B363" s="77"/>
      <c r="C363" s="78"/>
      <c r="D363" s="79" t="s">
        <v>36</v>
      </c>
      <c r="E363" s="80"/>
      <c r="F363" s="48" t="s">
        <v>30</v>
      </c>
      <c r="G363" s="48">
        <v>3.81</v>
      </c>
      <c r="H363" s="81" t="s">
        <v>26</v>
      </c>
      <c r="I363" s="82"/>
      <c r="J363" s="50">
        <v>30</v>
      </c>
    </row>
    <row r="364" spans="1:10" x14ac:dyDescent="0.2">
      <c r="A364" s="83"/>
      <c r="B364" s="84"/>
      <c r="C364" s="51" t="s">
        <v>29</v>
      </c>
      <c r="D364" s="51" t="s">
        <v>19</v>
      </c>
      <c r="E364" s="51" t="s">
        <v>15</v>
      </c>
      <c r="F364" s="51" t="s">
        <v>18</v>
      </c>
      <c r="G364" s="51" t="s">
        <v>17</v>
      </c>
      <c r="H364" s="48" t="s">
        <v>28</v>
      </c>
      <c r="I364" s="48" t="s">
        <v>16</v>
      </c>
      <c r="J364" s="52" t="s">
        <v>23</v>
      </c>
    </row>
    <row r="365" spans="1:10" x14ac:dyDescent="0.2">
      <c r="A365" s="86" t="s">
        <v>3</v>
      </c>
      <c r="B365" s="53" t="s">
        <v>20</v>
      </c>
      <c r="C365" s="88">
        <v>10</v>
      </c>
      <c r="D365" s="54"/>
      <c r="E365" s="54">
        <v>2.44</v>
      </c>
      <c r="F365" s="54">
        <v>3.6469999999999998</v>
      </c>
      <c r="G365" s="54">
        <v>5.0339999999999998</v>
      </c>
      <c r="H365" s="54">
        <v>0.28873046000000002</v>
      </c>
      <c r="I365" s="54">
        <v>0</v>
      </c>
      <c r="J365" s="55">
        <v>0</v>
      </c>
    </row>
    <row r="366" spans="1:10" x14ac:dyDescent="0.2">
      <c r="A366" s="85"/>
      <c r="B366" s="53" t="s">
        <v>21</v>
      </c>
      <c r="C366" s="89"/>
      <c r="D366" s="48">
        <v>706</v>
      </c>
      <c r="E366" s="48">
        <v>2.48</v>
      </c>
      <c r="F366" s="48">
        <v>3.839</v>
      </c>
      <c r="G366" s="48">
        <v>5.226</v>
      </c>
      <c r="H366" s="48">
        <v>0.28470955999999997</v>
      </c>
      <c r="I366" s="48">
        <v>504.9950508</v>
      </c>
      <c r="J366" s="52" t="e">
        <v>#DIV/0!</v>
      </c>
    </row>
    <row r="367" spans="1:10" x14ac:dyDescent="0.2">
      <c r="A367" s="87"/>
      <c r="B367" s="56" t="s">
        <v>22</v>
      </c>
      <c r="C367" s="90"/>
      <c r="D367" s="57"/>
      <c r="E367" s="57">
        <v>2.4329999999999998</v>
      </c>
      <c r="F367" s="57">
        <v>3.5920000000000001</v>
      </c>
      <c r="G367" s="57">
        <v>4.9740000000000002</v>
      </c>
      <c r="H367" s="57">
        <v>0.29259465000000001</v>
      </c>
      <c r="I367" s="57">
        <v>0</v>
      </c>
      <c r="J367" s="49" t="e">
        <v>#DIV/0!</v>
      </c>
    </row>
    <row r="368" spans="1:10" x14ac:dyDescent="0.2">
      <c r="A368" s="91" t="s">
        <v>4</v>
      </c>
      <c r="B368" s="53" t="s">
        <v>20</v>
      </c>
      <c r="C368" s="92">
        <v>10</v>
      </c>
      <c r="D368" s="48"/>
      <c r="E368" s="48">
        <v>2.4489999999999998</v>
      </c>
      <c r="F368" s="48">
        <v>3.7109999999999999</v>
      </c>
      <c r="G368" s="48">
        <v>5.2039999999999997</v>
      </c>
      <c r="H368" s="48">
        <v>0.25761250000000002</v>
      </c>
      <c r="I368" s="48">
        <v>0</v>
      </c>
      <c r="J368" s="52">
        <v>0</v>
      </c>
    </row>
    <row r="369" spans="1:10" x14ac:dyDescent="0.2">
      <c r="A369" s="85"/>
      <c r="B369" s="53" t="s">
        <v>21</v>
      </c>
      <c r="C369" s="89"/>
      <c r="D369" s="48">
        <v>736</v>
      </c>
      <c r="E369" s="48">
        <v>2.4060000000000001</v>
      </c>
      <c r="F369" s="48">
        <v>3.2269999999999999</v>
      </c>
      <c r="G369" s="48">
        <v>4.8220000000000001</v>
      </c>
      <c r="H369" s="48">
        <v>0.25131701000000001</v>
      </c>
      <c r="I369" s="48">
        <v>551.03067859999999</v>
      </c>
      <c r="J369" s="52" t="e">
        <v>#DIV/0!</v>
      </c>
    </row>
    <row r="370" spans="1:10" x14ac:dyDescent="0.2">
      <c r="A370" s="87"/>
      <c r="B370" s="56" t="s">
        <v>22</v>
      </c>
      <c r="C370" s="90"/>
      <c r="D370" s="57"/>
      <c r="E370" s="57">
        <v>2.4380000000000002</v>
      </c>
      <c r="F370" s="57">
        <v>3.2709999999999999</v>
      </c>
      <c r="G370" s="57">
        <v>4.8570000000000002</v>
      </c>
      <c r="H370" s="57">
        <v>0.2604708</v>
      </c>
      <c r="I370" s="57">
        <v>0</v>
      </c>
      <c r="J370" s="49" t="e">
        <v>#DIV/0!</v>
      </c>
    </row>
    <row r="371" spans="1:10" x14ac:dyDescent="0.2">
      <c r="A371" s="91" t="s">
        <v>5</v>
      </c>
      <c r="B371" s="53" t="s">
        <v>20</v>
      </c>
      <c r="C371" s="92">
        <v>10</v>
      </c>
      <c r="D371" s="48"/>
      <c r="E371" s="48">
        <v>2.4540000000000002</v>
      </c>
      <c r="F371" s="48">
        <v>3.5409999999999999</v>
      </c>
      <c r="G371" s="48">
        <v>5.1319999999999997</v>
      </c>
      <c r="H371" s="48">
        <v>0.24371646</v>
      </c>
      <c r="I371" s="48">
        <v>0</v>
      </c>
      <c r="J371" s="52">
        <v>0</v>
      </c>
    </row>
    <row r="372" spans="1:10" x14ac:dyDescent="0.2">
      <c r="A372" s="85"/>
      <c r="B372" s="53" t="s">
        <v>21</v>
      </c>
      <c r="C372" s="89"/>
      <c r="D372" s="48">
        <v>738</v>
      </c>
      <c r="E372" s="48">
        <v>2.4420000000000002</v>
      </c>
      <c r="F372" s="48">
        <v>3.7909999999999999</v>
      </c>
      <c r="G372" s="48">
        <v>5.3109999999999999</v>
      </c>
      <c r="H372" s="48">
        <v>0.2432076</v>
      </c>
      <c r="I372" s="48">
        <v>558.51279350000004</v>
      </c>
      <c r="J372" s="52" t="e">
        <v>#DIV/0!</v>
      </c>
    </row>
    <row r="373" spans="1:10" x14ac:dyDescent="0.2">
      <c r="A373" s="87"/>
      <c r="B373" s="56" t="s">
        <v>22</v>
      </c>
      <c r="C373" s="90"/>
      <c r="D373" s="57"/>
      <c r="E373" s="57">
        <v>2.4380000000000002</v>
      </c>
      <c r="F373" s="57">
        <v>3.101</v>
      </c>
      <c r="G373" s="57">
        <v>4.7939999999999996</v>
      </c>
      <c r="H373" s="57">
        <v>0.24024508</v>
      </c>
      <c r="I373" s="57">
        <v>0</v>
      </c>
      <c r="J373" s="49" t="e">
        <v>#DIV/0!</v>
      </c>
    </row>
    <row r="374" spans="1:10" x14ac:dyDescent="0.2">
      <c r="A374" s="91" t="s">
        <v>6</v>
      </c>
      <c r="B374" s="53" t="s">
        <v>20</v>
      </c>
      <c r="C374" s="92">
        <v>10</v>
      </c>
      <c r="D374" s="48"/>
      <c r="E374" s="48">
        <v>2.4329999999999998</v>
      </c>
      <c r="F374" s="48">
        <v>3.5019999999999998</v>
      </c>
      <c r="G374" s="48">
        <v>5.1070000000000002</v>
      </c>
      <c r="H374" s="48">
        <v>0.23643632000000001</v>
      </c>
      <c r="I374" s="48">
        <v>0</v>
      </c>
      <c r="J374" s="52">
        <v>0</v>
      </c>
    </row>
    <row r="375" spans="1:10" x14ac:dyDescent="0.2">
      <c r="A375" s="85"/>
      <c r="B375" s="53" t="s">
        <v>21</v>
      </c>
      <c r="C375" s="89"/>
      <c r="D375" s="48">
        <v>788</v>
      </c>
      <c r="E375" s="48">
        <v>2.4769999999999999</v>
      </c>
      <c r="F375" s="48">
        <v>3.1659999999999999</v>
      </c>
      <c r="G375" s="48">
        <v>4.9249999999999998</v>
      </c>
      <c r="H375" s="48">
        <v>0.22678459000000001</v>
      </c>
      <c r="I375" s="48">
        <v>609.29374610000002</v>
      </c>
      <c r="J375" s="52" t="e">
        <v>#DIV/0!</v>
      </c>
    </row>
    <row r="376" spans="1:10" x14ac:dyDescent="0.2">
      <c r="A376" s="87"/>
      <c r="B376" s="56" t="s">
        <v>22</v>
      </c>
      <c r="C376" s="90"/>
      <c r="D376" s="57"/>
      <c r="E376" s="57">
        <v>2.4350000000000001</v>
      </c>
      <c r="F376" s="57">
        <v>3.7759999999999998</v>
      </c>
      <c r="G376" s="57">
        <v>5.3280000000000003</v>
      </c>
      <c r="H376" s="57">
        <v>0.23384534000000001</v>
      </c>
      <c r="I376" s="57">
        <v>0</v>
      </c>
      <c r="J376" s="49" t="e">
        <v>#DIV/0!</v>
      </c>
    </row>
    <row r="377" spans="1:10" x14ac:dyDescent="0.2">
      <c r="A377" s="91" t="s">
        <v>7</v>
      </c>
      <c r="B377" s="53" t="s">
        <v>20</v>
      </c>
      <c r="C377" s="92">
        <v>10</v>
      </c>
      <c r="D377" s="48"/>
      <c r="E377" s="48">
        <v>2.4489999999999998</v>
      </c>
      <c r="F377" s="48">
        <v>3.1739999999999999</v>
      </c>
      <c r="G377" s="48">
        <v>4.798</v>
      </c>
      <c r="H377" s="48">
        <v>0.25992439000000001</v>
      </c>
      <c r="I377" s="48">
        <v>0</v>
      </c>
      <c r="J377" s="52">
        <v>0</v>
      </c>
    </row>
    <row r="378" spans="1:10" x14ac:dyDescent="0.2">
      <c r="A378" s="85"/>
      <c r="B378" s="53" t="s">
        <v>21</v>
      </c>
      <c r="C378" s="89"/>
      <c r="D378" s="48">
        <v>781</v>
      </c>
      <c r="E378" s="48">
        <v>2.4340000000000002</v>
      </c>
      <c r="F378" s="48">
        <v>3.3889999999999998</v>
      </c>
      <c r="G378" s="48">
        <v>5.0359999999999996</v>
      </c>
      <c r="H378" s="48">
        <v>0.23222188999999999</v>
      </c>
      <c r="I378" s="48">
        <v>599.63470050000001</v>
      </c>
      <c r="J378" s="52" t="e">
        <v>#DIV/0!</v>
      </c>
    </row>
    <row r="379" spans="1:10" x14ac:dyDescent="0.2">
      <c r="A379" s="87"/>
      <c r="B379" s="56" t="s">
        <v>22</v>
      </c>
      <c r="C379" s="90"/>
      <c r="D379" s="57"/>
      <c r="E379" s="57">
        <v>2.4430000000000001</v>
      </c>
      <c r="F379" s="57">
        <v>3.09</v>
      </c>
      <c r="G379" s="57">
        <v>4.84</v>
      </c>
      <c r="H379" s="57">
        <v>0.22427184</v>
      </c>
      <c r="I379" s="57">
        <v>0</v>
      </c>
      <c r="J379" s="49" t="e">
        <v>#DIV/0!</v>
      </c>
    </row>
    <row r="380" spans="1:10" x14ac:dyDescent="0.2">
      <c r="A380" s="91" t="s">
        <v>8</v>
      </c>
      <c r="B380" s="53" t="s">
        <v>20</v>
      </c>
      <c r="C380" s="92">
        <v>10</v>
      </c>
      <c r="D380" s="48"/>
      <c r="E380" s="48">
        <v>2.427</v>
      </c>
      <c r="F380" s="48">
        <v>3.3410000000000002</v>
      </c>
      <c r="G380" s="48">
        <v>4.8380000000000001</v>
      </c>
      <c r="H380" s="48">
        <v>0.27835977000000001</v>
      </c>
      <c r="I380" s="48">
        <v>0</v>
      </c>
      <c r="J380" s="52">
        <v>0</v>
      </c>
    </row>
    <row r="381" spans="1:10" x14ac:dyDescent="0.2">
      <c r="A381" s="85"/>
      <c r="B381" s="53" t="s">
        <v>21</v>
      </c>
      <c r="C381" s="89"/>
      <c r="D381" s="48">
        <v>630</v>
      </c>
      <c r="E381" s="48">
        <v>2.4169999999999998</v>
      </c>
      <c r="F381" s="48">
        <v>3.194</v>
      </c>
      <c r="G381" s="48">
        <v>4.74</v>
      </c>
      <c r="H381" s="48">
        <v>0.27269881000000001</v>
      </c>
      <c r="I381" s="48">
        <v>458.1997495</v>
      </c>
      <c r="J381" s="52" t="e">
        <v>#DIV/0!</v>
      </c>
    </row>
    <row r="382" spans="1:10" x14ac:dyDescent="0.2">
      <c r="A382" s="87"/>
      <c r="B382" s="56" t="s">
        <v>22</v>
      </c>
      <c r="C382" s="90"/>
      <c r="D382" s="57"/>
      <c r="E382" s="57">
        <v>2.4129999999999998</v>
      </c>
      <c r="F382" s="57">
        <v>3.0680000000000001</v>
      </c>
      <c r="G382" s="57">
        <v>4.649</v>
      </c>
      <c r="H382" s="57">
        <v>0.27118643999999997</v>
      </c>
      <c r="I382" s="57">
        <v>0</v>
      </c>
      <c r="J382" s="49" t="e">
        <v>#DIV/0!</v>
      </c>
    </row>
    <row r="383" spans="1:10" x14ac:dyDescent="0.2">
      <c r="A383" s="91" t="s">
        <v>9</v>
      </c>
      <c r="B383" s="53" t="s">
        <v>20</v>
      </c>
      <c r="C383" s="92">
        <v>10</v>
      </c>
      <c r="D383" s="48"/>
      <c r="E383" s="48">
        <v>2.448</v>
      </c>
      <c r="F383" s="48">
        <v>3.8370000000000002</v>
      </c>
      <c r="G383" s="48">
        <v>5.2430000000000003</v>
      </c>
      <c r="H383" s="48">
        <v>0.27156633000000002</v>
      </c>
      <c r="I383" s="48">
        <v>0</v>
      </c>
      <c r="J383" s="52">
        <v>0</v>
      </c>
    </row>
    <row r="384" spans="1:10" x14ac:dyDescent="0.2">
      <c r="A384" s="85"/>
      <c r="B384" s="53" t="s">
        <v>21</v>
      </c>
      <c r="C384" s="89"/>
      <c r="D384" s="48">
        <v>822</v>
      </c>
      <c r="E384" s="48">
        <v>2.4449999999999998</v>
      </c>
      <c r="F384" s="48">
        <v>3.25</v>
      </c>
      <c r="G384" s="48">
        <v>4.835</v>
      </c>
      <c r="H384" s="48">
        <v>0.26461538000000001</v>
      </c>
      <c r="I384" s="48">
        <v>604.48615380000001</v>
      </c>
      <c r="J384" s="52" t="e">
        <v>#DIV/0!</v>
      </c>
    </row>
    <row r="385" spans="1:10" x14ac:dyDescent="0.2">
      <c r="A385" s="87"/>
      <c r="B385" s="56" t="s">
        <v>22</v>
      </c>
      <c r="C385" s="90"/>
      <c r="D385" s="57"/>
      <c r="E385" s="57">
        <v>2.4249999999999998</v>
      </c>
      <c r="F385" s="57">
        <v>3.0579999999999998</v>
      </c>
      <c r="G385" s="57">
        <v>4.6849999999999996</v>
      </c>
      <c r="H385" s="57">
        <v>0.26095487000000001</v>
      </c>
      <c r="I385" s="57">
        <v>0</v>
      </c>
      <c r="J385" s="49" t="e">
        <v>#DIV/0!</v>
      </c>
    </row>
    <row r="386" spans="1:10" x14ac:dyDescent="0.2">
      <c r="A386" s="91" t="s">
        <v>10</v>
      </c>
      <c r="B386" s="53" t="s">
        <v>20</v>
      </c>
      <c r="C386" s="92">
        <v>10</v>
      </c>
      <c r="D386" s="48"/>
      <c r="E386" s="48">
        <v>2.4300000000000002</v>
      </c>
      <c r="F386" s="48">
        <v>3.0619999999999998</v>
      </c>
      <c r="G386" s="48">
        <v>4.7210000000000001</v>
      </c>
      <c r="H386" s="48">
        <v>0.25179621000000002</v>
      </c>
      <c r="I386" s="48">
        <v>0</v>
      </c>
      <c r="J386" s="52">
        <v>0</v>
      </c>
    </row>
    <row r="387" spans="1:10" x14ac:dyDescent="0.2">
      <c r="A387" s="85"/>
      <c r="B387" s="53" t="s">
        <v>21</v>
      </c>
      <c r="C387" s="89"/>
      <c r="D387" s="48">
        <v>852</v>
      </c>
      <c r="E387" s="48">
        <v>2.484</v>
      </c>
      <c r="F387" s="48">
        <v>3.3690000000000002</v>
      </c>
      <c r="G387" s="48">
        <v>4.9790000000000001</v>
      </c>
      <c r="H387" s="48">
        <v>0.25942416000000001</v>
      </c>
      <c r="I387" s="48">
        <v>630.97061440000004</v>
      </c>
      <c r="J387" s="52" t="e">
        <v>#DIV/0!</v>
      </c>
    </row>
    <row r="388" spans="1:10" x14ac:dyDescent="0.2">
      <c r="A388" s="87"/>
      <c r="B388" s="56" t="s">
        <v>22</v>
      </c>
      <c r="C388" s="90"/>
      <c r="D388" s="57"/>
      <c r="E388" s="57">
        <v>2.42</v>
      </c>
      <c r="F388" s="57">
        <v>3.0110000000000001</v>
      </c>
      <c r="G388" s="57">
        <v>4.74</v>
      </c>
      <c r="H388" s="57">
        <v>0.22949185999999999</v>
      </c>
      <c r="I388" s="57">
        <v>0</v>
      </c>
      <c r="J388" s="49" t="e">
        <v>#DIV/0!</v>
      </c>
    </row>
    <row r="389" spans="1:10" x14ac:dyDescent="0.2">
      <c r="A389" s="91" t="s">
        <v>11</v>
      </c>
      <c r="B389" s="53" t="s">
        <v>20</v>
      </c>
      <c r="C389" s="92">
        <v>10</v>
      </c>
      <c r="D389" s="48"/>
      <c r="E389" s="48">
        <v>2.427</v>
      </c>
      <c r="F389" s="48">
        <v>3.3279999999999998</v>
      </c>
      <c r="G389" s="48">
        <v>5.1790000000000003</v>
      </c>
      <c r="H389" s="48">
        <v>0.17307692</v>
      </c>
      <c r="I389" s="48">
        <v>0</v>
      </c>
      <c r="J389" s="52">
        <v>0</v>
      </c>
    </row>
    <row r="390" spans="1:10" x14ac:dyDescent="0.2">
      <c r="A390" s="85"/>
      <c r="B390" s="53" t="s">
        <v>21</v>
      </c>
      <c r="C390" s="89"/>
      <c r="D390" s="48">
        <v>908</v>
      </c>
      <c r="E390" s="48">
        <v>2.4260000000000002</v>
      </c>
      <c r="F390" s="48">
        <v>3.03</v>
      </c>
      <c r="G390" s="48">
        <v>4.8099999999999996</v>
      </c>
      <c r="H390" s="48">
        <v>0.21320132</v>
      </c>
      <c r="I390" s="48">
        <v>714.41320129999997</v>
      </c>
      <c r="J390" s="52" t="e">
        <v>#DIV/0!</v>
      </c>
    </row>
    <row r="391" spans="1:10" x14ac:dyDescent="0.2">
      <c r="A391" s="87"/>
      <c r="B391" s="56" t="s">
        <v>22</v>
      </c>
      <c r="C391" s="90"/>
      <c r="D391" s="57"/>
      <c r="E391" s="57">
        <v>2.431</v>
      </c>
      <c r="F391" s="57">
        <v>3.7320000000000002</v>
      </c>
      <c r="G391" s="57">
        <v>5.5869999999999997</v>
      </c>
      <c r="H391" s="57">
        <v>0.15434084000000001</v>
      </c>
      <c r="I391" s="57">
        <v>0</v>
      </c>
      <c r="J391" s="49" t="e">
        <v>#DIV/0!</v>
      </c>
    </row>
    <row r="392" spans="1:10" x14ac:dyDescent="0.2">
      <c r="A392" s="91" t="s">
        <v>12</v>
      </c>
      <c r="B392" s="53" t="s">
        <v>20</v>
      </c>
      <c r="C392" s="92">
        <v>10</v>
      </c>
      <c r="D392" s="48"/>
      <c r="E392" s="48">
        <v>2.4239999999999999</v>
      </c>
      <c r="F392" s="48">
        <v>3.18</v>
      </c>
      <c r="G392" s="48">
        <v>5.274</v>
      </c>
      <c r="H392" s="48">
        <v>0.10377358</v>
      </c>
      <c r="I392" s="48">
        <v>0</v>
      </c>
      <c r="J392" s="52">
        <v>0</v>
      </c>
    </row>
    <row r="393" spans="1:10" x14ac:dyDescent="0.2">
      <c r="A393" s="85"/>
      <c r="B393" s="53" t="s">
        <v>21</v>
      </c>
      <c r="C393" s="89"/>
      <c r="D393" s="48">
        <v>769</v>
      </c>
      <c r="E393" s="48">
        <v>2.427</v>
      </c>
      <c r="F393" s="48">
        <v>3.7109999999999999</v>
      </c>
      <c r="G393" s="48">
        <v>5.3920000000000003</v>
      </c>
      <c r="H393" s="48">
        <v>0.20102397999999999</v>
      </c>
      <c r="I393" s="48">
        <v>614.4125573</v>
      </c>
      <c r="J393" s="52" t="e">
        <v>#DIV/0!</v>
      </c>
    </row>
    <row r="394" spans="1:10" x14ac:dyDescent="0.2">
      <c r="A394" s="87"/>
      <c r="B394" s="56" t="s">
        <v>22</v>
      </c>
      <c r="C394" s="90"/>
      <c r="D394" s="57"/>
      <c r="E394" s="57">
        <v>2.4449999999999998</v>
      </c>
      <c r="F394" s="57">
        <v>3.0739999999999998</v>
      </c>
      <c r="G394" s="57">
        <v>5.0750000000000002</v>
      </c>
      <c r="H394" s="57">
        <v>0.14443722000000001</v>
      </c>
      <c r="I394" s="57">
        <v>0</v>
      </c>
      <c r="J394" s="49" t="e">
        <v>#DIV/0!</v>
      </c>
    </row>
    <row r="395" spans="1:10" x14ac:dyDescent="0.2">
      <c r="A395" s="91" t="s">
        <v>13</v>
      </c>
      <c r="B395" s="53" t="s">
        <v>20</v>
      </c>
      <c r="C395" s="92">
        <v>10</v>
      </c>
      <c r="D395" s="48"/>
      <c r="E395" s="48">
        <v>2.4430000000000001</v>
      </c>
      <c r="F395" s="48">
        <v>3.4319999999999999</v>
      </c>
      <c r="G395" s="48">
        <v>5.4029999999999996</v>
      </c>
      <c r="H395" s="48">
        <v>0.13752913999999999</v>
      </c>
      <c r="I395" s="48">
        <v>0</v>
      </c>
      <c r="J395" s="52">
        <v>0</v>
      </c>
    </row>
    <row r="396" spans="1:10" x14ac:dyDescent="0.2">
      <c r="A396" s="85"/>
      <c r="B396" s="53" t="s">
        <v>21</v>
      </c>
      <c r="C396" s="89"/>
      <c r="D396" s="48">
        <v>626</v>
      </c>
      <c r="E396" s="48">
        <v>2.4590000000000001</v>
      </c>
      <c r="F396" s="48">
        <v>3.4039999999999999</v>
      </c>
      <c r="G396" s="48">
        <v>5.423</v>
      </c>
      <c r="H396" s="48">
        <v>0.12925969000000001</v>
      </c>
      <c r="I396" s="48">
        <v>545.08343130000003</v>
      </c>
      <c r="J396" s="52" t="e">
        <v>#DIV/0!</v>
      </c>
    </row>
    <row r="397" spans="1:10" x14ac:dyDescent="0.2">
      <c r="A397" s="87"/>
      <c r="B397" s="56" t="s">
        <v>22</v>
      </c>
      <c r="C397" s="90"/>
      <c r="D397" s="57"/>
      <c r="E397" s="57">
        <v>2.4239999999999999</v>
      </c>
      <c r="F397" s="57">
        <v>3.53</v>
      </c>
      <c r="G397" s="57">
        <v>5.5090000000000003</v>
      </c>
      <c r="H397" s="57">
        <v>0.12606232000000001</v>
      </c>
      <c r="I397" s="57">
        <v>0</v>
      </c>
      <c r="J397" s="49" t="e">
        <v>#DIV/0!</v>
      </c>
    </row>
    <row r="398" spans="1:10" x14ac:dyDescent="0.2">
      <c r="A398" s="91" t="s">
        <v>14</v>
      </c>
      <c r="B398" s="53" t="s">
        <v>20</v>
      </c>
      <c r="C398" s="92">
        <v>10</v>
      </c>
      <c r="D398" s="48"/>
      <c r="E398" s="48"/>
      <c r="F398" s="48"/>
      <c r="G398" s="48"/>
      <c r="H398" s="48" t="e">
        <v>#DIV/0!</v>
      </c>
      <c r="I398" s="48" t="e">
        <v>#DIV/0!</v>
      </c>
      <c r="J398" s="52" t="e">
        <v>#DIV/0!</v>
      </c>
    </row>
    <row r="399" spans="1:10" x14ac:dyDescent="0.2">
      <c r="A399" s="85"/>
      <c r="B399" s="53" t="s">
        <v>21</v>
      </c>
      <c r="C399" s="89"/>
      <c r="D399" s="48"/>
      <c r="E399" s="48"/>
      <c r="F399" s="48"/>
      <c r="G399" s="48"/>
      <c r="H399" s="48" t="e">
        <v>#DIV/0!</v>
      </c>
      <c r="I399" s="48" t="e">
        <v>#DIV/0!</v>
      </c>
      <c r="J399" s="52" t="e">
        <v>#DIV/0!</v>
      </c>
    </row>
    <row r="400" spans="1:10" ht="16" thickBot="1" x14ac:dyDescent="0.25">
      <c r="A400" s="93"/>
      <c r="B400" s="58" t="s">
        <v>22</v>
      </c>
      <c r="C400" s="94"/>
      <c r="D400" s="59"/>
      <c r="E400" s="59"/>
      <c r="F400" s="59"/>
      <c r="G400" s="59"/>
      <c r="H400" s="59" t="e">
        <v>#DIV/0!</v>
      </c>
      <c r="I400" s="59" t="e">
        <v>#DIV/0!</v>
      </c>
      <c r="J400" s="50" t="e">
        <v>#DIV/0!</v>
      </c>
    </row>
    <row r="401" spans="1:10" ht="16" thickBot="1" x14ac:dyDescent="0.25">
      <c r="A401" s="60" t="s">
        <v>1</v>
      </c>
      <c r="B401" s="61"/>
      <c r="C401" s="62"/>
      <c r="D401" s="63" t="s">
        <v>38</v>
      </c>
      <c r="E401" s="64"/>
      <c r="F401" s="58" t="s">
        <v>0</v>
      </c>
      <c r="G401" s="18">
        <v>44180</v>
      </c>
      <c r="H401" s="65" t="s">
        <v>24</v>
      </c>
      <c r="I401" s="66"/>
      <c r="J401" s="49">
        <v>110</v>
      </c>
    </row>
    <row r="402" spans="1:10" ht="16" thickBot="1" x14ac:dyDescent="0.25">
      <c r="A402" s="67" t="s">
        <v>2</v>
      </c>
      <c r="B402" s="68"/>
      <c r="C402" s="69"/>
      <c r="D402" s="70"/>
      <c r="E402" s="71"/>
      <c r="F402" s="72"/>
      <c r="G402" s="73"/>
      <c r="H402" s="74" t="s">
        <v>25</v>
      </c>
      <c r="I402" s="75"/>
      <c r="J402" s="49">
        <v>13</v>
      </c>
    </row>
    <row r="403" spans="1:10" ht="16" thickBot="1" x14ac:dyDescent="0.25">
      <c r="A403" s="76" t="s">
        <v>27</v>
      </c>
      <c r="B403" s="77"/>
      <c r="C403" s="78"/>
      <c r="D403" s="79" t="s">
        <v>33</v>
      </c>
      <c r="E403" s="80"/>
      <c r="F403" s="48" t="s">
        <v>30</v>
      </c>
      <c r="G403" s="48">
        <v>3.81</v>
      </c>
      <c r="H403" s="81" t="s">
        <v>26</v>
      </c>
      <c r="I403" s="82"/>
      <c r="J403" s="50">
        <v>31</v>
      </c>
    </row>
    <row r="404" spans="1:10" x14ac:dyDescent="0.2">
      <c r="A404" s="83"/>
      <c r="B404" s="84"/>
      <c r="C404" s="51" t="s">
        <v>29</v>
      </c>
      <c r="D404" s="51" t="s">
        <v>19</v>
      </c>
      <c r="E404" s="51" t="s">
        <v>15</v>
      </c>
      <c r="F404" s="51" t="s">
        <v>18</v>
      </c>
      <c r="G404" s="51" t="s">
        <v>17</v>
      </c>
      <c r="H404" s="48" t="s">
        <v>28</v>
      </c>
      <c r="I404" s="48" t="s">
        <v>16</v>
      </c>
      <c r="J404" s="52" t="s">
        <v>23</v>
      </c>
    </row>
    <row r="405" spans="1:10" x14ac:dyDescent="0.2">
      <c r="A405" s="86" t="s">
        <v>3</v>
      </c>
      <c r="B405" s="53" t="s">
        <v>20</v>
      </c>
      <c r="C405" s="88">
        <v>10</v>
      </c>
      <c r="D405" s="54"/>
      <c r="E405" s="54">
        <v>2.4319999999999999</v>
      </c>
      <c r="F405" s="54">
        <v>3.1589999999999998</v>
      </c>
      <c r="G405" s="54">
        <v>4.9980000000000002</v>
      </c>
      <c r="H405" s="54">
        <v>0.18771763</v>
      </c>
      <c r="I405" s="54">
        <v>0</v>
      </c>
      <c r="J405" s="55">
        <v>0</v>
      </c>
    </row>
    <row r="406" spans="1:10" x14ac:dyDescent="0.2">
      <c r="A406" s="85"/>
      <c r="B406" s="53" t="s">
        <v>21</v>
      </c>
      <c r="C406" s="89"/>
      <c r="D406" s="48">
        <v>802</v>
      </c>
      <c r="E406" s="48">
        <v>2.44</v>
      </c>
      <c r="F406" s="48">
        <v>3.4860000000000002</v>
      </c>
      <c r="G406" s="48">
        <v>5.2729999999999997</v>
      </c>
      <c r="H406" s="48">
        <v>0.18732071</v>
      </c>
      <c r="I406" s="48">
        <v>651.76878939999995</v>
      </c>
      <c r="J406" s="52" t="e">
        <v>#DIV/0!</v>
      </c>
    </row>
    <row r="407" spans="1:10" x14ac:dyDescent="0.2">
      <c r="A407" s="87"/>
      <c r="B407" s="56" t="s">
        <v>22</v>
      </c>
      <c r="C407" s="90"/>
      <c r="D407" s="57"/>
      <c r="E407" s="57">
        <v>2.42</v>
      </c>
      <c r="F407" s="57">
        <v>3.7010000000000001</v>
      </c>
      <c r="G407" s="57">
        <v>5.39</v>
      </c>
      <c r="H407" s="57">
        <v>0.19751419000000001</v>
      </c>
      <c r="I407" s="57">
        <v>0</v>
      </c>
      <c r="J407" s="49" t="e">
        <v>#DIV/0!</v>
      </c>
    </row>
    <row r="408" spans="1:10" x14ac:dyDescent="0.2">
      <c r="A408" s="91" t="s">
        <v>4</v>
      </c>
      <c r="B408" s="53" t="s">
        <v>20</v>
      </c>
      <c r="C408" s="92">
        <v>10</v>
      </c>
      <c r="D408" s="48"/>
      <c r="E408" s="48">
        <v>2.3969999999999998</v>
      </c>
      <c r="F408" s="48">
        <v>3.6560000000000001</v>
      </c>
      <c r="G408" s="48">
        <v>5.3390000000000004</v>
      </c>
      <c r="H408" s="48">
        <v>0.19529540000000001</v>
      </c>
      <c r="I408" s="48">
        <v>0</v>
      </c>
      <c r="J408" s="52">
        <v>0</v>
      </c>
    </row>
    <row r="409" spans="1:10" x14ac:dyDescent="0.2">
      <c r="A409" s="85"/>
      <c r="B409" s="53" t="s">
        <v>21</v>
      </c>
      <c r="C409" s="89"/>
      <c r="D409" s="48">
        <v>801</v>
      </c>
      <c r="E409" s="48">
        <v>2.4540000000000002</v>
      </c>
      <c r="F409" s="48">
        <v>3.0950000000000002</v>
      </c>
      <c r="G409" s="48">
        <v>4.968</v>
      </c>
      <c r="H409" s="48">
        <v>0.18772212999999999</v>
      </c>
      <c r="I409" s="48">
        <v>650.63457189999997</v>
      </c>
      <c r="J409" s="52" t="e">
        <v>#DIV/0!</v>
      </c>
    </row>
    <row r="410" spans="1:10" x14ac:dyDescent="0.2">
      <c r="A410" s="87"/>
      <c r="B410" s="56" t="s">
        <v>22</v>
      </c>
      <c r="C410" s="90"/>
      <c r="D410" s="57"/>
      <c r="E410" s="57">
        <v>2.4540000000000002</v>
      </c>
      <c r="F410" s="57">
        <v>3.3820000000000001</v>
      </c>
      <c r="G410" s="57">
        <v>5.18</v>
      </c>
      <c r="H410" s="57">
        <v>0.19396806999999999</v>
      </c>
      <c r="I410" s="57">
        <v>0</v>
      </c>
      <c r="J410" s="49" t="e">
        <v>#DIV/0!</v>
      </c>
    </row>
    <row r="411" spans="1:10" x14ac:dyDescent="0.2">
      <c r="A411" s="91" t="s">
        <v>5</v>
      </c>
      <c r="B411" s="53" t="s">
        <v>20</v>
      </c>
      <c r="C411" s="92">
        <v>10</v>
      </c>
      <c r="D411" s="48"/>
      <c r="E411" s="48">
        <v>2.4390000000000001</v>
      </c>
      <c r="F411" s="48">
        <v>3.7250000000000001</v>
      </c>
      <c r="G411" s="48">
        <v>5.5049999999999999</v>
      </c>
      <c r="H411" s="48">
        <v>0.17691275000000001</v>
      </c>
      <c r="I411" s="48">
        <v>0</v>
      </c>
      <c r="J411" s="52">
        <v>0</v>
      </c>
    </row>
    <row r="412" spans="1:10" x14ac:dyDescent="0.2">
      <c r="A412" s="85"/>
      <c r="B412" s="53" t="s">
        <v>21</v>
      </c>
      <c r="C412" s="89"/>
      <c r="D412" s="48">
        <v>799</v>
      </c>
      <c r="E412" s="48">
        <v>2.415</v>
      </c>
      <c r="F412" s="48">
        <v>3.4710000000000001</v>
      </c>
      <c r="G412" s="48">
        <v>5.2009999999999996</v>
      </c>
      <c r="H412" s="48">
        <v>0.19734947</v>
      </c>
      <c r="I412" s="48">
        <v>641.31777590000002</v>
      </c>
      <c r="J412" s="52" t="e">
        <v>#DIV/0!</v>
      </c>
    </row>
    <row r="413" spans="1:10" x14ac:dyDescent="0.2">
      <c r="A413" s="87"/>
      <c r="B413" s="56" t="s">
        <v>22</v>
      </c>
      <c r="C413" s="90"/>
      <c r="D413" s="57"/>
      <c r="E413" s="57">
        <v>2.4449999999999998</v>
      </c>
      <c r="F413" s="57">
        <v>3.2250000000000001</v>
      </c>
      <c r="G413" s="57">
        <v>5.0579999999999998</v>
      </c>
      <c r="H413" s="57">
        <v>0.18976744000000001</v>
      </c>
      <c r="I413" s="57">
        <v>0</v>
      </c>
      <c r="J413" s="49" t="e">
        <v>#DIV/0!</v>
      </c>
    </row>
    <row r="414" spans="1:10" x14ac:dyDescent="0.2">
      <c r="A414" s="91" t="s">
        <v>6</v>
      </c>
      <c r="B414" s="53" t="s">
        <v>20</v>
      </c>
      <c r="C414" s="92">
        <v>10</v>
      </c>
      <c r="D414" s="48"/>
      <c r="E414" s="48">
        <v>2.4430000000000001</v>
      </c>
      <c r="F414" s="48">
        <v>3.7229999999999999</v>
      </c>
      <c r="G414" s="48">
        <v>5.5789999999999997</v>
      </c>
      <c r="H414" s="48">
        <v>0.15766854999999999</v>
      </c>
      <c r="I414" s="48">
        <v>0</v>
      </c>
      <c r="J414" s="52">
        <v>0</v>
      </c>
    </row>
    <row r="415" spans="1:10" x14ac:dyDescent="0.2">
      <c r="A415" s="85"/>
      <c r="B415" s="53" t="s">
        <v>21</v>
      </c>
      <c r="C415" s="89"/>
      <c r="D415" s="48">
        <v>914</v>
      </c>
      <c r="E415" s="48">
        <v>2.4279999999999999</v>
      </c>
      <c r="F415" s="48">
        <v>3.2040000000000002</v>
      </c>
      <c r="G415" s="48">
        <v>5.1079999999999997</v>
      </c>
      <c r="H415" s="48">
        <v>0.16354557</v>
      </c>
      <c r="I415" s="48">
        <v>764.51935079999998</v>
      </c>
      <c r="J415" s="52" t="e">
        <v>#DIV/0!</v>
      </c>
    </row>
    <row r="416" spans="1:10" x14ac:dyDescent="0.2">
      <c r="A416" s="87"/>
      <c r="B416" s="56" t="s">
        <v>22</v>
      </c>
      <c r="C416" s="90"/>
      <c r="D416" s="57"/>
      <c r="E416" s="57">
        <v>2.4369999999999998</v>
      </c>
      <c r="F416" s="57">
        <v>3.8279999999999998</v>
      </c>
      <c r="G416" s="57">
        <v>5.6890000000000001</v>
      </c>
      <c r="H416" s="57">
        <v>0.15047021999999999</v>
      </c>
      <c r="I416" s="57">
        <v>0</v>
      </c>
      <c r="J416" s="49" t="e">
        <v>#DIV/0!</v>
      </c>
    </row>
    <row r="417" spans="1:10" x14ac:dyDescent="0.2">
      <c r="A417" s="91" t="s">
        <v>7</v>
      </c>
      <c r="B417" s="53" t="s">
        <v>20</v>
      </c>
      <c r="C417" s="92">
        <v>10</v>
      </c>
      <c r="D417" s="48"/>
      <c r="E417" s="48">
        <v>2.4390000000000001</v>
      </c>
      <c r="F417" s="48">
        <v>3.9260000000000002</v>
      </c>
      <c r="G417" s="48">
        <v>5.7679999999999998</v>
      </c>
      <c r="H417" s="48">
        <v>0.15206317</v>
      </c>
      <c r="I417" s="48">
        <v>0</v>
      </c>
      <c r="J417" s="52">
        <v>0</v>
      </c>
    </row>
    <row r="418" spans="1:10" x14ac:dyDescent="0.2">
      <c r="A418" s="85"/>
      <c r="B418" s="53" t="s">
        <v>21</v>
      </c>
      <c r="C418" s="89"/>
      <c r="D418" s="48">
        <v>876</v>
      </c>
      <c r="E418" s="48">
        <v>2.4279999999999999</v>
      </c>
      <c r="F418" s="48">
        <v>3.5539999999999998</v>
      </c>
      <c r="G418" s="48">
        <v>5.4589999999999996</v>
      </c>
      <c r="H418" s="48">
        <v>0.14715813</v>
      </c>
      <c r="I418" s="48">
        <v>747.08947660000001</v>
      </c>
      <c r="J418" s="52" t="e">
        <v>#DIV/0!</v>
      </c>
    </row>
    <row r="419" spans="1:10" x14ac:dyDescent="0.2">
      <c r="A419" s="87"/>
      <c r="B419" s="56" t="s">
        <v>22</v>
      </c>
      <c r="C419" s="90"/>
      <c r="D419" s="57"/>
      <c r="E419" s="57">
        <v>2.4289999999999998</v>
      </c>
      <c r="F419" s="57">
        <v>3.3690000000000002</v>
      </c>
      <c r="G419" s="57">
        <v>5.3010000000000002</v>
      </c>
      <c r="H419" s="57">
        <v>0.14752151999999999</v>
      </c>
      <c r="I419" s="57">
        <v>0</v>
      </c>
      <c r="J419" s="49" t="e">
        <v>#DIV/0!</v>
      </c>
    </row>
    <row r="420" spans="1:10" x14ac:dyDescent="0.2">
      <c r="A420" s="91" t="s">
        <v>8</v>
      </c>
      <c r="B420" s="53" t="s">
        <v>20</v>
      </c>
      <c r="C420" s="92">
        <v>10</v>
      </c>
      <c r="D420" s="48"/>
      <c r="E420" s="48">
        <v>2.4780000000000002</v>
      </c>
      <c r="F420" s="48">
        <v>3.262</v>
      </c>
      <c r="G420" s="48">
        <v>5.266</v>
      </c>
      <c r="H420" s="48">
        <v>0.14530963</v>
      </c>
      <c r="I420" s="48">
        <v>0</v>
      </c>
      <c r="J420" s="52">
        <v>0</v>
      </c>
    </row>
    <row r="421" spans="1:10" x14ac:dyDescent="0.2">
      <c r="A421" s="85"/>
      <c r="B421" s="53" t="s">
        <v>21</v>
      </c>
      <c r="C421" s="89"/>
      <c r="D421" s="48">
        <v>940</v>
      </c>
      <c r="E421" s="48">
        <v>2.427</v>
      </c>
      <c r="F421" s="48">
        <v>3.5619999999999998</v>
      </c>
      <c r="G421" s="48">
        <v>5.5279999999999996</v>
      </c>
      <c r="H421" s="48">
        <v>0.12942166999999999</v>
      </c>
      <c r="I421" s="48">
        <v>818.34362720000001</v>
      </c>
      <c r="J421" s="52" t="e">
        <v>#DIV/0!</v>
      </c>
    </row>
    <row r="422" spans="1:10" x14ac:dyDescent="0.2">
      <c r="A422" s="87"/>
      <c r="B422" s="56" t="s">
        <v>22</v>
      </c>
      <c r="C422" s="90"/>
      <c r="D422" s="57"/>
      <c r="E422" s="57">
        <v>2.4460000000000002</v>
      </c>
      <c r="F422" s="57">
        <v>3.2250000000000001</v>
      </c>
      <c r="G422" s="57">
        <v>5.343</v>
      </c>
      <c r="H422" s="57">
        <v>0.10170543</v>
      </c>
      <c r="I422" s="57">
        <v>0</v>
      </c>
      <c r="J422" s="49" t="e">
        <v>#DIV/0!</v>
      </c>
    </row>
    <row r="423" spans="1:10" x14ac:dyDescent="0.2">
      <c r="A423" s="91" t="s">
        <v>9</v>
      </c>
      <c r="B423" s="53" t="s">
        <v>20</v>
      </c>
      <c r="C423" s="92">
        <v>10</v>
      </c>
      <c r="D423" s="48"/>
      <c r="E423" s="48">
        <v>2.4359999999999999</v>
      </c>
      <c r="F423" s="48">
        <v>3.2450000000000001</v>
      </c>
      <c r="G423" s="48">
        <v>5.2450000000000001</v>
      </c>
      <c r="H423" s="48">
        <v>0.13436055</v>
      </c>
      <c r="I423" s="48">
        <v>0</v>
      </c>
      <c r="J423" s="52">
        <v>0</v>
      </c>
    </row>
    <row r="424" spans="1:10" x14ac:dyDescent="0.2">
      <c r="A424" s="85"/>
      <c r="B424" s="53" t="s">
        <v>21</v>
      </c>
      <c r="C424" s="89"/>
      <c r="D424" s="48">
        <v>899</v>
      </c>
      <c r="E424" s="48">
        <v>2.4630000000000001</v>
      </c>
      <c r="F424" s="48">
        <v>3.7930000000000001</v>
      </c>
      <c r="G424" s="48">
        <v>5.73</v>
      </c>
      <c r="H424" s="48">
        <v>0.13867651</v>
      </c>
      <c r="I424" s="48">
        <v>774.32981810000001</v>
      </c>
      <c r="J424" s="52" t="e">
        <v>#DIV/0!</v>
      </c>
    </row>
    <row r="425" spans="1:10" x14ac:dyDescent="0.2">
      <c r="A425" s="87"/>
      <c r="B425" s="56" t="s">
        <v>22</v>
      </c>
      <c r="C425" s="90"/>
      <c r="D425" s="57"/>
      <c r="E425" s="57">
        <v>2.4369999999999998</v>
      </c>
      <c r="F425" s="57">
        <v>3.4329999999999998</v>
      </c>
      <c r="G425" s="57">
        <v>5.36</v>
      </c>
      <c r="H425" s="57">
        <v>0.14855810999999999</v>
      </c>
      <c r="I425" s="57">
        <v>0</v>
      </c>
      <c r="J425" s="49" t="e">
        <v>#DIV/0!</v>
      </c>
    </row>
    <row r="426" spans="1:10" x14ac:dyDescent="0.2">
      <c r="A426" s="91" t="s">
        <v>10</v>
      </c>
      <c r="B426" s="53" t="s">
        <v>20</v>
      </c>
      <c r="C426" s="92">
        <v>10</v>
      </c>
      <c r="D426" s="48"/>
      <c r="E426" s="48">
        <v>2.4279999999999999</v>
      </c>
      <c r="F426" s="48">
        <v>3.6259999999999999</v>
      </c>
      <c r="G426" s="48">
        <v>5.4829999999999997</v>
      </c>
      <c r="H426" s="48">
        <v>0.1574738</v>
      </c>
      <c r="I426" s="48">
        <v>0</v>
      </c>
      <c r="J426" s="52">
        <v>0</v>
      </c>
    </row>
    <row r="427" spans="1:10" x14ac:dyDescent="0.2">
      <c r="A427" s="85"/>
      <c r="B427" s="53" t="s">
        <v>21</v>
      </c>
      <c r="C427" s="89"/>
      <c r="D427" s="48">
        <v>820</v>
      </c>
      <c r="E427" s="48">
        <v>2.4209999999999998</v>
      </c>
      <c r="F427" s="48">
        <v>3.1190000000000002</v>
      </c>
      <c r="G427" s="48">
        <v>5.0670000000000002</v>
      </c>
      <c r="H427" s="48">
        <v>0.15165117</v>
      </c>
      <c r="I427" s="48">
        <v>695.64604039999995</v>
      </c>
      <c r="J427" s="52" t="e">
        <v>#DIV/0!</v>
      </c>
    </row>
    <row r="428" spans="1:10" x14ac:dyDescent="0.2">
      <c r="A428" s="87"/>
      <c r="B428" s="56" t="s">
        <v>22</v>
      </c>
      <c r="C428" s="90"/>
      <c r="D428" s="57"/>
      <c r="E428" s="57">
        <v>2.427</v>
      </c>
      <c r="F428" s="57">
        <v>3.2410000000000001</v>
      </c>
      <c r="G428" s="57">
        <v>5.1689999999999996</v>
      </c>
      <c r="H428" s="57">
        <v>0.15396483</v>
      </c>
      <c r="I428" s="57">
        <v>0</v>
      </c>
      <c r="J428" s="49" t="e">
        <v>#DIV/0!</v>
      </c>
    </row>
    <row r="429" spans="1:10" x14ac:dyDescent="0.2">
      <c r="A429" s="91" t="s">
        <v>11</v>
      </c>
      <c r="B429" s="53" t="s">
        <v>20</v>
      </c>
      <c r="C429" s="92">
        <v>10</v>
      </c>
      <c r="D429" s="48"/>
      <c r="E429" s="48">
        <v>2.4630000000000001</v>
      </c>
      <c r="F429" s="48">
        <v>3.1259999999999999</v>
      </c>
      <c r="G429" s="48">
        <v>5.1619999999999999</v>
      </c>
      <c r="H429" s="48">
        <v>0.13659629000000001</v>
      </c>
      <c r="I429" s="48">
        <v>0</v>
      </c>
      <c r="J429" s="52">
        <v>0</v>
      </c>
    </row>
    <row r="430" spans="1:10" x14ac:dyDescent="0.2">
      <c r="A430" s="85"/>
      <c r="B430" s="53" t="s">
        <v>21</v>
      </c>
      <c r="C430" s="89"/>
      <c r="D430" s="48">
        <v>868</v>
      </c>
      <c r="E430" s="48">
        <v>2.4020000000000001</v>
      </c>
      <c r="F430" s="48">
        <v>3.4910000000000001</v>
      </c>
      <c r="G430" s="48">
        <v>5.41</v>
      </c>
      <c r="H430" s="48">
        <v>0.13835576999999999</v>
      </c>
      <c r="I430" s="48">
        <v>747.90718990000005</v>
      </c>
      <c r="J430" s="52" t="e">
        <v>#DIV/0!</v>
      </c>
    </row>
    <row r="431" spans="1:10" x14ac:dyDescent="0.2">
      <c r="A431" s="87"/>
      <c r="B431" s="56" t="s">
        <v>22</v>
      </c>
      <c r="C431" s="90"/>
      <c r="D431" s="57"/>
      <c r="E431" s="57">
        <v>2.4359999999999999</v>
      </c>
      <c r="F431" s="57">
        <v>3.1259999999999999</v>
      </c>
      <c r="G431" s="57">
        <v>5.101</v>
      </c>
      <c r="H431" s="57">
        <v>0.14747281000000001</v>
      </c>
      <c r="I431" s="57">
        <v>0</v>
      </c>
      <c r="J431" s="49" t="e">
        <v>#DIV/0!</v>
      </c>
    </row>
    <row r="432" spans="1:10" x14ac:dyDescent="0.2">
      <c r="A432" s="91" t="s">
        <v>12</v>
      </c>
      <c r="B432" s="53" t="s">
        <v>20</v>
      </c>
      <c r="C432" s="92">
        <v>10</v>
      </c>
      <c r="D432" s="48"/>
      <c r="E432" s="48">
        <v>2.4329999999999998</v>
      </c>
      <c r="F432" s="48">
        <v>3.085</v>
      </c>
      <c r="G432" s="48">
        <v>5.0529999999999999</v>
      </c>
      <c r="H432" s="48">
        <v>0.15072933999999999</v>
      </c>
      <c r="I432" s="48">
        <v>0</v>
      </c>
      <c r="J432" s="52">
        <v>0</v>
      </c>
    </row>
    <row r="433" spans="1:10" x14ac:dyDescent="0.2">
      <c r="A433" s="85"/>
      <c r="B433" s="53" t="s">
        <v>21</v>
      </c>
      <c r="C433" s="89"/>
      <c r="D433" s="48">
        <v>891</v>
      </c>
      <c r="E433" s="48">
        <v>2.4340000000000002</v>
      </c>
      <c r="F433" s="48">
        <v>3.1230000000000002</v>
      </c>
      <c r="G433" s="48">
        <v>5.048</v>
      </c>
      <c r="H433" s="48">
        <v>0.16298430999999999</v>
      </c>
      <c r="I433" s="48">
        <v>745.78097979999995</v>
      </c>
      <c r="J433" s="52" t="e">
        <v>#DIV/0!</v>
      </c>
    </row>
    <row r="434" spans="1:10" x14ac:dyDescent="0.2">
      <c r="A434" s="87"/>
      <c r="B434" s="56" t="s">
        <v>22</v>
      </c>
      <c r="C434" s="90"/>
      <c r="D434" s="57"/>
      <c r="E434" s="57">
        <v>2.4329999999999998</v>
      </c>
      <c r="F434" s="57">
        <v>3.5230000000000001</v>
      </c>
      <c r="G434" s="57">
        <v>5.38</v>
      </c>
      <c r="H434" s="57">
        <v>0.16349701999999999</v>
      </c>
      <c r="I434" s="57">
        <v>0</v>
      </c>
      <c r="J434" s="49" t="e">
        <v>#DIV/0!</v>
      </c>
    </row>
    <row r="435" spans="1:10" x14ac:dyDescent="0.2">
      <c r="A435" s="91" t="s">
        <v>13</v>
      </c>
      <c r="B435" s="53" t="s">
        <v>20</v>
      </c>
      <c r="C435" s="92">
        <v>10</v>
      </c>
      <c r="D435" s="48"/>
      <c r="E435" s="48">
        <v>2.4390000000000001</v>
      </c>
      <c r="F435" s="48">
        <v>3.2709999999999999</v>
      </c>
      <c r="G435" s="48">
        <v>5.2169999999999996</v>
      </c>
      <c r="H435" s="48">
        <v>0.15071842999999999</v>
      </c>
      <c r="I435" s="48">
        <v>0</v>
      </c>
      <c r="J435" s="52">
        <v>0</v>
      </c>
    </row>
    <row r="436" spans="1:10" x14ac:dyDescent="0.2">
      <c r="A436" s="85"/>
      <c r="B436" s="53" t="s">
        <v>21</v>
      </c>
      <c r="C436" s="89"/>
      <c r="D436" s="48">
        <v>690</v>
      </c>
      <c r="E436" s="48">
        <v>2.4060000000000001</v>
      </c>
      <c r="F436" s="48">
        <v>3.125</v>
      </c>
      <c r="G436" s="48">
        <v>5.0670000000000002</v>
      </c>
      <c r="H436" s="48">
        <v>0.14848</v>
      </c>
      <c r="I436" s="48">
        <v>587.54880000000003</v>
      </c>
      <c r="J436" s="52" t="e">
        <v>#DIV/0!</v>
      </c>
    </row>
    <row r="437" spans="1:10" x14ac:dyDescent="0.2">
      <c r="A437" s="87"/>
      <c r="B437" s="56" t="s">
        <v>22</v>
      </c>
      <c r="C437" s="90"/>
      <c r="D437" s="57"/>
      <c r="E437" s="57">
        <v>2.431</v>
      </c>
      <c r="F437" s="57">
        <v>3.407</v>
      </c>
      <c r="G437" s="57">
        <v>5.3129999999999997</v>
      </c>
      <c r="H437" s="57">
        <v>0.15409450999999999</v>
      </c>
      <c r="I437" s="57">
        <v>0</v>
      </c>
      <c r="J437" s="49" t="e">
        <v>#DIV/0!</v>
      </c>
    </row>
    <row r="438" spans="1:10" x14ac:dyDescent="0.2">
      <c r="A438" s="91" t="s">
        <v>14</v>
      </c>
      <c r="B438" s="53" t="s">
        <v>20</v>
      </c>
      <c r="C438" s="92">
        <v>10</v>
      </c>
      <c r="D438" s="48"/>
      <c r="E438" s="48"/>
      <c r="F438" s="48"/>
      <c r="G438" s="48"/>
      <c r="H438" s="48" t="e">
        <v>#DIV/0!</v>
      </c>
      <c r="I438" s="48" t="e">
        <v>#DIV/0!</v>
      </c>
      <c r="J438" s="52" t="e">
        <v>#DIV/0!</v>
      </c>
    </row>
    <row r="439" spans="1:10" x14ac:dyDescent="0.2">
      <c r="A439" s="85"/>
      <c r="B439" s="53" t="s">
        <v>21</v>
      </c>
      <c r="C439" s="89"/>
      <c r="D439" s="48"/>
      <c r="E439" s="48"/>
      <c r="F439" s="48"/>
      <c r="G439" s="48"/>
      <c r="H439" s="48" t="e">
        <v>#DIV/0!</v>
      </c>
      <c r="I439" s="48" t="e">
        <v>#DIV/0!</v>
      </c>
      <c r="J439" s="52" t="e">
        <v>#DIV/0!</v>
      </c>
    </row>
    <row r="440" spans="1:10" ht="16" thickBot="1" x14ac:dyDescent="0.25">
      <c r="A440" s="93"/>
      <c r="B440" s="58" t="s">
        <v>22</v>
      </c>
      <c r="C440" s="94"/>
      <c r="D440" s="59"/>
      <c r="E440" s="59"/>
      <c r="F440" s="59"/>
      <c r="G440" s="59"/>
      <c r="H440" s="59" t="e">
        <v>#DIV/0!</v>
      </c>
      <c r="I440" s="59" t="e">
        <v>#DIV/0!</v>
      </c>
      <c r="J440" s="50" t="e">
        <v>#DIV/0!</v>
      </c>
    </row>
    <row r="441" spans="1:10" ht="16" thickBot="1" x14ac:dyDescent="0.25">
      <c r="A441" s="60" t="s">
        <v>1</v>
      </c>
      <c r="B441" s="61"/>
      <c r="C441" s="62"/>
      <c r="D441" s="63" t="s">
        <v>38</v>
      </c>
      <c r="E441" s="64"/>
      <c r="F441" s="58" t="s">
        <v>0</v>
      </c>
      <c r="G441" s="18">
        <v>44180</v>
      </c>
      <c r="H441" s="65" t="s">
        <v>24</v>
      </c>
      <c r="I441" s="66"/>
      <c r="J441" s="49">
        <v>119</v>
      </c>
    </row>
    <row r="442" spans="1:10" ht="16" thickBot="1" x14ac:dyDescent="0.25">
      <c r="A442" s="67" t="s">
        <v>2</v>
      </c>
      <c r="B442" s="68"/>
      <c r="C442" s="69"/>
      <c r="D442" s="70"/>
      <c r="E442" s="71"/>
      <c r="F442" s="72"/>
      <c r="G442" s="73"/>
      <c r="H442" s="74" t="s">
        <v>25</v>
      </c>
      <c r="I442" s="75"/>
      <c r="J442" s="49">
        <v>23</v>
      </c>
    </row>
    <row r="443" spans="1:10" ht="16" thickBot="1" x14ac:dyDescent="0.25">
      <c r="A443" s="76" t="s">
        <v>27</v>
      </c>
      <c r="B443" s="77"/>
      <c r="C443" s="78"/>
      <c r="D443" s="79" t="s">
        <v>32</v>
      </c>
      <c r="E443" s="80"/>
      <c r="F443" s="48" t="s">
        <v>30</v>
      </c>
      <c r="G443" s="48">
        <v>3.81</v>
      </c>
      <c r="H443" s="81" t="s">
        <v>26</v>
      </c>
      <c r="I443" s="82"/>
      <c r="J443" s="50">
        <v>41.5</v>
      </c>
    </row>
    <row r="444" spans="1:10" x14ac:dyDescent="0.2">
      <c r="A444" s="83"/>
      <c r="B444" s="84"/>
      <c r="C444" s="51" t="s">
        <v>29</v>
      </c>
      <c r="D444" s="51" t="s">
        <v>19</v>
      </c>
      <c r="E444" s="51" t="s">
        <v>15</v>
      </c>
      <c r="F444" s="51" t="s">
        <v>18</v>
      </c>
      <c r="G444" s="51" t="s">
        <v>17</v>
      </c>
      <c r="H444" s="48" t="s">
        <v>28</v>
      </c>
      <c r="I444" s="48" t="s">
        <v>16</v>
      </c>
      <c r="J444" s="52" t="s">
        <v>23</v>
      </c>
    </row>
    <row r="445" spans="1:10" x14ac:dyDescent="0.2">
      <c r="A445" s="86" t="s">
        <v>3</v>
      </c>
      <c r="B445" s="53" t="s">
        <v>20</v>
      </c>
      <c r="C445" s="88">
        <v>10</v>
      </c>
      <c r="D445" s="54"/>
      <c r="E445" s="54">
        <v>2.4380000000000002</v>
      </c>
      <c r="F445" s="54">
        <v>3.0030000000000001</v>
      </c>
      <c r="G445" s="54">
        <v>4.883</v>
      </c>
      <c r="H445" s="54">
        <v>0.18581418999999999</v>
      </c>
      <c r="I445" s="54">
        <v>0</v>
      </c>
      <c r="J445" s="55">
        <v>0</v>
      </c>
    </row>
    <row r="446" spans="1:10" x14ac:dyDescent="0.2">
      <c r="A446" s="85"/>
      <c r="B446" s="53" t="s">
        <v>21</v>
      </c>
      <c r="C446" s="89"/>
      <c r="D446" s="48">
        <v>740</v>
      </c>
      <c r="E446" s="48">
        <v>2.407</v>
      </c>
      <c r="F446" s="48">
        <v>3.246</v>
      </c>
      <c r="G446" s="48">
        <v>5.0279999999999996</v>
      </c>
      <c r="H446" s="48">
        <v>0.19254467</v>
      </c>
      <c r="I446" s="48">
        <v>597.5169439</v>
      </c>
      <c r="J446" s="52" t="e">
        <v>#DIV/0!</v>
      </c>
    </row>
    <row r="447" spans="1:10" x14ac:dyDescent="0.2">
      <c r="A447" s="87"/>
      <c r="B447" s="56" t="s">
        <v>22</v>
      </c>
      <c r="C447" s="90"/>
      <c r="D447" s="57"/>
      <c r="E447" s="57">
        <v>2.4249999999999998</v>
      </c>
      <c r="F447" s="57">
        <v>3.6379999999999999</v>
      </c>
      <c r="G447" s="57">
        <v>5.3869999999999996</v>
      </c>
      <c r="H447" s="57">
        <v>0.18581638</v>
      </c>
      <c r="I447" s="57">
        <v>0</v>
      </c>
      <c r="J447" s="49" t="e">
        <v>#DIV/0!</v>
      </c>
    </row>
    <row r="448" spans="1:10" x14ac:dyDescent="0.2">
      <c r="A448" s="91" t="s">
        <v>4</v>
      </c>
      <c r="B448" s="53" t="s">
        <v>20</v>
      </c>
      <c r="C448" s="92">
        <v>10</v>
      </c>
      <c r="D448" s="48"/>
      <c r="E448" s="48">
        <v>2.4249999999999998</v>
      </c>
      <c r="F448" s="48">
        <v>3.4430000000000001</v>
      </c>
      <c r="G448" s="48">
        <v>5.2960000000000003</v>
      </c>
      <c r="H448" s="48">
        <v>0.16613418999999999</v>
      </c>
      <c r="I448" s="48">
        <v>0</v>
      </c>
      <c r="J448" s="52">
        <v>0</v>
      </c>
    </row>
    <row r="449" spans="1:10" x14ac:dyDescent="0.2">
      <c r="A449" s="85"/>
      <c r="B449" s="53" t="s">
        <v>21</v>
      </c>
      <c r="C449" s="89"/>
      <c r="D449" s="48">
        <v>912</v>
      </c>
      <c r="E449" s="48">
        <v>2.46</v>
      </c>
      <c r="F449" s="48">
        <v>3.7639999999999998</v>
      </c>
      <c r="G449" s="48">
        <v>5.5069999999999997</v>
      </c>
      <c r="H449" s="48">
        <v>0.19048883999999999</v>
      </c>
      <c r="I449" s="48">
        <v>738.27417639999999</v>
      </c>
      <c r="J449" s="52" t="e">
        <v>#DIV/0!</v>
      </c>
    </row>
    <row r="450" spans="1:10" x14ac:dyDescent="0.2">
      <c r="A450" s="87"/>
      <c r="B450" s="56" t="s">
        <v>22</v>
      </c>
      <c r="C450" s="90"/>
      <c r="D450" s="57"/>
      <c r="E450" s="57">
        <v>2.403</v>
      </c>
      <c r="F450" s="57">
        <v>3.6379999999999999</v>
      </c>
      <c r="G450" s="57">
        <v>5.47</v>
      </c>
      <c r="H450" s="57">
        <v>0.15695437000000001</v>
      </c>
      <c r="I450" s="57">
        <v>0</v>
      </c>
      <c r="J450" s="49" t="e">
        <v>#DIV/0!</v>
      </c>
    </row>
    <row r="451" spans="1:10" x14ac:dyDescent="0.2">
      <c r="A451" s="91" t="s">
        <v>5</v>
      </c>
      <c r="B451" s="53" t="s">
        <v>20</v>
      </c>
      <c r="C451" s="92">
        <v>10</v>
      </c>
      <c r="D451" s="48"/>
      <c r="E451" s="48">
        <v>2.4319999999999999</v>
      </c>
      <c r="F451" s="48">
        <v>3.2509999999999999</v>
      </c>
      <c r="G451" s="48">
        <v>5.173</v>
      </c>
      <c r="H451" s="48">
        <v>0.15687481</v>
      </c>
      <c r="I451" s="48">
        <v>0</v>
      </c>
      <c r="J451" s="52">
        <v>0</v>
      </c>
    </row>
    <row r="452" spans="1:10" x14ac:dyDescent="0.2">
      <c r="A452" s="85"/>
      <c r="B452" s="53" t="s">
        <v>21</v>
      </c>
      <c r="C452" s="89"/>
      <c r="D452" s="48">
        <v>853</v>
      </c>
      <c r="E452" s="48">
        <v>2.4239999999999999</v>
      </c>
      <c r="F452" s="48">
        <v>3.0390000000000001</v>
      </c>
      <c r="G452" s="48">
        <v>4.8920000000000003</v>
      </c>
      <c r="H452" s="48">
        <v>0.18789075</v>
      </c>
      <c r="I452" s="48">
        <v>692.72918719999996</v>
      </c>
      <c r="J452" s="52" t="e">
        <v>#DIV/0!</v>
      </c>
    </row>
    <row r="453" spans="1:10" x14ac:dyDescent="0.2">
      <c r="A453" s="87"/>
      <c r="B453" s="56" t="s">
        <v>22</v>
      </c>
      <c r="C453" s="90"/>
      <c r="D453" s="57"/>
      <c r="E453" s="57">
        <v>2.46</v>
      </c>
      <c r="F453" s="57">
        <v>3.512</v>
      </c>
      <c r="G453" s="57">
        <v>5.3659999999999997</v>
      </c>
      <c r="H453" s="57">
        <v>0.17255124999999999</v>
      </c>
      <c r="I453" s="57">
        <v>0</v>
      </c>
      <c r="J453" s="49" t="e">
        <v>#DIV/0!</v>
      </c>
    </row>
    <row r="454" spans="1:10" x14ac:dyDescent="0.2">
      <c r="A454" s="91" t="s">
        <v>6</v>
      </c>
      <c r="B454" s="53" t="s">
        <v>20</v>
      </c>
      <c r="C454" s="92">
        <v>10</v>
      </c>
      <c r="D454" s="48"/>
      <c r="E454" s="48">
        <v>2.4180000000000001</v>
      </c>
      <c r="F454" s="48">
        <v>3.3580000000000001</v>
      </c>
      <c r="G454" s="48">
        <v>5.3630000000000004</v>
      </c>
      <c r="H454" s="48">
        <v>0.12298987</v>
      </c>
      <c r="I454" s="48">
        <v>0</v>
      </c>
      <c r="J454" s="52">
        <v>0</v>
      </c>
    </row>
    <row r="455" spans="1:10" x14ac:dyDescent="0.2">
      <c r="A455" s="85"/>
      <c r="B455" s="53" t="s">
        <v>21</v>
      </c>
      <c r="C455" s="89"/>
      <c r="D455" s="48">
        <v>832</v>
      </c>
      <c r="E455" s="48">
        <v>2.4350000000000001</v>
      </c>
      <c r="F455" s="48">
        <v>3.7480000000000002</v>
      </c>
      <c r="G455" s="48">
        <v>5.6340000000000003</v>
      </c>
      <c r="H455" s="48">
        <v>0.14647811999999999</v>
      </c>
      <c r="I455" s="48">
        <v>710.13020280000001</v>
      </c>
      <c r="J455" s="52" t="e">
        <v>#DIV/0!</v>
      </c>
    </row>
    <row r="456" spans="1:10" x14ac:dyDescent="0.2">
      <c r="A456" s="87"/>
      <c r="B456" s="56" t="s">
        <v>22</v>
      </c>
      <c r="C456" s="90"/>
      <c r="D456" s="57"/>
      <c r="E456" s="57">
        <v>2.4809999999999999</v>
      </c>
      <c r="F456" s="57">
        <v>3.996</v>
      </c>
      <c r="G456" s="57">
        <v>5.8579999999999997</v>
      </c>
      <c r="H456" s="57">
        <v>0.15490490000000001</v>
      </c>
      <c r="I456" s="57">
        <v>0</v>
      </c>
      <c r="J456" s="49" t="e">
        <v>#DIV/0!</v>
      </c>
    </row>
    <row r="457" spans="1:10" x14ac:dyDescent="0.2">
      <c r="A457" s="91" t="s">
        <v>7</v>
      </c>
      <c r="B457" s="53" t="s">
        <v>20</v>
      </c>
      <c r="C457" s="92">
        <v>10</v>
      </c>
      <c r="D457" s="48"/>
      <c r="E457" s="48">
        <v>2.41</v>
      </c>
      <c r="F457" s="48">
        <v>3.2770000000000001</v>
      </c>
      <c r="G457" s="48">
        <v>5.2389999999999999</v>
      </c>
      <c r="H457" s="48">
        <v>0.13671041</v>
      </c>
      <c r="I457" s="48">
        <v>0</v>
      </c>
      <c r="J457" s="52">
        <v>0</v>
      </c>
    </row>
    <row r="458" spans="1:10" x14ac:dyDescent="0.2">
      <c r="A458" s="85"/>
      <c r="B458" s="53" t="s">
        <v>21</v>
      </c>
      <c r="C458" s="89"/>
      <c r="D458" s="48">
        <v>1016</v>
      </c>
      <c r="E458" s="48">
        <v>2.4580000000000002</v>
      </c>
      <c r="F458" s="48">
        <v>3.4239999999999999</v>
      </c>
      <c r="G458" s="48">
        <v>5.423</v>
      </c>
      <c r="H458" s="48">
        <v>0.13405374</v>
      </c>
      <c r="I458" s="48">
        <v>879.80140189999997</v>
      </c>
      <c r="J458" s="52" t="e">
        <v>#DIV/0!</v>
      </c>
    </row>
    <row r="459" spans="1:10" x14ac:dyDescent="0.2">
      <c r="A459" s="87"/>
      <c r="B459" s="56" t="s">
        <v>22</v>
      </c>
      <c r="C459" s="90"/>
      <c r="D459" s="57"/>
      <c r="E459" s="57">
        <v>2.4649999999999999</v>
      </c>
      <c r="F459" s="57">
        <v>3.0110000000000001</v>
      </c>
      <c r="G459" s="57">
        <v>5.0860000000000003</v>
      </c>
      <c r="H459" s="57">
        <v>0.12952506999999999</v>
      </c>
      <c r="I459" s="57">
        <v>0</v>
      </c>
      <c r="J459" s="49" t="e">
        <v>#DIV/0!</v>
      </c>
    </row>
    <row r="460" spans="1:10" x14ac:dyDescent="0.2">
      <c r="A460" s="91" t="s">
        <v>8</v>
      </c>
      <c r="B460" s="53" t="s">
        <v>20</v>
      </c>
      <c r="C460" s="92">
        <v>10</v>
      </c>
      <c r="D460" s="48"/>
      <c r="E460" s="48">
        <v>2.4830000000000001</v>
      </c>
      <c r="F460" s="48">
        <v>3.8239999999999998</v>
      </c>
      <c r="G460" s="48">
        <v>5.8369999999999997</v>
      </c>
      <c r="H460" s="48">
        <v>0.12290795</v>
      </c>
      <c r="I460" s="48">
        <v>0</v>
      </c>
      <c r="J460" s="52">
        <v>0</v>
      </c>
    </row>
    <row r="461" spans="1:10" x14ac:dyDescent="0.2">
      <c r="A461" s="85"/>
      <c r="B461" s="53" t="s">
        <v>21</v>
      </c>
      <c r="C461" s="89"/>
      <c r="D461" s="48">
        <v>919</v>
      </c>
      <c r="E461" s="48">
        <v>2.4020000000000001</v>
      </c>
      <c r="F461" s="48">
        <v>3.6720000000000002</v>
      </c>
      <c r="G461" s="48">
        <v>5.577</v>
      </c>
      <c r="H461" s="48">
        <v>0.13534858</v>
      </c>
      <c r="I461" s="48">
        <v>794.61465139999996</v>
      </c>
      <c r="J461" s="52" t="e">
        <v>#DIV/0!</v>
      </c>
    </row>
    <row r="462" spans="1:10" x14ac:dyDescent="0.2">
      <c r="A462" s="87"/>
      <c r="B462" s="56" t="s">
        <v>22</v>
      </c>
      <c r="C462" s="90"/>
      <c r="D462" s="57"/>
      <c r="E462" s="57">
        <v>2.4529999999999998</v>
      </c>
      <c r="F462" s="57">
        <v>3.855</v>
      </c>
      <c r="G462" s="57">
        <v>5.8140000000000001</v>
      </c>
      <c r="H462" s="57">
        <v>0.12814527000000001</v>
      </c>
      <c r="I462" s="57">
        <v>0</v>
      </c>
      <c r="J462" s="49" t="e">
        <v>#DIV/0!</v>
      </c>
    </row>
    <row r="463" spans="1:10" x14ac:dyDescent="0.2">
      <c r="A463" s="91" t="s">
        <v>9</v>
      </c>
      <c r="B463" s="53" t="s">
        <v>20</v>
      </c>
      <c r="C463" s="92">
        <v>10</v>
      </c>
      <c r="D463" s="48"/>
      <c r="E463" s="48">
        <v>2.4140000000000001</v>
      </c>
      <c r="F463" s="48">
        <v>3.403</v>
      </c>
      <c r="G463" s="48">
        <v>5.36</v>
      </c>
      <c r="H463" s="48">
        <v>0.13429326999999999</v>
      </c>
      <c r="I463" s="48">
        <v>0</v>
      </c>
      <c r="J463" s="52">
        <v>0</v>
      </c>
    </row>
    <row r="464" spans="1:10" x14ac:dyDescent="0.2">
      <c r="A464" s="85"/>
      <c r="B464" s="53" t="s">
        <v>21</v>
      </c>
      <c r="C464" s="89"/>
      <c r="D464" s="48">
        <v>956</v>
      </c>
      <c r="E464" s="48">
        <v>2.4390000000000001</v>
      </c>
      <c r="F464" s="48">
        <v>3.4420000000000002</v>
      </c>
      <c r="G464" s="48">
        <v>5.4770000000000003</v>
      </c>
      <c r="H464" s="48">
        <v>0.11737362</v>
      </c>
      <c r="I464" s="48">
        <v>843.79081929999995</v>
      </c>
      <c r="J464" s="52" t="e">
        <v>#DIV/0!</v>
      </c>
    </row>
    <row r="465" spans="1:10" x14ac:dyDescent="0.2">
      <c r="A465" s="87"/>
      <c r="B465" s="56" t="s">
        <v>22</v>
      </c>
      <c r="C465" s="90"/>
      <c r="D465" s="57"/>
      <c r="E465" s="57">
        <v>2.4430000000000001</v>
      </c>
      <c r="F465" s="57">
        <v>3.7170000000000001</v>
      </c>
      <c r="G465" s="57">
        <v>5.68</v>
      </c>
      <c r="H465" s="57">
        <v>0.12913640000000001</v>
      </c>
      <c r="I465" s="57">
        <v>0</v>
      </c>
      <c r="J465" s="49" t="e">
        <v>#DIV/0!</v>
      </c>
    </row>
    <row r="466" spans="1:10" x14ac:dyDescent="0.2">
      <c r="A466" s="91" t="s">
        <v>10</v>
      </c>
      <c r="B466" s="53" t="s">
        <v>20</v>
      </c>
      <c r="C466" s="92">
        <v>10</v>
      </c>
      <c r="D466" s="48"/>
      <c r="E466" s="48">
        <v>2.4590000000000001</v>
      </c>
      <c r="F466" s="48">
        <v>3.83</v>
      </c>
      <c r="G466" s="48">
        <v>5.7889999999999997</v>
      </c>
      <c r="H466" s="48">
        <v>0.13054830000000001</v>
      </c>
      <c r="I466" s="48">
        <v>0</v>
      </c>
      <c r="J466" s="52">
        <v>0</v>
      </c>
    </row>
    <row r="467" spans="1:10" x14ac:dyDescent="0.2">
      <c r="A467" s="85"/>
      <c r="B467" s="53" t="s">
        <v>21</v>
      </c>
      <c r="C467" s="89"/>
      <c r="D467" s="48">
        <v>804</v>
      </c>
      <c r="E467" s="48">
        <v>2.4510000000000001</v>
      </c>
      <c r="F467" s="48">
        <v>3.4119999999999999</v>
      </c>
      <c r="G467" s="48">
        <v>5.6050000000000004</v>
      </c>
      <c r="H467" s="48">
        <v>7.5615470000000004E-2</v>
      </c>
      <c r="I467" s="48">
        <v>743.20515829999999</v>
      </c>
      <c r="J467" s="52" t="e">
        <v>#DIV/0!</v>
      </c>
    </row>
    <row r="468" spans="1:10" x14ac:dyDescent="0.2">
      <c r="A468" s="87"/>
      <c r="B468" s="56" t="s">
        <v>22</v>
      </c>
      <c r="C468" s="90"/>
      <c r="D468" s="57"/>
      <c r="E468" s="57">
        <v>2.4300000000000002</v>
      </c>
      <c r="F468" s="57">
        <v>3.4430000000000001</v>
      </c>
      <c r="G468" s="57">
        <v>5.4370000000000003</v>
      </c>
      <c r="H468" s="57">
        <v>0.12663374999999999</v>
      </c>
      <c r="I468" s="57">
        <v>0</v>
      </c>
      <c r="J468" s="49" t="e">
        <v>#DIV/0!</v>
      </c>
    </row>
    <row r="469" spans="1:10" x14ac:dyDescent="0.2">
      <c r="A469" s="91" t="s">
        <v>11</v>
      </c>
      <c r="B469" s="53" t="s">
        <v>20</v>
      </c>
      <c r="C469" s="92">
        <v>10</v>
      </c>
      <c r="D469" s="48"/>
      <c r="E469" s="48">
        <v>2.419</v>
      </c>
      <c r="F469" s="48">
        <v>3.0190000000000001</v>
      </c>
      <c r="G469" s="48">
        <v>4.7889999999999997</v>
      </c>
      <c r="H469" s="48">
        <v>0.21497184</v>
      </c>
      <c r="I469" s="48">
        <v>0</v>
      </c>
      <c r="J469" s="52">
        <v>0</v>
      </c>
    </row>
    <row r="470" spans="1:10" x14ac:dyDescent="0.2">
      <c r="A470" s="85"/>
      <c r="B470" s="53" t="s">
        <v>21</v>
      </c>
      <c r="C470" s="89"/>
      <c r="D470" s="48">
        <v>965</v>
      </c>
      <c r="E470" s="48">
        <v>2.4710000000000001</v>
      </c>
      <c r="F470" s="48">
        <v>3.0030000000000001</v>
      </c>
      <c r="G470" s="48">
        <v>4.8520000000000003</v>
      </c>
      <c r="H470" s="48">
        <v>0.20712621000000001</v>
      </c>
      <c r="I470" s="48">
        <v>765.12321010000005</v>
      </c>
      <c r="J470" s="52" t="e">
        <v>#DIV/0!</v>
      </c>
    </row>
    <row r="471" spans="1:10" x14ac:dyDescent="0.2">
      <c r="A471" s="87"/>
      <c r="B471" s="56" t="s">
        <v>22</v>
      </c>
      <c r="C471" s="90"/>
      <c r="D471" s="57"/>
      <c r="E471" s="57">
        <v>2.444</v>
      </c>
      <c r="F471" s="57">
        <v>3.0619999999999998</v>
      </c>
      <c r="G471" s="57">
        <v>4.9320000000000004</v>
      </c>
      <c r="H471" s="57">
        <v>0.18745918</v>
      </c>
      <c r="I471" s="57">
        <v>0</v>
      </c>
      <c r="J471" s="49" t="e">
        <v>#DIV/0!</v>
      </c>
    </row>
    <row r="472" spans="1:10" x14ac:dyDescent="0.2">
      <c r="A472" s="91" t="s">
        <v>12</v>
      </c>
      <c r="B472" s="53" t="s">
        <v>20</v>
      </c>
      <c r="C472" s="92">
        <v>10</v>
      </c>
      <c r="D472" s="48"/>
      <c r="E472" s="48">
        <v>2.431</v>
      </c>
      <c r="F472" s="48">
        <v>3.1190000000000002</v>
      </c>
      <c r="G472" s="48">
        <v>5.1870000000000003</v>
      </c>
      <c r="H472" s="48">
        <v>0.11638345999999999</v>
      </c>
      <c r="I472" s="48">
        <v>0</v>
      </c>
      <c r="J472" s="52">
        <v>0</v>
      </c>
    </row>
    <row r="473" spans="1:10" x14ac:dyDescent="0.2">
      <c r="A473" s="85"/>
      <c r="B473" s="53" t="s">
        <v>21</v>
      </c>
      <c r="C473" s="89"/>
      <c r="D473" s="48">
        <v>929</v>
      </c>
      <c r="E473" s="48">
        <v>2.4049999999999998</v>
      </c>
      <c r="F473" s="48">
        <v>3.2930000000000001</v>
      </c>
      <c r="G473" s="48">
        <v>5.2279999999999998</v>
      </c>
      <c r="H473" s="48">
        <v>0.14272699999999999</v>
      </c>
      <c r="I473" s="48">
        <v>796.40662010000005</v>
      </c>
      <c r="J473" s="52" t="e">
        <v>#DIV/0!</v>
      </c>
    </row>
    <row r="474" spans="1:10" x14ac:dyDescent="0.2">
      <c r="A474" s="87"/>
      <c r="B474" s="56" t="s">
        <v>22</v>
      </c>
      <c r="C474" s="90"/>
      <c r="D474" s="57"/>
      <c r="E474" s="57">
        <v>2.4329999999999998</v>
      </c>
      <c r="F474" s="57">
        <v>3.387</v>
      </c>
      <c r="G474" s="57">
        <v>5.3570000000000002</v>
      </c>
      <c r="H474" s="57">
        <v>0.13669914</v>
      </c>
      <c r="I474" s="57">
        <v>0</v>
      </c>
      <c r="J474" s="49" t="e">
        <v>#DIV/0!</v>
      </c>
    </row>
    <row r="475" spans="1:10" x14ac:dyDescent="0.2">
      <c r="A475" s="91" t="s">
        <v>13</v>
      </c>
      <c r="B475" s="53" t="s">
        <v>20</v>
      </c>
      <c r="C475" s="92">
        <v>10</v>
      </c>
      <c r="D475" s="48"/>
      <c r="E475" s="48">
        <v>2.4380000000000002</v>
      </c>
      <c r="F475" s="48">
        <v>3.0859999999999999</v>
      </c>
      <c r="G475" s="48">
        <v>5.1180000000000003</v>
      </c>
      <c r="H475" s="48">
        <v>0.13156188999999999</v>
      </c>
      <c r="I475" s="48">
        <v>0</v>
      </c>
      <c r="J475" s="52">
        <v>0</v>
      </c>
    </row>
    <row r="476" spans="1:10" x14ac:dyDescent="0.2">
      <c r="A476" s="85"/>
      <c r="B476" s="53" t="s">
        <v>21</v>
      </c>
      <c r="C476" s="89"/>
      <c r="D476" s="48">
        <v>893</v>
      </c>
      <c r="E476" s="48">
        <v>2.4209999999999998</v>
      </c>
      <c r="F476" s="48">
        <v>3.2160000000000002</v>
      </c>
      <c r="G476" s="48">
        <v>5.1749999999999998</v>
      </c>
      <c r="H476" s="48">
        <v>0.14365671999999999</v>
      </c>
      <c r="I476" s="48">
        <v>764.71455219999996</v>
      </c>
      <c r="J476" s="52" t="e">
        <v>#DIV/0!</v>
      </c>
    </row>
    <row r="477" spans="1:10" x14ac:dyDescent="0.2">
      <c r="A477" s="87"/>
      <c r="B477" s="56" t="s">
        <v>22</v>
      </c>
      <c r="C477" s="90"/>
      <c r="D477" s="57"/>
      <c r="E477" s="57">
        <v>2.399</v>
      </c>
      <c r="F477" s="57">
        <v>3.3149999999999999</v>
      </c>
      <c r="G477" s="57">
        <v>5.2759999999999998</v>
      </c>
      <c r="H477" s="57">
        <v>0.13212670000000001</v>
      </c>
      <c r="I477" s="57">
        <v>0</v>
      </c>
      <c r="J477" s="49" t="e">
        <v>#DIV/0!</v>
      </c>
    </row>
    <row r="478" spans="1:10" x14ac:dyDescent="0.2">
      <c r="A478" s="91" t="s">
        <v>14</v>
      </c>
      <c r="B478" s="53" t="s">
        <v>20</v>
      </c>
      <c r="C478" s="92">
        <v>9</v>
      </c>
      <c r="D478" s="48"/>
      <c r="E478" s="48">
        <v>2.4489999999999998</v>
      </c>
      <c r="F478" s="48">
        <v>3.3650000000000002</v>
      </c>
      <c r="G478" s="48">
        <v>5.3339999999999996</v>
      </c>
      <c r="H478" s="48">
        <v>0.14264487000000001</v>
      </c>
      <c r="I478" s="48">
        <v>0</v>
      </c>
      <c r="J478" s="52">
        <v>0</v>
      </c>
    </row>
    <row r="479" spans="1:10" x14ac:dyDescent="0.2">
      <c r="A479" s="85"/>
      <c r="B479" s="53" t="s">
        <v>21</v>
      </c>
      <c r="C479" s="89"/>
      <c r="D479" s="48">
        <v>799</v>
      </c>
      <c r="E479" s="48">
        <v>2.4820000000000002</v>
      </c>
      <c r="F479" s="48">
        <v>3.7280000000000002</v>
      </c>
      <c r="G479" s="48">
        <v>5.7359999999999998</v>
      </c>
      <c r="H479" s="48">
        <v>0.12714592</v>
      </c>
      <c r="I479" s="48">
        <v>697.41040769999995</v>
      </c>
      <c r="J479" s="52" t="e">
        <v>#DIV/0!</v>
      </c>
    </row>
    <row r="480" spans="1:10" ht="16" thickBot="1" x14ac:dyDescent="0.25">
      <c r="A480" s="93"/>
      <c r="B480" s="58" t="s">
        <v>22</v>
      </c>
      <c r="C480" s="94"/>
      <c r="D480" s="59"/>
      <c r="E480" s="59">
        <v>2.4420000000000002</v>
      </c>
      <c r="F480" s="59">
        <v>3.8010000000000002</v>
      </c>
      <c r="G480" s="59">
        <v>5.6870000000000003</v>
      </c>
      <c r="H480" s="59">
        <v>0.1462773</v>
      </c>
      <c r="I480" s="59">
        <v>0</v>
      </c>
      <c r="J480" s="50" t="e">
        <v>#DIV/0!</v>
      </c>
    </row>
    <row r="481" spans="1:10" ht="16" thickBot="1" x14ac:dyDescent="0.25">
      <c r="A481" s="60" t="s">
        <v>1</v>
      </c>
      <c r="B481" s="61"/>
      <c r="C481" s="62"/>
      <c r="D481" s="63" t="s">
        <v>38</v>
      </c>
      <c r="E481" s="64"/>
      <c r="F481" s="58" t="s">
        <v>0</v>
      </c>
      <c r="G481" s="18">
        <v>44180</v>
      </c>
      <c r="H481" s="65" t="s">
        <v>24</v>
      </c>
      <c r="I481" s="66"/>
      <c r="J481" s="49">
        <v>116</v>
      </c>
    </row>
    <row r="482" spans="1:10" ht="16" thickBot="1" x14ac:dyDescent="0.25">
      <c r="A482" s="67" t="s">
        <v>2</v>
      </c>
      <c r="B482" s="68"/>
      <c r="C482" s="69"/>
      <c r="D482" s="70"/>
      <c r="E482" s="71"/>
      <c r="F482" s="72"/>
      <c r="G482" s="73"/>
      <c r="H482" s="74" t="s">
        <v>25</v>
      </c>
      <c r="I482" s="75"/>
      <c r="J482" s="49">
        <v>21</v>
      </c>
    </row>
    <row r="483" spans="1:10" ht="16" thickBot="1" x14ac:dyDescent="0.25">
      <c r="A483" s="76" t="s">
        <v>27</v>
      </c>
      <c r="B483" s="77"/>
      <c r="C483" s="78"/>
      <c r="D483" s="79" t="s">
        <v>36</v>
      </c>
      <c r="E483" s="80"/>
      <c r="F483" s="48" t="s">
        <v>30</v>
      </c>
      <c r="G483" s="48">
        <v>3.81</v>
      </c>
      <c r="H483" s="81" t="s">
        <v>26</v>
      </c>
      <c r="I483" s="82"/>
      <c r="J483" s="50">
        <v>38</v>
      </c>
    </row>
    <row r="484" spans="1:10" x14ac:dyDescent="0.2">
      <c r="A484" s="83"/>
      <c r="B484" s="84"/>
      <c r="C484" s="51" t="s">
        <v>29</v>
      </c>
      <c r="D484" s="51" t="s">
        <v>19</v>
      </c>
      <c r="E484" s="51" t="s">
        <v>15</v>
      </c>
      <c r="F484" s="51" t="s">
        <v>18</v>
      </c>
      <c r="G484" s="51" t="s">
        <v>17</v>
      </c>
      <c r="H484" s="48" t="s">
        <v>28</v>
      </c>
      <c r="I484" s="48" t="s">
        <v>16</v>
      </c>
      <c r="J484" s="52" t="s">
        <v>23</v>
      </c>
    </row>
    <row r="485" spans="1:10" x14ac:dyDescent="0.2">
      <c r="A485" s="86" t="s">
        <v>3</v>
      </c>
      <c r="B485" s="53" t="s">
        <v>20</v>
      </c>
      <c r="C485" s="88">
        <v>10</v>
      </c>
      <c r="D485" s="54"/>
      <c r="E485" s="54">
        <v>2.4609999999999999</v>
      </c>
      <c r="F485" s="54">
        <v>3.887</v>
      </c>
      <c r="G485" s="54">
        <v>5.67</v>
      </c>
      <c r="H485" s="54">
        <v>0.17442758</v>
      </c>
      <c r="I485" s="54">
        <v>0</v>
      </c>
      <c r="J485" s="55">
        <v>0</v>
      </c>
    </row>
    <row r="486" spans="1:10" x14ac:dyDescent="0.2">
      <c r="A486" s="85"/>
      <c r="B486" s="53" t="s">
        <v>21</v>
      </c>
      <c r="C486" s="89"/>
      <c r="D486" s="48">
        <v>789</v>
      </c>
      <c r="E486" s="48">
        <v>2.4409999999999998</v>
      </c>
      <c r="F486" s="48">
        <v>3.6520000000000001</v>
      </c>
      <c r="G486" s="48">
        <v>5.4669999999999996</v>
      </c>
      <c r="H486" s="48">
        <v>0.17141292</v>
      </c>
      <c r="I486" s="48">
        <v>653.75520259999996</v>
      </c>
      <c r="J486" s="52" t="e">
        <v>#DIV/0!</v>
      </c>
    </row>
    <row r="487" spans="1:10" x14ac:dyDescent="0.2">
      <c r="A487" s="87"/>
      <c r="B487" s="56" t="s">
        <v>22</v>
      </c>
      <c r="C487" s="90"/>
      <c r="D487" s="57"/>
      <c r="E487" s="57">
        <v>2.4089999999999998</v>
      </c>
      <c r="F487" s="57">
        <v>3.9380000000000002</v>
      </c>
      <c r="G487" s="57">
        <v>5.7050000000000001</v>
      </c>
      <c r="H487" s="57">
        <v>0.16302691999999999</v>
      </c>
      <c r="I487" s="57">
        <v>0</v>
      </c>
      <c r="J487" s="49" t="e">
        <v>#DIV/0!</v>
      </c>
    </row>
    <row r="488" spans="1:10" x14ac:dyDescent="0.2">
      <c r="A488" s="91" t="s">
        <v>4</v>
      </c>
      <c r="B488" s="53" t="s">
        <v>20</v>
      </c>
      <c r="C488" s="92">
        <v>10</v>
      </c>
      <c r="D488" s="48"/>
      <c r="E488" s="48">
        <v>2.4220000000000002</v>
      </c>
      <c r="F488" s="48">
        <v>3.0459999999999998</v>
      </c>
      <c r="G488" s="48">
        <v>5.01</v>
      </c>
      <c r="H488" s="48">
        <v>0.15036113000000001</v>
      </c>
      <c r="I488" s="48">
        <v>0</v>
      </c>
      <c r="J488" s="52">
        <v>0</v>
      </c>
    </row>
    <row r="489" spans="1:10" x14ac:dyDescent="0.2">
      <c r="A489" s="85"/>
      <c r="B489" s="53" t="s">
        <v>21</v>
      </c>
      <c r="C489" s="89"/>
      <c r="D489" s="48">
        <v>744</v>
      </c>
      <c r="E489" s="48">
        <v>2.44</v>
      </c>
      <c r="F489" s="48">
        <v>3.1150000000000002</v>
      </c>
      <c r="G489" s="48">
        <v>5.0119999999999996</v>
      </c>
      <c r="H489" s="48">
        <v>0.17431782000000001</v>
      </c>
      <c r="I489" s="48">
        <v>614.30754409999997</v>
      </c>
      <c r="J489" s="52" t="e">
        <v>#DIV/0!</v>
      </c>
    </row>
    <row r="490" spans="1:10" x14ac:dyDescent="0.2">
      <c r="A490" s="87"/>
      <c r="B490" s="56" t="s">
        <v>22</v>
      </c>
      <c r="C490" s="90"/>
      <c r="D490" s="57"/>
      <c r="E490" s="57">
        <v>2.4460000000000002</v>
      </c>
      <c r="F490" s="57">
        <v>3.3879999999999999</v>
      </c>
      <c r="G490" s="57">
        <v>5.2670000000000003</v>
      </c>
      <c r="H490" s="57">
        <v>0.16735537</v>
      </c>
      <c r="I490" s="57">
        <v>0</v>
      </c>
      <c r="J490" s="49" t="e">
        <v>#DIV/0!</v>
      </c>
    </row>
    <row r="491" spans="1:10" x14ac:dyDescent="0.2">
      <c r="A491" s="91" t="s">
        <v>5</v>
      </c>
      <c r="B491" s="53" t="s">
        <v>20</v>
      </c>
      <c r="C491" s="92">
        <v>10</v>
      </c>
      <c r="D491" s="48"/>
      <c r="E491" s="48">
        <v>2.4510000000000001</v>
      </c>
      <c r="F491" s="48">
        <v>3.1880000000000002</v>
      </c>
      <c r="G491" s="48">
        <v>5.1820000000000004</v>
      </c>
      <c r="H491" s="48">
        <v>0.14335006</v>
      </c>
      <c r="I491" s="48">
        <v>0</v>
      </c>
      <c r="J491" s="52">
        <v>0</v>
      </c>
    </row>
    <row r="492" spans="1:10" x14ac:dyDescent="0.2">
      <c r="A492" s="85"/>
      <c r="B492" s="53" t="s">
        <v>21</v>
      </c>
      <c r="C492" s="89"/>
      <c r="D492" s="48">
        <v>961</v>
      </c>
      <c r="E492" s="48">
        <v>2.4470000000000001</v>
      </c>
      <c r="F492" s="48">
        <v>3.2010000000000001</v>
      </c>
      <c r="G492" s="48">
        <v>5.1710000000000003</v>
      </c>
      <c r="H492" s="48">
        <v>0.14901592999999999</v>
      </c>
      <c r="I492" s="48">
        <v>817.79568879999999</v>
      </c>
      <c r="J492" s="52" t="e">
        <v>#DIV/0!</v>
      </c>
    </row>
    <row r="493" spans="1:10" x14ac:dyDescent="0.2">
      <c r="A493" s="87"/>
      <c r="B493" s="56" t="s">
        <v>22</v>
      </c>
      <c r="C493" s="90"/>
      <c r="D493" s="57"/>
      <c r="E493" s="57">
        <v>2.4319999999999999</v>
      </c>
      <c r="F493" s="57">
        <v>3.222</v>
      </c>
      <c r="G493" s="57">
        <v>5.1920000000000002</v>
      </c>
      <c r="H493" s="57">
        <v>0.14338919999999999</v>
      </c>
      <c r="I493" s="57">
        <v>0</v>
      </c>
      <c r="J493" s="49" t="e">
        <v>#DIV/0!</v>
      </c>
    </row>
    <row r="494" spans="1:10" x14ac:dyDescent="0.2">
      <c r="A494" s="91" t="s">
        <v>6</v>
      </c>
      <c r="B494" s="53" t="s">
        <v>20</v>
      </c>
      <c r="C494" s="92">
        <v>10</v>
      </c>
      <c r="D494" s="48"/>
      <c r="E494" s="48">
        <v>2.423</v>
      </c>
      <c r="F494" s="48">
        <v>3.1320000000000001</v>
      </c>
      <c r="G494" s="48">
        <v>5.0579999999999998</v>
      </c>
      <c r="H494" s="48">
        <v>0.15868455000000001</v>
      </c>
      <c r="I494" s="48">
        <v>0</v>
      </c>
      <c r="J494" s="52">
        <v>0</v>
      </c>
    </row>
    <row r="495" spans="1:10" x14ac:dyDescent="0.2">
      <c r="A495" s="85"/>
      <c r="B495" s="53" t="s">
        <v>21</v>
      </c>
      <c r="C495" s="89"/>
      <c r="D495" s="48">
        <v>879</v>
      </c>
      <c r="E495" s="48">
        <v>2.4580000000000002</v>
      </c>
      <c r="F495" s="48">
        <v>3.2909999999999999</v>
      </c>
      <c r="G495" s="48">
        <v>5.3449999999999998</v>
      </c>
      <c r="H495" s="48">
        <v>0.12275904</v>
      </c>
      <c r="I495" s="48">
        <v>771.09480399999995</v>
      </c>
      <c r="J495" s="52" t="e">
        <v>#DIV/0!</v>
      </c>
    </row>
    <row r="496" spans="1:10" x14ac:dyDescent="0.2">
      <c r="A496" s="87"/>
      <c r="B496" s="56" t="s">
        <v>22</v>
      </c>
      <c r="C496" s="90"/>
      <c r="D496" s="57"/>
      <c r="E496" s="57">
        <v>2.4279999999999999</v>
      </c>
      <c r="F496" s="57">
        <v>3.4460000000000002</v>
      </c>
      <c r="G496" s="57">
        <v>5.3929999999999998</v>
      </c>
      <c r="H496" s="57">
        <v>0.13958212</v>
      </c>
      <c r="I496" s="57">
        <v>0</v>
      </c>
      <c r="J496" s="49" t="e">
        <v>#DIV/0!</v>
      </c>
    </row>
    <row r="497" spans="1:10" x14ac:dyDescent="0.2">
      <c r="A497" s="91" t="s">
        <v>7</v>
      </c>
      <c r="B497" s="53" t="s">
        <v>20</v>
      </c>
      <c r="C497" s="92">
        <v>10</v>
      </c>
      <c r="D497" s="48"/>
      <c r="E497" s="48">
        <v>2.4380000000000002</v>
      </c>
      <c r="F497" s="48">
        <v>3.552</v>
      </c>
      <c r="G497" s="48">
        <v>5.5289999999999999</v>
      </c>
      <c r="H497" s="48">
        <v>0.12978603999999999</v>
      </c>
      <c r="I497" s="48">
        <v>0</v>
      </c>
      <c r="J497" s="52">
        <v>0</v>
      </c>
    </row>
    <row r="498" spans="1:10" x14ac:dyDescent="0.2">
      <c r="A498" s="85"/>
      <c r="B498" s="53" t="s">
        <v>21</v>
      </c>
      <c r="C498" s="89"/>
      <c r="D498" s="48">
        <v>894</v>
      </c>
      <c r="E498" s="48">
        <v>2.4510000000000001</v>
      </c>
      <c r="F498" s="48">
        <v>3.1019999999999999</v>
      </c>
      <c r="G498" s="48">
        <v>5.1079999999999997</v>
      </c>
      <c r="H498" s="48">
        <v>0.14345583000000001</v>
      </c>
      <c r="I498" s="48">
        <v>765.75048360000005</v>
      </c>
      <c r="J498" s="52" t="e">
        <v>#DIV/0!</v>
      </c>
    </row>
    <row r="499" spans="1:10" x14ac:dyDescent="0.2">
      <c r="A499" s="87"/>
      <c r="B499" s="56" t="s">
        <v>22</v>
      </c>
      <c r="C499" s="90"/>
      <c r="D499" s="57"/>
      <c r="E499" s="57">
        <v>2.4769999999999999</v>
      </c>
      <c r="F499" s="57">
        <v>3.125</v>
      </c>
      <c r="G499" s="57">
        <v>5.1660000000000004</v>
      </c>
      <c r="H499" s="57">
        <v>0.13952000000000001</v>
      </c>
      <c r="I499" s="57">
        <v>0</v>
      </c>
      <c r="J499" s="49" t="e">
        <v>#DIV/0!</v>
      </c>
    </row>
    <row r="500" spans="1:10" x14ac:dyDescent="0.2">
      <c r="A500" s="91" t="s">
        <v>8</v>
      </c>
      <c r="B500" s="53" t="s">
        <v>20</v>
      </c>
      <c r="C500" s="92">
        <v>10</v>
      </c>
      <c r="D500" s="48"/>
      <c r="E500" s="48">
        <v>2.4940000000000002</v>
      </c>
      <c r="F500" s="48">
        <v>3.0609999999999999</v>
      </c>
      <c r="G500" s="48">
        <v>5.12</v>
      </c>
      <c r="H500" s="48">
        <v>0.14211041999999999</v>
      </c>
      <c r="I500" s="48">
        <v>0</v>
      </c>
      <c r="J500" s="52">
        <v>0</v>
      </c>
    </row>
    <row r="501" spans="1:10" x14ac:dyDescent="0.2">
      <c r="A501" s="85"/>
      <c r="B501" s="53" t="s">
        <v>21</v>
      </c>
      <c r="C501" s="89"/>
      <c r="D501" s="48">
        <v>944</v>
      </c>
      <c r="E501" s="48">
        <v>2.419</v>
      </c>
      <c r="F501" s="48">
        <v>3.3570000000000002</v>
      </c>
      <c r="G501" s="48">
        <v>5.476</v>
      </c>
      <c r="H501" s="48">
        <v>8.93655E-2</v>
      </c>
      <c r="I501" s="48">
        <v>859.63896339999997</v>
      </c>
      <c r="J501" s="52" t="e">
        <v>#DIV/0!</v>
      </c>
    </row>
    <row r="502" spans="1:10" x14ac:dyDescent="0.2">
      <c r="A502" s="87"/>
      <c r="B502" s="56" t="s">
        <v>22</v>
      </c>
      <c r="C502" s="90"/>
      <c r="D502" s="57"/>
      <c r="E502" s="57">
        <v>2.4649999999999999</v>
      </c>
      <c r="F502" s="57">
        <v>3.1760000000000002</v>
      </c>
      <c r="G502" s="57">
        <v>5.1959999999999997</v>
      </c>
      <c r="H502" s="57">
        <v>0.14011335</v>
      </c>
      <c r="I502" s="57">
        <v>0</v>
      </c>
      <c r="J502" s="49" t="e">
        <v>#DIV/0!</v>
      </c>
    </row>
    <row r="503" spans="1:10" x14ac:dyDescent="0.2">
      <c r="A503" s="91" t="s">
        <v>9</v>
      </c>
      <c r="B503" s="53" t="s">
        <v>20</v>
      </c>
      <c r="C503" s="92">
        <v>10</v>
      </c>
      <c r="D503" s="48"/>
      <c r="E503" s="48">
        <v>2.448</v>
      </c>
      <c r="F503" s="48">
        <v>3.1259999999999999</v>
      </c>
      <c r="G503" s="48">
        <v>5.1239999999999997</v>
      </c>
      <c r="H503" s="48">
        <v>0.14395393000000001</v>
      </c>
      <c r="I503" s="48">
        <v>0</v>
      </c>
      <c r="J503" s="52">
        <v>0</v>
      </c>
    </row>
    <row r="504" spans="1:10" x14ac:dyDescent="0.2">
      <c r="A504" s="85"/>
      <c r="B504" s="53" t="s">
        <v>21</v>
      </c>
      <c r="C504" s="89"/>
      <c r="D504" s="48">
        <v>825</v>
      </c>
      <c r="E504" s="48">
        <v>2.4089999999999998</v>
      </c>
      <c r="F504" s="48">
        <v>3.0139999999999998</v>
      </c>
      <c r="G504" s="48">
        <v>4.9950000000000001</v>
      </c>
      <c r="H504" s="48">
        <v>0.14200398</v>
      </c>
      <c r="I504" s="48">
        <v>707.84671530000003</v>
      </c>
      <c r="J504" s="52" t="e">
        <v>#DIV/0!</v>
      </c>
    </row>
    <row r="505" spans="1:10" x14ac:dyDescent="0.2">
      <c r="A505" s="87"/>
      <c r="B505" s="56" t="s">
        <v>22</v>
      </c>
      <c r="C505" s="90"/>
      <c r="D505" s="57"/>
      <c r="E505" s="57">
        <v>2.4279999999999999</v>
      </c>
      <c r="F505" s="57">
        <v>3.008</v>
      </c>
      <c r="G505" s="57">
        <v>5.0190000000000001</v>
      </c>
      <c r="H505" s="57">
        <v>0.13863032</v>
      </c>
      <c r="I505" s="57">
        <v>0</v>
      </c>
      <c r="J505" s="49" t="e">
        <v>#DIV/0!</v>
      </c>
    </row>
    <row r="506" spans="1:10" x14ac:dyDescent="0.2">
      <c r="A506" s="91" t="s">
        <v>10</v>
      </c>
      <c r="B506" s="53" t="s">
        <v>20</v>
      </c>
      <c r="C506" s="92">
        <v>10</v>
      </c>
      <c r="D506" s="48"/>
      <c r="E506" s="48">
        <v>2.4380000000000002</v>
      </c>
      <c r="F506" s="48">
        <v>3.7650000000000001</v>
      </c>
      <c r="G506" s="48">
        <v>5.6849999999999996</v>
      </c>
      <c r="H506" s="48">
        <v>0.13758300000000001</v>
      </c>
      <c r="I506" s="48">
        <v>0</v>
      </c>
      <c r="J506" s="52">
        <v>0</v>
      </c>
    </row>
    <row r="507" spans="1:10" x14ac:dyDescent="0.2">
      <c r="A507" s="85"/>
      <c r="B507" s="53" t="s">
        <v>21</v>
      </c>
      <c r="C507" s="89"/>
      <c r="D507" s="48">
        <v>888</v>
      </c>
      <c r="E507" s="48">
        <v>2.44</v>
      </c>
      <c r="F507" s="48">
        <v>3.2</v>
      </c>
      <c r="G507" s="48">
        <v>5.2380000000000004</v>
      </c>
      <c r="H507" s="48">
        <v>0.12562499999999999</v>
      </c>
      <c r="I507" s="48">
        <v>776.44500000000005</v>
      </c>
      <c r="J507" s="52" t="e">
        <v>#DIV/0!</v>
      </c>
    </row>
    <row r="508" spans="1:10" x14ac:dyDescent="0.2">
      <c r="A508" s="87"/>
      <c r="B508" s="56" t="s">
        <v>22</v>
      </c>
      <c r="C508" s="90"/>
      <c r="D508" s="57"/>
      <c r="E508" s="57">
        <v>2.431</v>
      </c>
      <c r="F508" s="57">
        <v>3.806</v>
      </c>
      <c r="G508" s="57">
        <v>5.7110000000000003</v>
      </c>
      <c r="H508" s="57">
        <v>0.13820283999999999</v>
      </c>
      <c r="I508" s="57">
        <v>0</v>
      </c>
      <c r="J508" s="49" t="e">
        <v>#DIV/0!</v>
      </c>
    </row>
    <row r="509" spans="1:10" x14ac:dyDescent="0.2">
      <c r="A509" s="91" t="s">
        <v>11</v>
      </c>
      <c r="B509" s="53" t="s">
        <v>20</v>
      </c>
      <c r="C509" s="92">
        <v>10</v>
      </c>
      <c r="D509" s="48"/>
      <c r="E509" s="48">
        <v>2.4409999999999998</v>
      </c>
      <c r="F509" s="48">
        <v>3.5179999999999998</v>
      </c>
      <c r="G509" s="48">
        <v>5.4649999999999999</v>
      </c>
      <c r="H509" s="48">
        <v>0.14042068999999999</v>
      </c>
      <c r="I509" s="48">
        <v>0</v>
      </c>
      <c r="J509" s="52">
        <v>0</v>
      </c>
    </row>
    <row r="510" spans="1:10" x14ac:dyDescent="0.2">
      <c r="A510" s="85"/>
      <c r="B510" s="53" t="s">
        <v>21</v>
      </c>
      <c r="C510" s="89"/>
      <c r="D510" s="48">
        <v>975</v>
      </c>
      <c r="E510" s="48">
        <v>2.4580000000000002</v>
      </c>
      <c r="F510" s="48">
        <v>3.9460000000000002</v>
      </c>
      <c r="G510" s="48">
        <v>5.891</v>
      </c>
      <c r="H510" s="48">
        <v>0.13000507</v>
      </c>
      <c r="I510" s="48">
        <v>848.24505829999998</v>
      </c>
      <c r="J510" s="52" t="e">
        <v>#DIV/0!</v>
      </c>
    </row>
    <row r="511" spans="1:10" x14ac:dyDescent="0.2">
      <c r="A511" s="87"/>
      <c r="B511" s="56" t="s">
        <v>22</v>
      </c>
      <c r="C511" s="90"/>
      <c r="D511" s="57"/>
      <c r="E511" s="57">
        <v>2.4060000000000001</v>
      </c>
      <c r="F511" s="57">
        <v>3.4569999999999999</v>
      </c>
      <c r="G511" s="57">
        <v>5.4359999999999999</v>
      </c>
      <c r="H511" s="57">
        <v>0.1235175</v>
      </c>
      <c r="I511" s="57">
        <v>0</v>
      </c>
      <c r="J511" s="49" t="e">
        <v>#DIV/0!</v>
      </c>
    </row>
    <row r="512" spans="1:10" x14ac:dyDescent="0.2">
      <c r="A512" s="91" t="s">
        <v>12</v>
      </c>
      <c r="B512" s="53" t="s">
        <v>20</v>
      </c>
      <c r="C512" s="92">
        <v>10</v>
      </c>
      <c r="D512" s="48"/>
      <c r="E512" s="48">
        <v>2.419</v>
      </c>
      <c r="F512" s="48">
        <v>3.4380000000000002</v>
      </c>
      <c r="G512" s="48">
        <v>5.3789999999999996</v>
      </c>
      <c r="H512" s="48">
        <v>0.13903431999999999</v>
      </c>
      <c r="I512" s="48">
        <v>0</v>
      </c>
      <c r="J512" s="52">
        <v>0</v>
      </c>
    </row>
    <row r="513" spans="1:10" x14ac:dyDescent="0.2">
      <c r="A513" s="85"/>
      <c r="B513" s="53" t="s">
        <v>21</v>
      </c>
      <c r="C513" s="89"/>
      <c r="D513" s="48">
        <v>813</v>
      </c>
      <c r="E513" s="48">
        <v>2.4089999999999998</v>
      </c>
      <c r="F513" s="48">
        <v>3.1520000000000001</v>
      </c>
      <c r="G513" s="48">
        <v>5.1130000000000004</v>
      </c>
      <c r="H513" s="48">
        <v>0.14213197999999999</v>
      </c>
      <c r="I513" s="48">
        <v>697.44670050000002</v>
      </c>
      <c r="J513" s="52" t="e">
        <v>#DIV/0!</v>
      </c>
    </row>
    <row r="514" spans="1:10" x14ac:dyDescent="0.2">
      <c r="A514" s="87"/>
      <c r="B514" s="56" t="s">
        <v>22</v>
      </c>
      <c r="C514" s="90"/>
      <c r="D514" s="57"/>
      <c r="E514" s="57">
        <v>2.4529999999999998</v>
      </c>
      <c r="F514" s="57">
        <v>3.4390000000000001</v>
      </c>
      <c r="G514" s="57">
        <v>5.423</v>
      </c>
      <c r="H514" s="57">
        <v>0.13637684999999999</v>
      </c>
      <c r="I514" s="57">
        <v>0</v>
      </c>
      <c r="J514" s="49" t="e">
        <v>#DIV/0!</v>
      </c>
    </row>
    <row r="515" spans="1:10" x14ac:dyDescent="0.2">
      <c r="A515" s="91" t="s">
        <v>13</v>
      </c>
      <c r="B515" s="53" t="s">
        <v>20</v>
      </c>
      <c r="C515" s="92">
        <v>10</v>
      </c>
      <c r="D515" s="48"/>
      <c r="E515" s="48">
        <v>2.4129999999999998</v>
      </c>
      <c r="F515" s="48">
        <v>3.464</v>
      </c>
      <c r="G515" s="48">
        <v>5.3879999999999999</v>
      </c>
      <c r="H515" s="48">
        <v>0.14116628000000001</v>
      </c>
      <c r="I515" s="48">
        <v>0</v>
      </c>
      <c r="J515" s="52">
        <v>0</v>
      </c>
    </row>
    <row r="516" spans="1:10" x14ac:dyDescent="0.2">
      <c r="A516" s="85"/>
      <c r="B516" s="53" t="s">
        <v>21</v>
      </c>
      <c r="C516" s="89"/>
      <c r="D516" s="48">
        <v>904</v>
      </c>
      <c r="E516" s="48">
        <v>2.4900000000000002</v>
      </c>
      <c r="F516" s="48">
        <v>3.242</v>
      </c>
      <c r="G516" s="48">
        <v>5.2560000000000002</v>
      </c>
      <c r="H516" s="48">
        <v>0.14682295000000001</v>
      </c>
      <c r="I516" s="48">
        <v>771.27205430000004</v>
      </c>
      <c r="J516" s="52" t="e">
        <v>#DIV/0!</v>
      </c>
    </row>
    <row r="517" spans="1:10" x14ac:dyDescent="0.2">
      <c r="A517" s="87"/>
      <c r="B517" s="56" t="s">
        <v>22</v>
      </c>
      <c r="C517" s="90"/>
      <c r="D517" s="57"/>
      <c r="E517" s="57">
        <v>2.4449999999999998</v>
      </c>
      <c r="F517" s="57">
        <v>3.4140000000000001</v>
      </c>
      <c r="G517" s="57">
        <v>5.37</v>
      </c>
      <c r="H517" s="57">
        <v>0.14323374</v>
      </c>
      <c r="I517" s="57">
        <v>0</v>
      </c>
      <c r="J517" s="49" t="e">
        <v>#DIV/0!</v>
      </c>
    </row>
    <row r="518" spans="1:10" x14ac:dyDescent="0.2">
      <c r="A518" s="91" t="s">
        <v>14</v>
      </c>
      <c r="B518" s="53" t="s">
        <v>20</v>
      </c>
      <c r="C518" s="92">
        <v>6</v>
      </c>
      <c r="D518" s="48"/>
      <c r="E518" s="48">
        <v>2.4289999999999998</v>
      </c>
      <c r="F518" s="48">
        <v>3.7130000000000001</v>
      </c>
      <c r="G518" s="48">
        <v>5.5810000000000004</v>
      </c>
      <c r="H518" s="48">
        <v>0.15109075999999999</v>
      </c>
      <c r="I518" s="48">
        <v>0</v>
      </c>
      <c r="J518" s="52">
        <v>0</v>
      </c>
    </row>
    <row r="519" spans="1:10" x14ac:dyDescent="0.2">
      <c r="A519" s="85"/>
      <c r="B519" s="53" t="s">
        <v>21</v>
      </c>
      <c r="C519" s="89"/>
      <c r="D519" s="48">
        <v>294</v>
      </c>
      <c r="E519" s="48">
        <v>2.4159999999999999</v>
      </c>
      <c r="F519" s="48">
        <v>3.39</v>
      </c>
      <c r="G519" s="48">
        <v>5.3529999999999998</v>
      </c>
      <c r="H519" s="48">
        <v>0.13362831999999999</v>
      </c>
      <c r="I519" s="48">
        <v>254.71327429999999</v>
      </c>
      <c r="J519" s="52" t="e">
        <v>#DIV/0!</v>
      </c>
    </row>
    <row r="520" spans="1:10" ht="16" thickBot="1" x14ac:dyDescent="0.25">
      <c r="A520" s="93"/>
      <c r="B520" s="58" t="s">
        <v>22</v>
      </c>
      <c r="C520" s="94"/>
      <c r="D520" s="59"/>
      <c r="E520" s="59">
        <v>2.4359999999999999</v>
      </c>
      <c r="F520" s="59">
        <v>3.395</v>
      </c>
      <c r="G520" s="59">
        <v>5.3769999999999998</v>
      </c>
      <c r="H520" s="59">
        <v>0.13372607</v>
      </c>
      <c r="I520" s="59">
        <v>0</v>
      </c>
      <c r="J520" s="50" t="e">
        <v>#DIV/0!</v>
      </c>
    </row>
    <row r="521" spans="1:10" ht="16" thickBot="1" x14ac:dyDescent="0.25">
      <c r="A521" s="60" t="s">
        <v>1</v>
      </c>
      <c r="B521" s="61"/>
      <c r="C521" s="62"/>
      <c r="D521" s="63" t="s">
        <v>39</v>
      </c>
      <c r="E521" s="64"/>
      <c r="F521" s="58" t="s">
        <v>0</v>
      </c>
      <c r="G521" s="18">
        <v>44180</v>
      </c>
      <c r="H521" s="65" t="s">
        <v>24</v>
      </c>
      <c r="I521" s="66"/>
      <c r="J521" s="49">
        <v>97</v>
      </c>
    </row>
    <row r="522" spans="1:10" ht="16" thickBot="1" x14ac:dyDescent="0.25">
      <c r="A522" s="67" t="s">
        <v>2</v>
      </c>
      <c r="B522" s="68"/>
      <c r="C522" s="69"/>
      <c r="D522" s="70"/>
      <c r="E522" s="71"/>
      <c r="F522" s="72"/>
      <c r="G522" s="73"/>
      <c r="H522" s="74" t="s">
        <v>25</v>
      </c>
      <c r="I522" s="75"/>
      <c r="J522" s="49">
        <v>20</v>
      </c>
    </row>
    <row r="523" spans="1:10" ht="16" thickBot="1" x14ac:dyDescent="0.25">
      <c r="A523" s="76" t="s">
        <v>27</v>
      </c>
      <c r="B523" s="77"/>
      <c r="C523" s="78"/>
      <c r="D523" s="79" t="s">
        <v>36</v>
      </c>
      <c r="E523" s="80"/>
      <c r="F523" s="48" t="s">
        <v>30</v>
      </c>
      <c r="G523" s="48">
        <v>3.81</v>
      </c>
      <c r="H523" s="81" t="s">
        <v>26</v>
      </c>
      <c r="I523" s="82"/>
      <c r="J523" s="50">
        <v>44</v>
      </c>
    </row>
    <row r="524" spans="1:10" x14ac:dyDescent="0.2">
      <c r="A524" s="83"/>
      <c r="B524" s="84"/>
      <c r="C524" s="51" t="s">
        <v>29</v>
      </c>
      <c r="D524" s="51" t="s">
        <v>19</v>
      </c>
      <c r="E524" s="51" t="s">
        <v>15</v>
      </c>
      <c r="F524" s="51" t="s">
        <v>18</v>
      </c>
      <c r="G524" s="51" t="s">
        <v>17</v>
      </c>
      <c r="H524" s="48" t="s">
        <v>28</v>
      </c>
      <c r="I524" s="48" t="s">
        <v>16</v>
      </c>
      <c r="J524" s="52" t="s">
        <v>23</v>
      </c>
    </row>
    <row r="525" spans="1:10" x14ac:dyDescent="0.2">
      <c r="A525" s="86" t="s">
        <v>3</v>
      </c>
      <c r="B525" s="53" t="s">
        <v>20</v>
      </c>
      <c r="C525" s="88">
        <v>10</v>
      </c>
      <c r="D525" s="54"/>
      <c r="E525" s="54">
        <v>1.7310000000000001</v>
      </c>
      <c r="F525" s="54">
        <v>3.7480000000000002</v>
      </c>
      <c r="G525" s="54">
        <v>4.7889999999999997</v>
      </c>
      <c r="H525" s="54">
        <v>0.18409818999999999</v>
      </c>
      <c r="I525" s="54">
        <v>0</v>
      </c>
      <c r="J525" s="55">
        <v>0</v>
      </c>
    </row>
    <row r="526" spans="1:10" x14ac:dyDescent="0.2">
      <c r="A526" s="85"/>
      <c r="B526" s="53" t="s">
        <v>21</v>
      </c>
      <c r="C526" s="89"/>
      <c r="D526" s="48">
        <v>753</v>
      </c>
      <c r="E526" s="48">
        <v>1.744</v>
      </c>
      <c r="F526" s="48">
        <v>3.6190000000000002</v>
      </c>
      <c r="G526" s="48">
        <v>4.5810000000000004</v>
      </c>
      <c r="H526" s="48">
        <v>0.21608179</v>
      </c>
      <c r="I526" s="48">
        <v>590.29041170000005</v>
      </c>
      <c r="J526" s="52" t="e">
        <v>#DIV/0!</v>
      </c>
    </row>
    <row r="527" spans="1:10" x14ac:dyDescent="0.2">
      <c r="A527" s="87"/>
      <c r="B527" s="56" t="s">
        <v>22</v>
      </c>
      <c r="C527" s="90"/>
      <c r="D527" s="57"/>
      <c r="E527" s="57">
        <v>1.736</v>
      </c>
      <c r="F527" s="57">
        <v>6.6070000000000002</v>
      </c>
      <c r="G527" s="57">
        <v>4.577</v>
      </c>
      <c r="H527" s="57">
        <v>0.57000150999999999</v>
      </c>
      <c r="I527" s="57">
        <v>0</v>
      </c>
      <c r="J527" s="49" t="e">
        <v>#DIV/0!</v>
      </c>
    </row>
    <row r="528" spans="1:10" x14ac:dyDescent="0.2">
      <c r="A528" s="91" t="s">
        <v>4</v>
      </c>
      <c r="B528" s="53" t="s">
        <v>20</v>
      </c>
      <c r="C528" s="92">
        <v>10</v>
      </c>
      <c r="D528" s="48"/>
      <c r="E528" s="48">
        <v>1.7310000000000001</v>
      </c>
      <c r="F528" s="48">
        <v>3.4009999999999998</v>
      </c>
      <c r="G528" s="48">
        <v>4.577</v>
      </c>
      <c r="H528" s="48">
        <v>0.16318730000000001</v>
      </c>
      <c r="I528" s="48">
        <v>0</v>
      </c>
      <c r="J528" s="52">
        <v>0</v>
      </c>
    </row>
    <row r="529" spans="1:10" x14ac:dyDescent="0.2">
      <c r="A529" s="85"/>
      <c r="B529" s="53" t="s">
        <v>21</v>
      </c>
      <c r="C529" s="89"/>
      <c r="D529" s="48">
        <v>696</v>
      </c>
      <c r="E529" s="48">
        <v>1.742</v>
      </c>
      <c r="F529" s="48">
        <v>3.8090000000000002</v>
      </c>
      <c r="G529" s="48">
        <v>4.859</v>
      </c>
      <c r="H529" s="48">
        <v>0.18167498000000001</v>
      </c>
      <c r="I529" s="48">
        <v>569.55421369999999</v>
      </c>
      <c r="J529" s="52" t="e">
        <v>#DIV/0!</v>
      </c>
    </row>
    <row r="530" spans="1:10" x14ac:dyDescent="0.2">
      <c r="A530" s="87"/>
      <c r="B530" s="56" t="s">
        <v>22</v>
      </c>
      <c r="C530" s="90"/>
      <c r="D530" s="57"/>
      <c r="E530" s="57">
        <v>1.75</v>
      </c>
      <c r="F530" s="57">
        <v>3.9710000000000001</v>
      </c>
      <c r="G530" s="57">
        <v>5.0129999999999999</v>
      </c>
      <c r="H530" s="57">
        <v>0.17829262000000001</v>
      </c>
      <c r="I530" s="57">
        <v>0</v>
      </c>
      <c r="J530" s="49" t="e">
        <v>#DIV/0!</v>
      </c>
    </row>
    <row r="531" spans="1:10" x14ac:dyDescent="0.2">
      <c r="A531" s="91" t="s">
        <v>5</v>
      </c>
      <c r="B531" s="53" t="s">
        <v>20</v>
      </c>
      <c r="C531" s="92">
        <v>10</v>
      </c>
      <c r="D531" s="48"/>
      <c r="E531" s="48">
        <v>1.7190000000000001</v>
      </c>
      <c r="F531" s="48">
        <v>3.9870000000000001</v>
      </c>
      <c r="G531" s="48">
        <v>5.109</v>
      </c>
      <c r="H531" s="48">
        <v>0.14973664</v>
      </c>
      <c r="I531" s="48">
        <v>0</v>
      </c>
      <c r="J531" s="52">
        <v>0</v>
      </c>
    </row>
    <row r="532" spans="1:10" x14ac:dyDescent="0.2">
      <c r="A532" s="85"/>
      <c r="B532" s="53" t="s">
        <v>21</v>
      </c>
      <c r="C532" s="89"/>
      <c r="D532" s="48">
        <v>830</v>
      </c>
      <c r="E532" s="48">
        <v>1.74</v>
      </c>
      <c r="F532" s="48">
        <v>3.1419999999999999</v>
      </c>
      <c r="G532" s="48">
        <v>4.407</v>
      </c>
      <c r="H532" s="48">
        <v>0.15117759</v>
      </c>
      <c r="I532" s="48">
        <v>704.52259709999998</v>
      </c>
      <c r="J532" s="52" t="e">
        <v>#DIV/0!</v>
      </c>
    </row>
    <row r="533" spans="1:10" x14ac:dyDescent="0.2">
      <c r="A533" s="87"/>
      <c r="B533" s="56" t="s">
        <v>22</v>
      </c>
      <c r="C533" s="90"/>
      <c r="D533" s="57"/>
      <c r="E533" s="57">
        <v>1.7450000000000001</v>
      </c>
      <c r="F533" s="57">
        <v>3.7029999999999998</v>
      </c>
      <c r="G533" s="57">
        <v>4.8659999999999997</v>
      </c>
      <c r="H533" s="57">
        <v>0.15716985999999999</v>
      </c>
      <c r="I533" s="57">
        <v>0</v>
      </c>
      <c r="J533" s="49" t="e">
        <v>#DIV/0!</v>
      </c>
    </row>
    <row r="534" spans="1:10" x14ac:dyDescent="0.2">
      <c r="A534" s="91" t="s">
        <v>6</v>
      </c>
      <c r="B534" s="53" t="s">
        <v>20</v>
      </c>
      <c r="C534" s="92">
        <v>10</v>
      </c>
      <c r="D534" s="48"/>
      <c r="E534" s="48">
        <v>1.7470000000000001</v>
      </c>
      <c r="F534" s="48">
        <v>3.3730000000000002</v>
      </c>
      <c r="G534" s="48">
        <v>4.5419999999999998</v>
      </c>
      <c r="H534" s="48">
        <v>0.17136081</v>
      </c>
      <c r="I534" s="48">
        <v>0</v>
      </c>
      <c r="J534" s="52">
        <v>0</v>
      </c>
    </row>
    <row r="535" spans="1:10" x14ac:dyDescent="0.2">
      <c r="A535" s="85"/>
      <c r="B535" s="53" t="s">
        <v>21</v>
      </c>
      <c r="C535" s="89"/>
      <c r="D535" s="48">
        <v>772</v>
      </c>
      <c r="E535" s="48">
        <v>1.7250000000000001</v>
      </c>
      <c r="F535" s="48">
        <v>3.827</v>
      </c>
      <c r="G535" s="48">
        <v>4.9279999999999999</v>
      </c>
      <c r="H535" s="48">
        <v>0.163052</v>
      </c>
      <c r="I535" s="48">
        <v>646.1238568</v>
      </c>
      <c r="J535" s="52" t="e">
        <v>#DIV/0!</v>
      </c>
    </row>
    <row r="536" spans="1:10" x14ac:dyDescent="0.2">
      <c r="A536" s="87"/>
      <c r="B536" s="56" t="s">
        <v>22</v>
      </c>
      <c r="C536" s="90"/>
      <c r="D536" s="57"/>
      <c r="E536" s="57">
        <v>1.7290000000000001</v>
      </c>
      <c r="F536" s="57">
        <v>3.5390000000000001</v>
      </c>
      <c r="G536" s="57">
        <v>4.6929999999999996</v>
      </c>
      <c r="H536" s="57">
        <v>0.16247528</v>
      </c>
      <c r="I536" s="57">
        <v>0</v>
      </c>
      <c r="J536" s="49" t="e">
        <v>#DIV/0!</v>
      </c>
    </row>
    <row r="537" spans="1:10" x14ac:dyDescent="0.2">
      <c r="A537" s="91" t="s">
        <v>7</v>
      </c>
      <c r="B537" s="53" t="s">
        <v>20</v>
      </c>
      <c r="C537" s="92">
        <v>10</v>
      </c>
      <c r="D537" s="48"/>
      <c r="E537" s="48">
        <v>1.7250000000000001</v>
      </c>
      <c r="F537" s="48">
        <v>3.2669999999999999</v>
      </c>
      <c r="G537" s="48">
        <v>4.4569999999999999</v>
      </c>
      <c r="H537" s="48">
        <v>0.16375880000000001</v>
      </c>
      <c r="I537" s="48">
        <v>0</v>
      </c>
      <c r="J537" s="52">
        <v>0</v>
      </c>
    </row>
    <row r="538" spans="1:10" x14ac:dyDescent="0.2">
      <c r="A538" s="85"/>
      <c r="B538" s="53" t="s">
        <v>21</v>
      </c>
      <c r="C538" s="89"/>
      <c r="D538" s="48">
        <v>810</v>
      </c>
      <c r="E538" s="48">
        <v>1.7350000000000001</v>
      </c>
      <c r="F538" s="48">
        <v>3.75</v>
      </c>
      <c r="G538" s="48">
        <v>4.8860000000000001</v>
      </c>
      <c r="H538" s="48">
        <v>0.15973333000000001</v>
      </c>
      <c r="I538" s="48">
        <v>680.61599999999999</v>
      </c>
      <c r="J538" s="52" t="e">
        <v>#DIV/0!</v>
      </c>
    </row>
    <row r="539" spans="1:10" x14ac:dyDescent="0.2">
      <c r="A539" s="87"/>
      <c r="B539" s="56" t="s">
        <v>22</v>
      </c>
      <c r="C539" s="90"/>
      <c r="D539" s="57"/>
      <c r="E539" s="57">
        <v>1.7290000000000001</v>
      </c>
      <c r="F539" s="57">
        <v>3.2090000000000001</v>
      </c>
      <c r="G539" s="57">
        <v>4.4370000000000003</v>
      </c>
      <c r="H539" s="57">
        <v>0.1561234</v>
      </c>
      <c r="I539" s="57">
        <v>0</v>
      </c>
      <c r="J539" s="49" t="e">
        <v>#DIV/0!</v>
      </c>
    </row>
    <row r="540" spans="1:10" x14ac:dyDescent="0.2">
      <c r="A540" s="91" t="s">
        <v>8</v>
      </c>
      <c r="B540" s="53" t="s">
        <v>20</v>
      </c>
      <c r="C540" s="92">
        <v>10</v>
      </c>
      <c r="D540" s="48"/>
      <c r="E540" s="48">
        <v>1.74</v>
      </c>
      <c r="F540" s="48">
        <v>3.7890000000000001</v>
      </c>
      <c r="G540" s="48">
        <v>4.843</v>
      </c>
      <c r="H540" s="48">
        <v>0.18105040999999999</v>
      </c>
      <c r="I540" s="48">
        <v>0</v>
      </c>
      <c r="J540" s="52">
        <v>0</v>
      </c>
    </row>
    <row r="541" spans="1:10" x14ac:dyDescent="0.2">
      <c r="A541" s="85"/>
      <c r="B541" s="53" t="s">
        <v>21</v>
      </c>
      <c r="C541" s="89"/>
      <c r="D541" s="48">
        <v>818</v>
      </c>
      <c r="E541" s="48">
        <v>1.74</v>
      </c>
      <c r="F541" s="48">
        <v>3.9510000000000001</v>
      </c>
      <c r="G541" s="48">
        <v>4.968</v>
      </c>
      <c r="H541" s="48">
        <v>0.18299165000000001</v>
      </c>
      <c r="I541" s="48">
        <v>668.3128322</v>
      </c>
      <c r="J541" s="52" t="e">
        <v>#DIV/0!</v>
      </c>
    </row>
    <row r="542" spans="1:10" x14ac:dyDescent="0.2">
      <c r="A542" s="87"/>
      <c r="B542" s="56" t="s">
        <v>22</v>
      </c>
      <c r="C542" s="90"/>
      <c r="D542" s="57"/>
      <c r="E542" s="57">
        <v>1.7190000000000001</v>
      </c>
      <c r="F542" s="57">
        <v>3.7559999999999998</v>
      </c>
      <c r="G542" s="57">
        <v>4.7869999999999999</v>
      </c>
      <c r="H542" s="57">
        <v>0.18317359</v>
      </c>
      <c r="I542" s="57">
        <v>0</v>
      </c>
      <c r="J542" s="49" t="e">
        <v>#DIV/0!</v>
      </c>
    </row>
    <row r="543" spans="1:10" x14ac:dyDescent="0.2">
      <c r="A543" s="91" t="s">
        <v>9</v>
      </c>
      <c r="B543" s="53" t="s">
        <v>20</v>
      </c>
      <c r="C543" s="92">
        <v>10</v>
      </c>
      <c r="D543" s="48"/>
      <c r="E543" s="48">
        <v>1.9330000000000001</v>
      </c>
      <c r="F543" s="48">
        <v>3.1339999999999999</v>
      </c>
      <c r="G543" s="48">
        <v>4.452</v>
      </c>
      <c r="H543" s="48">
        <v>0.19623483999999999</v>
      </c>
      <c r="I543" s="48">
        <v>0</v>
      </c>
      <c r="J543" s="52">
        <v>0</v>
      </c>
    </row>
    <row r="544" spans="1:10" x14ac:dyDescent="0.2">
      <c r="A544" s="85"/>
      <c r="B544" s="53" t="s">
        <v>21</v>
      </c>
      <c r="C544" s="89"/>
      <c r="D544" s="48">
        <v>968</v>
      </c>
      <c r="E544" s="48">
        <v>1.744</v>
      </c>
      <c r="F544" s="48">
        <v>3.8090000000000002</v>
      </c>
      <c r="G544" s="48">
        <v>4.9340000000000002</v>
      </c>
      <c r="H544" s="48">
        <v>0.16250985000000001</v>
      </c>
      <c r="I544" s="48">
        <v>810.69046990000004</v>
      </c>
      <c r="J544" s="52" t="e">
        <v>#DIV/0!</v>
      </c>
    </row>
    <row r="545" spans="1:10" x14ac:dyDescent="0.2">
      <c r="A545" s="87"/>
      <c r="B545" s="56" t="s">
        <v>22</v>
      </c>
      <c r="C545" s="90"/>
      <c r="D545" s="57"/>
      <c r="E545" s="57">
        <v>4.7309999999999999</v>
      </c>
      <c r="F545" s="57">
        <v>3.3490000000000002</v>
      </c>
      <c r="G545" s="57">
        <v>4.5640000000000001</v>
      </c>
      <c r="H545" s="57">
        <v>1.04986563</v>
      </c>
      <c r="I545" s="57">
        <v>0</v>
      </c>
      <c r="J545" s="49" t="e">
        <v>#DIV/0!</v>
      </c>
    </row>
    <row r="546" spans="1:10" x14ac:dyDescent="0.2">
      <c r="A546" s="91" t="s">
        <v>10</v>
      </c>
      <c r="B546" s="53" t="s">
        <v>20</v>
      </c>
      <c r="C546" s="92">
        <v>10</v>
      </c>
      <c r="D546" s="48"/>
      <c r="E546" s="48">
        <v>1.7210000000000001</v>
      </c>
      <c r="F546" s="48">
        <v>3.3180000000000001</v>
      </c>
      <c r="G546" s="48">
        <v>4.4939999999999998</v>
      </c>
      <c r="H546" s="48">
        <v>0.16425558000000001</v>
      </c>
      <c r="I546" s="48">
        <v>0</v>
      </c>
      <c r="J546" s="52">
        <v>0</v>
      </c>
    </row>
    <row r="547" spans="1:10" x14ac:dyDescent="0.2">
      <c r="A547" s="85"/>
      <c r="B547" s="53" t="s">
        <v>21</v>
      </c>
      <c r="C547" s="89"/>
      <c r="D547" s="48">
        <v>790</v>
      </c>
      <c r="E547" s="48">
        <v>1.73</v>
      </c>
      <c r="F547" s="48">
        <v>3.819</v>
      </c>
      <c r="G547" s="48">
        <v>5.0650000000000004</v>
      </c>
      <c r="H547" s="48">
        <v>0.12673475000000001</v>
      </c>
      <c r="I547" s="48">
        <v>689.87954960000002</v>
      </c>
      <c r="J547" s="52" t="e">
        <v>#DIV/0!</v>
      </c>
    </row>
    <row r="548" spans="1:10" x14ac:dyDescent="0.2">
      <c r="A548" s="87"/>
      <c r="B548" s="56" t="s">
        <v>22</v>
      </c>
      <c r="C548" s="90"/>
      <c r="D548" s="57"/>
      <c r="E548" s="57">
        <v>1.7210000000000001</v>
      </c>
      <c r="F548" s="57">
        <v>3.492</v>
      </c>
      <c r="G548" s="57">
        <v>4.7409999999999997</v>
      </c>
      <c r="H548" s="57">
        <v>0.13516608999999999</v>
      </c>
      <c r="I548" s="57">
        <v>0</v>
      </c>
      <c r="J548" s="49" t="e">
        <v>#DIV/0!</v>
      </c>
    </row>
    <row r="549" spans="1:10" x14ac:dyDescent="0.2">
      <c r="A549" s="91" t="s">
        <v>11</v>
      </c>
      <c r="B549" s="53" t="s">
        <v>20</v>
      </c>
      <c r="C549" s="92">
        <v>10</v>
      </c>
      <c r="D549" s="48"/>
      <c r="E549" s="48">
        <v>1.726</v>
      </c>
      <c r="F549" s="48">
        <v>3.3330000000000002</v>
      </c>
      <c r="G549" s="48">
        <v>4.5549999999999997</v>
      </c>
      <c r="H549" s="48">
        <v>0.15121512000000001</v>
      </c>
      <c r="I549" s="48">
        <v>0</v>
      </c>
      <c r="J549" s="52">
        <v>0</v>
      </c>
    </row>
    <row r="550" spans="1:10" x14ac:dyDescent="0.2">
      <c r="A550" s="85"/>
      <c r="B550" s="53" t="s">
        <v>21</v>
      </c>
      <c r="C550" s="89"/>
      <c r="D550" s="48">
        <v>832</v>
      </c>
      <c r="E550" s="48">
        <v>1.7410000000000001</v>
      </c>
      <c r="F550" s="48">
        <v>3.4079999999999999</v>
      </c>
      <c r="G550" s="48">
        <v>4.5990000000000002</v>
      </c>
      <c r="H550" s="48">
        <v>0.16138498000000001</v>
      </c>
      <c r="I550" s="48">
        <v>697.72769949999997</v>
      </c>
      <c r="J550" s="52" t="e">
        <v>#DIV/0!</v>
      </c>
    </row>
    <row r="551" spans="1:10" x14ac:dyDescent="0.2">
      <c r="A551" s="87"/>
      <c r="B551" s="56" t="s">
        <v>22</v>
      </c>
      <c r="C551" s="90"/>
      <c r="D551" s="57"/>
      <c r="E551" s="57">
        <v>1.736</v>
      </c>
      <c r="F551" s="57">
        <v>3.415</v>
      </c>
      <c r="G551" s="57">
        <v>4.6509999999999998</v>
      </c>
      <c r="H551" s="57">
        <v>0.14641288</v>
      </c>
      <c r="I551" s="57">
        <v>0</v>
      </c>
      <c r="J551" s="49" t="e">
        <v>#DIV/0!</v>
      </c>
    </row>
    <row r="552" spans="1:10" x14ac:dyDescent="0.2">
      <c r="A552" s="91" t="s">
        <v>12</v>
      </c>
      <c r="B552" s="53" t="s">
        <v>20</v>
      </c>
      <c r="C552" s="92">
        <v>7</v>
      </c>
      <c r="D552" s="48"/>
      <c r="E552" s="48">
        <v>1.736</v>
      </c>
      <c r="F552" s="48">
        <v>3.528</v>
      </c>
      <c r="G552" s="48">
        <v>4.6840000000000002</v>
      </c>
      <c r="H552" s="48">
        <v>0.16439909</v>
      </c>
      <c r="I552" s="48">
        <v>0</v>
      </c>
      <c r="J552" s="52">
        <v>0</v>
      </c>
    </row>
    <row r="553" spans="1:10" x14ac:dyDescent="0.2">
      <c r="A553" s="85"/>
      <c r="B553" s="53" t="s">
        <v>21</v>
      </c>
      <c r="C553" s="89"/>
      <c r="D553" s="48">
        <v>858</v>
      </c>
      <c r="E553" s="48">
        <v>1.7270000000000001</v>
      </c>
      <c r="F553" s="48">
        <v>3.036</v>
      </c>
      <c r="G553" s="48">
        <v>4.2889999999999997</v>
      </c>
      <c r="H553" s="48">
        <v>0.15612648000000001</v>
      </c>
      <c r="I553" s="48">
        <v>724.04347829999995</v>
      </c>
      <c r="J553" s="52" t="e">
        <v>#DIV/0!</v>
      </c>
    </row>
    <row r="554" spans="1:10" x14ac:dyDescent="0.2">
      <c r="A554" s="87"/>
      <c r="B554" s="56" t="s">
        <v>22</v>
      </c>
      <c r="C554" s="90"/>
      <c r="D554" s="57"/>
      <c r="E554" s="57">
        <v>1.722</v>
      </c>
      <c r="F554" s="57">
        <v>3.044</v>
      </c>
      <c r="G554" s="57">
        <v>4.2169999999999996</v>
      </c>
      <c r="H554" s="57">
        <v>0.18035480000000001</v>
      </c>
      <c r="I554" s="57">
        <v>0</v>
      </c>
      <c r="J554" s="49" t="e">
        <v>#DIV/0!</v>
      </c>
    </row>
    <row r="555" spans="1:10" x14ac:dyDescent="0.2">
      <c r="A555" s="91" t="s">
        <v>13</v>
      </c>
      <c r="B555" s="53" t="s">
        <v>20</v>
      </c>
      <c r="C555" s="92">
        <v>10</v>
      </c>
      <c r="D555" s="48"/>
      <c r="E555" s="48"/>
      <c r="F555" s="48"/>
      <c r="G555" s="48"/>
      <c r="H555" s="48" t="e">
        <v>#DIV/0!</v>
      </c>
      <c r="I555" s="48" t="e">
        <v>#DIV/0!</v>
      </c>
      <c r="J555" s="52" t="e">
        <v>#DIV/0!</v>
      </c>
    </row>
    <row r="556" spans="1:10" x14ac:dyDescent="0.2">
      <c r="A556" s="85"/>
      <c r="B556" s="53" t="s">
        <v>21</v>
      </c>
      <c r="C556" s="89"/>
      <c r="D556" s="48"/>
      <c r="E556" s="48"/>
      <c r="F556" s="48"/>
      <c r="G556" s="48"/>
      <c r="H556" s="48" t="e">
        <v>#DIV/0!</v>
      </c>
      <c r="I556" s="48" t="e">
        <v>#DIV/0!</v>
      </c>
      <c r="J556" s="52" t="e">
        <v>#DIV/0!</v>
      </c>
    </row>
    <row r="557" spans="1:10" x14ac:dyDescent="0.2">
      <c r="A557" s="87"/>
      <c r="B557" s="56" t="s">
        <v>22</v>
      </c>
      <c r="C557" s="90"/>
      <c r="D557" s="57"/>
      <c r="E557" s="57"/>
      <c r="F557" s="57"/>
      <c r="G557" s="57"/>
      <c r="H557" s="57" t="e">
        <v>#DIV/0!</v>
      </c>
      <c r="I557" s="57" t="e">
        <v>#DIV/0!</v>
      </c>
      <c r="J557" s="49" t="e">
        <v>#DIV/0!</v>
      </c>
    </row>
    <row r="558" spans="1:10" x14ac:dyDescent="0.2">
      <c r="A558" s="91" t="s">
        <v>14</v>
      </c>
      <c r="B558" s="53" t="s">
        <v>20</v>
      </c>
      <c r="C558" s="92">
        <v>10</v>
      </c>
      <c r="D558" s="48"/>
      <c r="E558" s="48"/>
      <c r="F558" s="48"/>
      <c r="G558" s="48"/>
      <c r="H558" s="48" t="e">
        <v>#DIV/0!</v>
      </c>
      <c r="I558" s="48" t="e">
        <v>#DIV/0!</v>
      </c>
      <c r="J558" s="52" t="e">
        <v>#DIV/0!</v>
      </c>
    </row>
    <row r="559" spans="1:10" x14ac:dyDescent="0.2">
      <c r="A559" s="85"/>
      <c r="B559" s="53" t="s">
        <v>21</v>
      </c>
      <c r="C559" s="89"/>
      <c r="D559" s="48"/>
      <c r="E559" s="48"/>
      <c r="F559" s="48"/>
      <c r="G559" s="48"/>
      <c r="H559" s="48" t="e">
        <v>#DIV/0!</v>
      </c>
      <c r="I559" s="48" t="e">
        <v>#DIV/0!</v>
      </c>
      <c r="J559" s="52" t="e">
        <v>#DIV/0!</v>
      </c>
    </row>
    <row r="560" spans="1:10" ht="16" thickBot="1" x14ac:dyDescent="0.25">
      <c r="A560" s="93"/>
      <c r="B560" s="58" t="s">
        <v>22</v>
      </c>
      <c r="C560" s="94"/>
      <c r="D560" s="59"/>
      <c r="E560" s="59"/>
      <c r="F560" s="59"/>
      <c r="G560" s="59"/>
      <c r="H560" s="59" t="e">
        <v>#DIV/0!</v>
      </c>
      <c r="I560" s="59" t="e">
        <v>#DIV/0!</v>
      </c>
      <c r="J560" s="50" t="e">
        <v>#DIV/0!</v>
      </c>
    </row>
    <row r="561" spans="1:10" ht="16" thickBot="1" x14ac:dyDescent="0.25">
      <c r="A561" s="60" t="s">
        <v>1</v>
      </c>
      <c r="B561" s="61"/>
      <c r="C561" s="62"/>
      <c r="D561" s="63" t="s">
        <v>39</v>
      </c>
      <c r="E561" s="64"/>
      <c r="F561" s="58" t="s">
        <v>0</v>
      </c>
      <c r="G561" s="18">
        <v>44180</v>
      </c>
      <c r="H561" s="65" t="s">
        <v>24</v>
      </c>
      <c r="I561" s="66"/>
      <c r="J561" s="49">
        <v>118</v>
      </c>
    </row>
    <row r="562" spans="1:10" ht="16" thickBot="1" x14ac:dyDescent="0.25">
      <c r="A562" s="67" t="s">
        <v>2</v>
      </c>
      <c r="B562" s="68"/>
      <c r="C562" s="69"/>
      <c r="D562" s="70"/>
      <c r="E562" s="71"/>
      <c r="F562" s="72"/>
      <c r="G562" s="73"/>
      <c r="H562" s="74" t="s">
        <v>25</v>
      </c>
      <c r="I562" s="75"/>
      <c r="J562" s="49">
        <v>20</v>
      </c>
    </row>
    <row r="563" spans="1:10" ht="16" thickBot="1" x14ac:dyDescent="0.25">
      <c r="A563" s="76" t="s">
        <v>27</v>
      </c>
      <c r="B563" s="77"/>
      <c r="C563" s="78"/>
      <c r="D563" s="79" t="s">
        <v>32</v>
      </c>
      <c r="E563" s="80"/>
      <c r="F563" s="48" t="s">
        <v>30</v>
      </c>
      <c r="G563" s="48">
        <v>3.81</v>
      </c>
      <c r="H563" s="81" t="s">
        <v>26</v>
      </c>
      <c r="I563" s="82"/>
      <c r="J563" s="50">
        <v>45</v>
      </c>
    </row>
    <row r="564" spans="1:10" x14ac:dyDescent="0.2">
      <c r="A564" s="83"/>
      <c r="B564" s="84"/>
      <c r="C564" s="51" t="s">
        <v>29</v>
      </c>
      <c r="D564" s="51" t="s">
        <v>19</v>
      </c>
      <c r="E564" s="51" t="s">
        <v>15</v>
      </c>
      <c r="F564" s="51" t="s">
        <v>18</v>
      </c>
      <c r="G564" s="51" t="s">
        <v>17</v>
      </c>
      <c r="H564" s="48" t="s">
        <v>28</v>
      </c>
      <c r="I564" s="48" t="s">
        <v>16</v>
      </c>
      <c r="J564" s="52" t="s">
        <v>23</v>
      </c>
    </row>
    <row r="565" spans="1:10" x14ac:dyDescent="0.2">
      <c r="A565" s="86" t="s">
        <v>3</v>
      </c>
      <c r="B565" s="53" t="s">
        <v>20</v>
      </c>
      <c r="C565" s="88">
        <v>10</v>
      </c>
      <c r="D565" s="54"/>
      <c r="E565" s="54">
        <v>1.752</v>
      </c>
      <c r="F565" s="54">
        <v>3.57</v>
      </c>
      <c r="G565" s="54">
        <v>4.6260000000000003</v>
      </c>
      <c r="H565" s="54">
        <v>0.19495798</v>
      </c>
      <c r="I565" s="54">
        <v>0</v>
      </c>
      <c r="J565" s="55">
        <v>0</v>
      </c>
    </row>
    <row r="566" spans="1:10" x14ac:dyDescent="0.2">
      <c r="A566" s="85"/>
      <c r="B566" s="53" t="s">
        <v>21</v>
      </c>
      <c r="C566" s="89"/>
      <c r="D566" s="48">
        <v>735</v>
      </c>
      <c r="E566" s="48">
        <v>1.7430000000000001</v>
      </c>
      <c r="F566" s="48">
        <v>3.0750000000000002</v>
      </c>
      <c r="G566" s="48">
        <v>4.2469999999999999</v>
      </c>
      <c r="H566" s="48">
        <v>0.18569105999999999</v>
      </c>
      <c r="I566" s="48">
        <v>598.51707320000003</v>
      </c>
      <c r="J566" s="52" t="e">
        <v>#DIV/0!</v>
      </c>
    </row>
    <row r="567" spans="1:10" x14ac:dyDescent="0.2">
      <c r="A567" s="87"/>
      <c r="B567" s="56" t="s">
        <v>22</v>
      </c>
      <c r="C567" s="90"/>
      <c r="D567" s="57"/>
      <c r="E567" s="57">
        <v>1.7290000000000001</v>
      </c>
      <c r="F567" s="57">
        <v>3.8319999999999999</v>
      </c>
      <c r="G567" s="57">
        <v>4.8540000000000001</v>
      </c>
      <c r="H567" s="57">
        <v>0.18449895999999999</v>
      </c>
      <c r="I567" s="57">
        <v>0</v>
      </c>
      <c r="J567" s="49" t="e">
        <v>#DIV/0!</v>
      </c>
    </row>
    <row r="568" spans="1:10" x14ac:dyDescent="0.2">
      <c r="A568" s="91" t="s">
        <v>4</v>
      </c>
      <c r="B568" s="53" t="s">
        <v>20</v>
      </c>
      <c r="C568" s="92">
        <v>10</v>
      </c>
      <c r="D568" s="48"/>
      <c r="E568" s="48">
        <v>1.756</v>
      </c>
      <c r="F568" s="48">
        <v>3.3820000000000001</v>
      </c>
      <c r="G568" s="48">
        <v>4.6100000000000003</v>
      </c>
      <c r="H568" s="48">
        <v>0.15612064</v>
      </c>
      <c r="I568" s="48">
        <v>0</v>
      </c>
      <c r="J568" s="52">
        <v>0</v>
      </c>
    </row>
    <row r="569" spans="1:10" x14ac:dyDescent="0.2">
      <c r="A569" s="85"/>
      <c r="B569" s="53" t="s">
        <v>21</v>
      </c>
      <c r="C569" s="89"/>
      <c r="D569" s="48">
        <v>751</v>
      </c>
      <c r="E569" s="48">
        <v>1.7190000000000001</v>
      </c>
      <c r="F569" s="48">
        <v>3.9340000000000002</v>
      </c>
      <c r="G569" s="48">
        <v>4.891</v>
      </c>
      <c r="H569" s="48">
        <v>0.19369597999999999</v>
      </c>
      <c r="I569" s="48">
        <v>605.53431620000003</v>
      </c>
      <c r="J569" s="52" t="e">
        <v>#DIV/0!</v>
      </c>
    </row>
    <row r="570" spans="1:10" x14ac:dyDescent="0.2">
      <c r="A570" s="87"/>
      <c r="B570" s="56" t="s">
        <v>22</v>
      </c>
      <c r="C570" s="90"/>
      <c r="D570" s="57"/>
      <c r="E570" s="57">
        <v>1.7190000000000001</v>
      </c>
      <c r="F570" s="57">
        <v>3.2719999999999998</v>
      </c>
      <c r="G570" s="57">
        <v>4.3890000000000002</v>
      </c>
      <c r="H570" s="57">
        <v>0.18398533</v>
      </c>
      <c r="I570" s="57">
        <v>0</v>
      </c>
      <c r="J570" s="49" t="e">
        <v>#DIV/0!</v>
      </c>
    </row>
    <row r="571" spans="1:10" x14ac:dyDescent="0.2">
      <c r="A571" s="91" t="s">
        <v>5</v>
      </c>
      <c r="B571" s="53" t="s">
        <v>20</v>
      </c>
      <c r="C571" s="92">
        <v>10</v>
      </c>
      <c r="D571" s="48"/>
      <c r="E571" s="48">
        <v>1.7310000000000001</v>
      </c>
      <c r="F571" s="48">
        <v>3.5720000000000001</v>
      </c>
      <c r="G571" s="48">
        <v>4.7720000000000002</v>
      </c>
      <c r="H571" s="48">
        <v>0.14865622000000001</v>
      </c>
      <c r="I571" s="48">
        <v>0</v>
      </c>
      <c r="J571" s="52">
        <v>0</v>
      </c>
    </row>
    <row r="572" spans="1:10" x14ac:dyDescent="0.2">
      <c r="A572" s="85"/>
      <c r="B572" s="53" t="s">
        <v>21</v>
      </c>
      <c r="C572" s="89"/>
      <c r="D572" s="48">
        <v>826</v>
      </c>
      <c r="E572" s="48">
        <v>1.73</v>
      </c>
      <c r="F572" s="48">
        <v>3.157</v>
      </c>
      <c r="G572" s="48">
        <v>4.3650000000000002</v>
      </c>
      <c r="H572" s="48">
        <v>0.16534684999999999</v>
      </c>
      <c r="I572" s="48">
        <v>689.42350329999999</v>
      </c>
      <c r="J572" s="52" t="e">
        <v>#DIV/0!</v>
      </c>
    </row>
    <row r="573" spans="1:10" x14ac:dyDescent="0.2">
      <c r="A573" s="87"/>
      <c r="B573" s="56" t="s">
        <v>22</v>
      </c>
      <c r="C573" s="90"/>
      <c r="D573" s="57"/>
      <c r="E573" s="57">
        <v>1.7390000000000001</v>
      </c>
      <c r="F573" s="57">
        <v>3.4369999999999998</v>
      </c>
      <c r="G573" s="57">
        <v>4.7119999999999997</v>
      </c>
      <c r="H573" s="57">
        <v>0.13500145</v>
      </c>
      <c r="I573" s="57">
        <v>0</v>
      </c>
      <c r="J573" s="49" t="e">
        <v>#DIV/0!</v>
      </c>
    </row>
    <row r="574" spans="1:10" x14ac:dyDescent="0.2">
      <c r="A574" s="91" t="s">
        <v>6</v>
      </c>
      <c r="B574" s="53" t="s">
        <v>20</v>
      </c>
      <c r="C574" s="92">
        <v>10</v>
      </c>
      <c r="D574" s="48"/>
      <c r="E574" s="48">
        <v>1.7310000000000001</v>
      </c>
      <c r="F574" s="48">
        <v>3.57</v>
      </c>
      <c r="G574" s="48">
        <v>4.7789999999999999</v>
      </c>
      <c r="H574" s="48">
        <v>0.14621849000000001</v>
      </c>
      <c r="I574" s="48">
        <v>0</v>
      </c>
      <c r="J574" s="52">
        <v>0</v>
      </c>
    </row>
    <row r="575" spans="1:10" x14ac:dyDescent="0.2">
      <c r="A575" s="85"/>
      <c r="B575" s="53" t="s">
        <v>21</v>
      </c>
      <c r="C575" s="89"/>
      <c r="D575" s="48">
        <v>887</v>
      </c>
      <c r="E575" s="48">
        <v>1.724</v>
      </c>
      <c r="F575" s="48">
        <v>3.4649999999999999</v>
      </c>
      <c r="G575" s="48">
        <v>4.67</v>
      </c>
      <c r="H575" s="48">
        <v>0.14978354999999999</v>
      </c>
      <c r="I575" s="48">
        <v>754.14199129999997</v>
      </c>
      <c r="J575" s="52" t="e">
        <v>#DIV/0!</v>
      </c>
    </row>
    <row r="576" spans="1:10" x14ac:dyDescent="0.2">
      <c r="A576" s="87"/>
      <c r="B576" s="56" t="s">
        <v>22</v>
      </c>
      <c r="C576" s="90"/>
      <c r="D576" s="57"/>
      <c r="E576" s="57">
        <v>1.7150000000000001</v>
      </c>
      <c r="F576" s="57">
        <v>3.6850000000000001</v>
      </c>
      <c r="G576" s="57">
        <v>4.8860000000000001</v>
      </c>
      <c r="H576" s="57">
        <v>0.13948440000000001</v>
      </c>
      <c r="I576" s="57">
        <v>0</v>
      </c>
      <c r="J576" s="49" t="e">
        <v>#DIV/0!</v>
      </c>
    </row>
    <row r="577" spans="1:10" x14ac:dyDescent="0.2">
      <c r="A577" s="91" t="s">
        <v>7</v>
      </c>
      <c r="B577" s="53" t="s">
        <v>20</v>
      </c>
      <c r="C577" s="92">
        <v>10</v>
      </c>
      <c r="D577" s="48"/>
      <c r="E577" s="48">
        <v>1.7270000000000001</v>
      </c>
      <c r="F577" s="48">
        <v>3.2490000000000001</v>
      </c>
      <c r="G577" s="48">
        <v>4.4619999999999997</v>
      </c>
      <c r="H577" s="48">
        <v>0.15820252000000001</v>
      </c>
      <c r="I577" s="48">
        <v>0</v>
      </c>
      <c r="J577" s="52">
        <v>0</v>
      </c>
    </row>
    <row r="578" spans="1:10" x14ac:dyDescent="0.2">
      <c r="A578" s="85"/>
      <c r="B578" s="53" t="s">
        <v>21</v>
      </c>
      <c r="C578" s="89"/>
      <c r="D578" s="48">
        <v>751</v>
      </c>
      <c r="E578" s="48">
        <v>1.7090000000000001</v>
      </c>
      <c r="F578" s="48">
        <v>3.794</v>
      </c>
      <c r="G578" s="48">
        <v>4.9279999999999999</v>
      </c>
      <c r="H578" s="48">
        <v>0.15155509</v>
      </c>
      <c r="I578" s="48">
        <v>637.18212970000002</v>
      </c>
      <c r="J578" s="52" t="e">
        <v>#DIV/0!</v>
      </c>
    </row>
    <row r="579" spans="1:10" x14ac:dyDescent="0.2">
      <c r="A579" s="87"/>
      <c r="B579" s="56" t="s">
        <v>22</v>
      </c>
      <c r="C579" s="90"/>
      <c r="D579" s="57"/>
      <c r="E579" s="57">
        <v>1.73</v>
      </c>
      <c r="F579" s="57">
        <v>3.3980000000000001</v>
      </c>
      <c r="G579" s="57">
        <v>4.601</v>
      </c>
      <c r="H579" s="57">
        <v>0.15509123</v>
      </c>
      <c r="I579" s="57">
        <v>0</v>
      </c>
      <c r="J579" s="49" t="e">
        <v>#DIV/0!</v>
      </c>
    </row>
    <row r="580" spans="1:10" x14ac:dyDescent="0.2">
      <c r="A580" s="91" t="s">
        <v>8</v>
      </c>
      <c r="B580" s="53" t="s">
        <v>20</v>
      </c>
      <c r="C580" s="92">
        <v>10</v>
      </c>
      <c r="D580" s="48"/>
      <c r="E580" s="48">
        <v>1.7350000000000001</v>
      </c>
      <c r="F580" s="48">
        <v>3.5760000000000001</v>
      </c>
      <c r="G580" s="48">
        <v>4.6790000000000003</v>
      </c>
      <c r="H580" s="48">
        <v>0.17673378000000001</v>
      </c>
      <c r="I580" s="48">
        <v>0</v>
      </c>
      <c r="J580" s="52">
        <v>0</v>
      </c>
    </row>
    <row r="581" spans="1:10" x14ac:dyDescent="0.2">
      <c r="A581" s="85"/>
      <c r="B581" s="53" t="s">
        <v>21</v>
      </c>
      <c r="C581" s="89"/>
      <c r="D581" s="48">
        <v>708</v>
      </c>
      <c r="E581" s="48">
        <v>1.736</v>
      </c>
      <c r="F581" s="48">
        <v>3.7610000000000001</v>
      </c>
      <c r="G581" s="48">
        <v>4.8330000000000002</v>
      </c>
      <c r="H581" s="48">
        <v>0.17654879000000001</v>
      </c>
      <c r="I581" s="48">
        <v>583.00345649999997</v>
      </c>
      <c r="J581" s="52" t="e">
        <v>#DIV/0!</v>
      </c>
    </row>
    <row r="582" spans="1:10" x14ac:dyDescent="0.2">
      <c r="A582" s="87"/>
      <c r="B582" s="56" t="s">
        <v>22</v>
      </c>
      <c r="C582" s="90"/>
      <c r="D582" s="57"/>
      <c r="E582" s="57">
        <v>1.7270000000000001</v>
      </c>
      <c r="F582" s="57">
        <v>3.55</v>
      </c>
      <c r="G582" s="57">
        <v>4.6660000000000004</v>
      </c>
      <c r="H582" s="57">
        <v>0.17211267999999999</v>
      </c>
      <c r="I582" s="57">
        <v>0</v>
      </c>
      <c r="J582" s="49" t="e">
        <v>#DIV/0!</v>
      </c>
    </row>
    <row r="583" spans="1:10" x14ac:dyDescent="0.2">
      <c r="A583" s="91" t="s">
        <v>9</v>
      </c>
      <c r="B583" s="53" t="s">
        <v>20</v>
      </c>
      <c r="C583" s="92">
        <v>10</v>
      </c>
      <c r="D583" s="48"/>
      <c r="E583" s="48">
        <v>1.7210000000000001</v>
      </c>
      <c r="F583" s="48">
        <v>3.2690000000000001</v>
      </c>
      <c r="G583" s="48">
        <v>4.4909999999999997</v>
      </c>
      <c r="H583" s="48">
        <v>0.15264606999999999</v>
      </c>
      <c r="I583" s="48">
        <v>0</v>
      </c>
      <c r="J583" s="52">
        <v>0</v>
      </c>
    </row>
    <row r="584" spans="1:10" x14ac:dyDescent="0.2">
      <c r="A584" s="85"/>
      <c r="B584" s="53" t="s">
        <v>21</v>
      </c>
      <c r="C584" s="89"/>
      <c r="D584" s="48">
        <v>954</v>
      </c>
      <c r="E584" s="48">
        <v>1.714</v>
      </c>
      <c r="F584" s="48">
        <v>3.5510000000000002</v>
      </c>
      <c r="G584" s="48">
        <v>4.6920000000000002</v>
      </c>
      <c r="H584" s="48">
        <v>0.16136300000000001</v>
      </c>
      <c r="I584" s="48">
        <v>800.05970149999996</v>
      </c>
      <c r="J584" s="52" t="e">
        <v>#DIV/0!</v>
      </c>
    </row>
    <row r="585" spans="1:10" x14ac:dyDescent="0.2">
      <c r="A585" s="87"/>
      <c r="B585" s="56" t="s">
        <v>22</v>
      </c>
      <c r="C585" s="90"/>
      <c r="D585" s="57"/>
      <c r="E585" s="57">
        <v>1.716</v>
      </c>
      <c r="F585" s="57">
        <v>3.371</v>
      </c>
      <c r="G585" s="57">
        <v>4.4660000000000002</v>
      </c>
      <c r="H585" s="57">
        <v>0.18421833000000001</v>
      </c>
      <c r="I585" s="57">
        <v>0</v>
      </c>
      <c r="J585" s="49" t="e">
        <v>#DIV/0!</v>
      </c>
    </row>
    <row r="586" spans="1:10" x14ac:dyDescent="0.2">
      <c r="A586" s="91" t="s">
        <v>10</v>
      </c>
      <c r="B586" s="53" t="s">
        <v>20</v>
      </c>
      <c r="C586" s="92">
        <v>10</v>
      </c>
      <c r="D586" s="48"/>
      <c r="E586" s="48">
        <v>1.7330000000000001</v>
      </c>
      <c r="F586" s="48">
        <v>3.7810000000000001</v>
      </c>
      <c r="G586" s="48">
        <v>4.8330000000000002</v>
      </c>
      <c r="H586" s="48">
        <v>0.18011108000000001</v>
      </c>
      <c r="I586" s="48">
        <v>0</v>
      </c>
      <c r="J586" s="52">
        <v>0</v>
      </c>
    </row>
    <row r="587" spans="1:10" x14ac:dyDescent="0.2">
      <c r="A587" s="85"/>
      <c r="B587" s="53" t="s">
        <v>21</v>
      </c>
      <c r="C587" s="89"/>
      <c r="D587" s="48">
        <v>865</v>
      </c>
      <c r="E587" s="48">
        <v>1.736</v>
      </c>
      <c r="F587" s="48">
        <v>3.4489999999999998</v>
      </c>
      <c r="G587" s="48">
        <v>4.5590000000000002</v>
      </c>
      <c r="H587" s="48">
        <v>0.18150188</v>
      </c>
      <c r="I587" s="48">
        <v>708.00086980000003</v>
      </c>
      <c r="J587" s="52" t="e">
        <v>#DIV/0!</v>
      </c>
    </row>
    <row r="588" spans="1:10" x14ac:dyDescent="0.2">
      <c r="A588" s="87"/>
      <c r="B588" s="56" t="s">
        <v>22</v>
      </c>
      <c r="C588" s="90"/>
      <c r="D588" s="57"/>
      <c r="E588" s="57">
        <v>1.724</v>
      </c>
      <c r="F588" s="57">
        <v>3.778</v>
      </c>
      <c r="G588" s="57">
        <v>4.7690000000000001</v>
      </c>
      <c r="H588" s="57">
        <v>0.194018</v>
      </c>
      <c r="I588" s="57">
        <v>0</v>
      </c>
      <c r="J588" s="49" t="e">
        <v>#DIV/0!</v>
      </c>
    </row>
    <row r="589" spans="1:10" x14ac:dyDescent="0.2">
      <c r="A589" s="91" t="s">
        <v>11</v>
      </c>
      <c r="B589" s="53" t="s">
        <v>20</v>
      </c>
      <c r="C589" s="92">
        <v>10</v>
      </c>
      <c r="D589" s="48"/>
      <c r="E589" s="48">
        <v>1.7490000000000001</v>
      </c>
      <c r="F589" s="48">
        <v>3.109</v>
      </c>
      <c r="G589" s="48">
        <v>4.3819999999999997</v>
      </c>
      <c r="H589" s="48">
        <v>0.15310388999999999</v>
      </c>
      <c r="I589" s="48">
        <v>0</v>
      </c>
      <c r="J589" s="52">
        <v>0</v>
      </c>
    </row>
    <row r="590" spans="1:10" x14ac:dyDescent="0.2">
      <c r="A590" s="85"/>
      <c r="B590" s="53" t="s">
        <v>21</v>
      </c>
      <c r="C590" s="89"/>
      <c r="D590" s="48">
        <v>970</v>
      </c>
      <c r="E590" s="48">
        <v>1.73</v>
      </c>
      <c r="F590" s="48">
        <v>3.23</v>
      </c>
      <c r="G590" s="48">
        <v>4.4210000000000003</v>
      </c>
      <c r="H590" s="48">
        <v>0.16687307000000001</v>
      </c>
      <c r="I590" s="48">
        <v>808.13312689999998</v>
      </c>
      <c r="J590" s="52" t="e">
        <v>#DIV/0!</v>
      </c>
    </row>
    <row r="591" spans="1:10" x14ac:dyDescent="0.2">
      <c r="A591" s="87"/>
      <c r="B591" s="56" t="s">
        <v>22</v>
      </c>
      <c r="C591" s="90"/>
      <c r="D591" s="57"/>
      <c r="E591" s="57">
        <v>1.7509999999999999</v>
      </c>
      <c r="F591" s="57">
        <v>3.1269999999999998</v>
      </c>
      <c r="G591" s="57">
        <v>4.4429999999999996</v>
      </c>
      <c r="H591" s="57">
        <v>0.13911097</v>
      </c>
      <c r="I591" s="57">
        <v>0</v>
      </c>
      <c r="J591" s="49" t="e">
        <v>#DIV/0!</v>
      </c>
    </row>
    <row r="592" spans="1:10" x14ac:dyDescent="0.2">
      <c r="A592" s="91" t="s">
        <v>12</v>
      </c>
      <c r="B592" s="53" t="s">
        <v>20</v>
      </c>
      <c r="C592" s="92">
        <v>10</v>
      </c>
      <c r="D592" s="48"/>
      <c r="E592" s="48">
        <v>1.7230000000000001</v>
      </c>
      <c r="F592" s="48">
        <v>3.149</v>
      </c>
      <c r="G592" s="48">
        <v>4.4569999999999999</v>
      </c>
      <c r="H592" s="48">
        <v>0.13178787</v>
      </c>
      <c r="I592" s="48">
        <v>0</v>
      </c>
      <c r="J592" s="52">
        <v>0</v>
      </c>
    </row>
    <row r="593" spans="1:10" x14ac:dyDescent="0.2">
      <c r="A593" s="85"/>
      <c r="B593" s="53" t="s">
        <v>21</v>
      </c>
      <c r="C593" s="89"/>
      <c r="D593" s="48">
        <v>985</v>
      </c>
      <c r="E593" s="48">
        <v>1.726</v>
      </c>
      <c r="F593" s="48">
        <v>3.7559999999999998</v>
      </c>
      <c r="G593" s="48">
        <v>5.0019999999999998</v>
      </c>
      <c r="H593" s="48">
        <v>0.12779552999999999</v>
      </c>
      <c r="I593" s="48">
        <v>859.12140580000005</v>
      </c>
      <c r="J593" s="52" t="e">
        <v>#DIV/0!</v>
      </c>
    </row>
    <row r="594" spans="1:10" x14ac:dyDescent="0.2">
      <c r="A594" s="87"/>
      <c r="B594" s="56" t="s">
        <v>22</v>
      </c>
      <c r="C594" s="90"/>
      <c r="D594" s="57"/>
      <c r="E594" s="57">
        <v>1.7290000000000001</v>
      </c>
      <c r="F594" s="57">
        <v>3.1269999999999998</v>
      </c>
      <c r="G594" s="57">
        <v>4.468</v>
      </c>
      <c r="H594" s="57">
        <v>0.12408059</v>
      </c>
      <c r="I594" s="57">
        <v>0</v>
      </c>
      <c r="J594" s="49" t="e">
        <v>#DIV/0!</v>
      </c>
    </row>
    <row r="595" spans="1:10" x14ac:dyDescent="0.2">
      <c r="A595" s="91" t="s">
        <v>13</v>
      </c>
      <c r="B595" s="53" t="s">
        <v>20</v>
      </c>
      <c r="C595" s="92">
        <v>10</v>
      </c>
      <c r="D595" s="48"/>
      <c r="E595" s="48">
        <v>1.7290000000000001</v>
      </c>
      <c r="F595" s="48">
        <v>3.6819999999999999</v>
      </c>
      <c r="G595" s="48">
        <v>5</v>
      </c>
      <c r="H595" s="48">
        <v>0.11162411999999999</v>
      </c>
      <c r="I595" s="48">
        <v>0</v>
      </c>
      <c r="J595" s="52">
        <v>0</v>
      </c>
    </row>
    <row r="596" spans="1:10" x14ac:dyDescent="0.2">
      <c r="A596" s="85"/>
      <c r="B596" s="53" t="s">
        <v>21</v>
      </c>
      <c r="C596" s="89"/>
      <c r="D596" s="48">
        <v>950</v>
      </c>
      <c r="E596" s="48">
        <v>1.7450000000000001</v>
      </c>
      <c r="F596" s="48">
        <v>3.665</v>
      </c>
      <c r="G596" s="48">
        <v>5.0830000000000002</v>
      </c>
      <c r="H596" s="48">
        <v>8.9222369999999995E-2</v>
      </c>
      <c r="I596" s="48">
        <v>865.23874490000003</v>
      </c>
      <c r="J596" s="52" t="e">
        <v>#DIV/0!</v>
      </c>
    </row>
    <row r="597" spans="1:10" x14ac:dyDescent="0.2">
      <c r="A597" s="87"/>
      <c r="B597" s="56" t="s">
        <v>22</v>
      </c>
      <c r="C597" s="90"/>
      <c r="D597" s="57"/>
      <c r="E597" s="57">
        <v>1.7170000000000001</v>
      </c>
      <c r="F597" s="57">
        <v>3.0590000000000002</v>
      </c>
      <c r="G597" s="57">
        <v>4.3920000000000003</v>
      </c>
      <c r="H597" s="57">
        <v>0.12553122</v>
      </c>
      <c r="I597" s="57">
        <v>0</v>
      </c>
      <c r="J597" s="49" t="e">
        <v>#DIV/0!</v>
      </c>
    </row>
    <row r="598" spans="1:10" x14ac:dyDescent="0.2">
      <c r="A598" s="91" t="s">
        <v>14</v>
      </c>
      <c r="B598" s="53" t="s">
        <v>20</v>
      </c>
      <c r="C598" s="92">
        <v>8</v>
      </c>
      <c r="D598" s="48"/>
      <c r="E598" s="48">
        <v>1.7290000000000001</v>
      </c>
      <c r="F598" s="48">
        <v>3.516</v>
      </c>
      <c r="G598" s="48">
        <v>4.7880000000000003</v>
      </c>
      <c r="H598" s="48">
        <v>0.12997724999999999</v>
      </c>
      <c r="I598" s="48">
        <v>0</v>
      </c>
      <c r="J598" s="52">
        <v>0</v>
      </c>
    </row>
    <row r="599" spans="1:10" x14ac:dyDescent="0.2">
      <c r="A599" s="85"/>
      <c r="B599" s="53" t="s">
        <v>21</v>
      </c>
      <c r="C599" s="89"/>
      <c r="D599" s="48">
        <v>788</v>
      </c>
      <c r="E599" s="48">
        <v>1.742</v>
      </c>
      <c r="F599" s="48">
        <v>3.4319999999999999</v>
      </c>
      <c r="G599" s="48">
        <v>4.7060000000000004</v>
      </c>
      <c r="H599" s="48">
        <v>0.13636364000000001</v>
      </c>
      <c r="I599" s="48">
        <v>680.54545450000001</v>
      </c>
      <c r="J599" s="52" t="e">
        <v>#DIV/0!</v>
      </c>
    </row>
    <row r="600" spans="1:10" ht="16" thickBot="1" x14ac:dyDescent="0.25">
      <c r="A600" s="93"/>
      <c r="B600" s="58" t="s">
        <v>22</v>
      </c>
      <c r="C600" s="94"/>
      <c r="D600" s="59"/>
      <c r="E600" s="59">
        <v>1.7190000000000001</v>
      </c>
      <c r="F600" s="59">
        <v>3.556</v>
      </c>
      <c r="G600" s="59">
        <v>4.7839999999999998</v>
      </c>
      <c r="H600" s="59">
        <v>0.13807649</v>
      </c>
      <c r="I600" s="59">
        <v>0</v>
      </c>
      <c r="J600" s="50" t="e">
        <v>#DIV/0!</v>
      </c>
    </row>
    <row r="601" spans="1:10" ht="16" thickBot="1" x14ac:dyDescent="0.25">
      <c r="A601" s="60" t="s">
        <v>1</v>
      </c>
      <c r="B601" s="61"/>
      <c r="C601" s="62"/>
      <c r="D601" s="63" t="s">
        <v>39</v>
      </c>
      <c r="E601" s="64"/>
      <c r="F601" s="58" t="s">
        <v>0</v>
      </c>
      <c r="G601" s="18">
        <v>44180</v>
      </c>
      <c r="H601" s="65" t="s">
        <v>24</v>
      </c>
      <c r="I601" s="66"/>
      <c r="J601" s="49">
        <v>120</v>
      </c>
    </row>
    <row r="602" spans="1:10" ht="16" thickBot="1" x14ac:dyDescent="0.25">
      <c r="A602" s="67" t="s">
        <v>2</v>
      </c>
      <c r="B602" s="68"/>
      <c r="C602" s="69"/>
      <c r="D602" s="70"/>
      <c r="E602" s="71"/>
      <c r="F602" s="72"/>
      <c r="G602" s="73"/>
      <c r="H602" s="74" t="s">
        <v>25</v>
      </c>
      <c r="I602" s="75"/>
      <c r="J602" s="49">
        <v>23</v>
      </c>
    </row>
    <row r="603" spans="1:10" ht="16" thickBot="1" x14ac:dyDescent="0.25">
      <c r="A603" s="76" t="s">
        <v>27</v>
      </c>
      <c r="B603" s="77"/>
      <c r="C603" s="78"/>
      <c r="D603" s="79" t="s">
        <v>33</v>
      </c>
      <c r="E603" s="80"/>
      <c r="F603" s="48" t="s">
        <v>30</v>
      </c>
      <c r="G603" s="48">
        <v>3.81</v>
      </c>
      <c r="H603" s="81" t="s">
        <v>26</v>
      </c>
      <c r="I603" s="82"/>
      <c r="J603" s="50">
        <v>52</v>
      </c>
    </row>
    <row r="604" spans="1:10" x14ac:dyDescent="0.2">
      <c r="A604" s="83"/>
      <c r="B604" s="84"/>
      <c r="C604" s="51" t="s">
        <v>29</v>
      </c>
      <c r="D604" s="51" t="s">
        <v>19</v>
      </c>
      <c r="E604" s="51" t="s">
        <v>15</v>
      </c>
      <c r="F604" s="51" t="s">
        <v>18</v>
      </c>
      <c r="G604" s="51" t="s">
        <v>17</v>
      </c>
      <c r="H604" s="48" t="s">
        <v>28</v>
      </c>
      <c r="I604" s="48" t="s">
        <v>16</v>
      </c>
      <c r="J604" s="52" t="s">
        <v>23</v>
      </c>
    </row>
    <row r="605" spans="1:10" x14ac:dyDescent="0.2">
      <c r="A605" s="86" t="s">
        <v>3</v>
      </c>
      <c r="B605" s="53" t="s">
        <v>20</v>
      </c>
      <c r="C605" s="88">
        <v>10</v>
      </c>
      <c r="D605" s="54"/>
      <c r="E605" s="54">
        <v>1.7410000000000001</v>
      </c>
      <c r="F605" s="54">
        <v>3.8769999999999998</v>
      </c>
      <c r="G605" s="54">
        <v>4.9489999999999998</v>
      </c>
      <c r="H605" s="54">
        <v>0.17255609999999999</v>
      </c>
      <c r="I605" s="54">
        <v>0</v>
      </c>
      <c r="J605" s="55">
        <v>0</v>
      </c>
    </row>
    <row r="606" spans="1:10" x14ac:dyDescent="0.2">
      <c r="A606" s="85"/>
      <c r="B606" s="53" t="s">
        <v>21</v>
      </c>
      <c r="C606" s="89"/>
      <c r="D606" s="48">
        <v>723</v>
      </c>
      <c r="E606" s="48">
        <v>1.732</v>
      </c>
      <c r="F606" s="48">
        <v>3.64</v>
      </c>
      <c r="G606" s="48">
        <v>4.3762999999999996</v>
      </c>
      <c r="H606" s="48">
        <v>0.27354395999999997</v>
      </c>
      <c r="I606" s="48">
        <v>525.22771980000005</v>
      </c>
      <c r="J606" s="52" t="e">
        <v>#DIV/0!</v>
      </c>
    </row>
    <row r="607" spans="1:10" x14ac:dyDescent="0.2">
      <c r="A607" s="87"/>
      <c r="B607" s="56" t="s">
        <v>22</v>
      </c>
      <c r="C607" s="90"/>
      <c r="D607" s="57"/>
      <c r="E607" s="57">
        <v>1.742</v>
      </c>
      <c r="F607" s="57">
        <v>3.4</v>
      </c>
      <c r="G607" s="57">
        <v>4.492</v>
      </c>
      <c r="H607" s="57">
        <v>0.19117646999999999</v>
      </c>
      <c r="I607" s="57">
        <v>0</v>
      </c>
      <c r="J607" s="49" t="e">
        <v>#DIV/0!</v>
      </c>
    </row>
    <row r="608" spans="1:10" x14ac:dyDescent="0.2">
      <c r="A608" s="91" t="s">
        <v>4</v>
      </c>
      <c r="B608" s="53" t="s">
        <v>20</v>
      </c>
      <c r="C608" s="92">
        <v>10</v>
      </c>
      <c r="D608" s="48"/>
      <c r="E608" s="48">
        <v>1.712</v>
      </c>
      <c r="F608" s="48">
        <v>3.4409999999999998</v>
      </c>
      <c r="G608" s="48">
        <v>4.4930000000000003</v>
      </c>
      <c r="H608" s="48">
        <v>0.19180470999999999</v>
      </c>
      <c r="I608" s="48">
        <v>0</v>
      </c>
      <c r="J608" s="52">
        <v>0</v>
      </c>
    </row>
    <row r="609" spans="1:10" x14ac:dyDescent="0.2">
      <c r="A609" s="85"/>
      <c r="B609" s="53" t="s">
        <v>21</v>
      </c>
      <c r="C609" s="89"/>
      <c r="D609" s="48">
        <v>826</v>
      </c>
      <c r="E609" s="48">
        <v>1.7010000000000001</v>
      </c>
      <c r="F609" s="48">
        <v>3.6070000000000002</v>
      </c>
      <c r="G609" s="48">
        <v>4.7549999999999999</v>
      </c>
      <c r="H609" s="48">
        <v>0.153313</v>
      </c>
      <c r="I609" s="48">
        <v>699.36345989999995</v>
      </c>
      <c r="J609" s="52" t="e">
        <v>#DIV/0!</v>
      </c>
    </row>
    <row r="610" spans="1:10" x14ac:dyDescent="0.2">
      <c r="A610" s="87"/>
      <c r="B610" s="56" t="s">
        <v>22</v>
      </c>
      <c r="C610" s="90"/>
      <c r="D610" s="57"/>
      <c r="E610" s="57">
        <v>1.7170000000000001</v>
      </c>
      <c r="F610" s="57">
        <v>3.2229999999999999</v>
      </c>
      <c r="G610" s="57">
        <v>4.367</v>
      </c>
      <c r="H610" s="57">
        <v>0.17778467000000001</v>
      </c>
      <c r="I610" s="57">
        <v>0</v>
      </c>
      <c r="J610" s="49" t="e">
        <v>#DIV/0!</v>
      </c>
    </row>
    <row r="611" spans="1:10" x14ac:dyDescent="0.2">
      <c r="A611" s="91" t="s">
        <v>5</v>
      </c>
      <c r="B611" s="53" t="s">
        <v>20</v>
      </c>
      <c r="C611" s="92">
        <v>10</v>
      </c>
      <c r="D611" s="48"/>
      <c r="E611" s="48">
        <v>1.7090000000000001</v>
      </c>
      <c r="F611" s="48">
        <v>3.78</v>
      </c>
      <c r="G611" s="48">
        <v>5.1230000000000002</v>
      </c>
      <c r="H611" s="48">
        <v>9.6825400000000006E-2</v>
      </c>
      <c r="I611" s="48">
        <v>0</v>
      </c>
      <c r="J611" s="52">
        <v>0</v>
      </c>
    </row>
    <row r="612" spans="1:10" x14ac:dyDescent="0.2">
      <c r="A612" s="85"/>
      <c r="B612" s="53" t="s">
        <v>21</v>
      </c>
      <c r="C612" s="89"/>
      <c r="D612" s="48">
        <v>814</v>
      </c>
      <c r="E612" s="48">
        <v>1.7330000000000001</v>
      </c>
      <c r="F612" s="48">
        <v>3.4239999999999999</v>
      </c>
      <c r="G612" s="48">
        <v>4.5910000000000002</v>
      </c>
      <c r="H612" s="48">
        <v>0.16530374</v>
      </c>
      <c r="I612" s="48">
        <v>679.44275700000003</v>
      </c>
      <c r="J612" s="52" t="e">
        <v>#DIV/0!</v>
      </c>
    </row>
    <row r="613" spans="1:10" x14ac:dyDescent="0.2">
      <c r="A613" s="87"/>
      <c r="B613" s="56" t="s">
        <v>22</v>
      </c>
      <c r="C613" s="90"/>
      <c r="D613" s="57"/>
      <c r="E613" s="57">
        <v>1.7370000000000001</v>
      </c>
      <c r="F613" s="57">
        <v>3.5179999999999998</v>
      </c>
      <c r="G613" s="57">
        <v>4.6710000000000003</v>
      </c>
      <c r="H613" s="57">
        <v>0.16600340999999999</v>
      </c>
      <c r="I613" s="57">
        <v>0</v>
      </c>
      <c r="J613" s="49" t="e">
        <v>#DIV/0!</v>
      </c>
    </row>
    <row r="614" spans="1:10" x14ac:dyDescent="0.2">
      <c r="A614" s="91" t="s">
        <v>6</v>
      </c>
      <c r="B614" s="53" t="s">
        <v>20</v>
      </c>
      <c r="C614" s="92">
        <v>10</v>
      </c>
      <c r="D614" s="48"/>
      <c r="E614" s="48">
        <v>1.7290000000000001</v>
      </c>
      <c r="F614" s="48">
        <v>3.5310000000000001</v>
      </c>
      <c r="G614" s="48">
        <v>4.7549999999999999</v>
      </c>
      <c r="H614" s="48">
        <v>0.14301897</v>
      </c>
      <c r="I614" s="48">
        <v>0</v>
      </c>
      <c r="J614" s="52">
        <v>0</v>
      </c>
    </row>
    <row r="615" spans="1:10" x14ac:dyDescent="0.2">
      <c r="A615" s="85"/>
      <c r="B615" s="53" t="s">
        <v>21</v>
      </c>
      <c r="C615" s="89"/>
      <c r="D615" s="48">
        <v>819</v>
      </c>
      <c r="E615" s="48">
        <v>1.7370000000000001</v>
      </c>
      <c r="F615" s="48">
        <v>3.3620000000000001</v>
      </c>
      <c r="G615" s="48">
        <v>4.5579999999999998</v>
      </c>
      <c r="H615" s="48">
        <v>0.16091612</v>
      </c>
      <c r="I615" s="48">
        <v>687.20969660000003</v>
      </c>
      <c r="J615" s="52" t="e">
        <v>#DIV/0!</v>
      </c>
    </row>
    <row r="616" spans="1:10" x14ac:dyDescent="0.2">
      <c r="A616" s="87"/>
      <c r="B616" s="56" t="s">
        <v>22</v>
      </c>
      <c r="C616" s="90"/>
      <c r="D616" s="57"/>
      <c r="E616" s="57">
        <v>1.734</v>
      </c>
      <c r="F616" s="57">
        <v>3.4289999999999998</v>
      </c>
      <c r="G616" s="57">
        <v>4.6710000000000003</v>
      </c>
      <c r="H616" s="57">
        <v>0.14348205999999999</v>
      </c>
      <c r="I616" s="57">
        <v>0</v>
      </c>
      <c r="J616" s="49" t="e">
        <v>#DIV/0!</v>
      </c>
    </row>
    <row r="617" spans="1:10" x14ac:dyDescent="0.2">
      <c r="A617" s="91" t="s">
        <v>7</v>
      </c>
      <c r="B617" s="53" t="s">
        <v>20</v>
      </c>
      <c r="C617" s="92">
        <v>10</v>
      </c>
      <c r="D617" s="48"/>
      <c r="E617" s="48">
        <v>1.7270000000000001</v>
      </c>
      <c r="F617" s="48">
        <v>3.5939999999999999</v>
      </c>
      <c r="G617" s="48">
        <v>4.7619999999999996</v>
      </c>
      <c r="H617" s="48">
        <v>0.15553701</v>
      </c>
      <c r="I617" s="48">
        <v>0</v>
      </c>
      <c r="J617" s="52">
        <v>0</v>
      </c>
    </row>
    <row r="618" spans="1:10" x14ac:dyDescent="0.2">
      <c r="A618" s="85"/>
      <c r="B618" s="53" t="s">
        <v>21</v>
      </c>
      <c r="C618" s="89"/>
      <c r="D618" s="48">
        <v>883</v>
      </c>
      <c r="E618" s="48">
        <v>1.7190000000000001</v>
      </c>
      <c r="F618" s="48">
        <v>3.8980000000000001</v>
      </c>
      <c r="G618" s="48">
        <v>5.0419999999999998</v>
      </c>
      <c r="H618" s="48">
        <v>0.14751154</v>
      </c>
      <c r="I618" s="48">
        <v>752.74730629999999</v>
      </c>
      <c r="J618" s="52" t="e">
        <v>#DIV/0!</v>
      </c>
    </row>
    <row r="619" spans="1:10" x14ac:dyDescent="0.2">
      <c r="A619" s="87"/>
      <c r="B619" s="56" t="s">
        <v>22</v>
      </c>
      <c r="C619" s="90"/>
      <c r="D619" s="57"/>
      <c r="E619" s="57">
        <v>1.7410000000000001</v>
      </c>
      <c r="F619" s="57">
        <v>3.3879999999999999</v>
      </c>
      <c r="G619" s="57">
        <v>4.5839999999999996</v>
      </c>
      <c r="H619" s="57">
        <v>0.16086186999999999</v>
      </c>
      <c r="I619" s="57">
        <v>0</v>
      </c>
      <c r="J619" s="49" t="e">
        <v>#DIV/0!</v>
      </c>
    </row>
    <row r="620" spans="1:10" x14ac:dyDescent="0.2">
      <c r="A620" s="91" t="s">
        <v>8</v>
      </c>
      <c r="B620" s="53" t="s">
        <v>20</v>
      </c>
      <c r="C620" s="92">
        <v>10</v>
      </c>
      <c r="D620" s="48"/>
      <c r="E620" s="48">
        <v>1.7350000000000001</v>
      </c>
      <c r="F620" s="48">
        <v>3.3010000000000002</v>
      </c>
      <c r="G620" s="48">
        <v>4.5679999999999996</v>
      </c>
      <c r="H620" s="48">
        <v>0.14177522000000001</v>
      </c>
      <c r="I620" s="48">
        <v>0</v>
      </c>
      <c r="J620" s="52">
        <v>0</v>
      </c>
    </row>
    <row r="621" spans="1:10" x14ac:dyDescent="0.2">
      <c r="A621" s="85"/>
      <c r="B621" s="53" t="s">
        <v>21</v>
      </c>
      <c r="C621" s="89"/>
      <c r="D621" s="48">
        <v>790</v>
      </c>
      <c r="E621" s="48">
        <v>1.7410000000000001</v>
      </c>
      <c r="F621" s="48">
        <v>3.593</v>
      </c>
      <c r="G621" s="48">
        <v>4.7629999999999999</v>
      </c>
      <c r="H621" s="48">
        <v>0.15892012</v>
      </c>
      <c r="I621" s="48">
        <v>664.45310329999995</v>
      </c>
      <c r="J621" s="52" t="e">
        <v>#DIV/0!</v>
      </c>
    </row>
    <row r="622" spans="1:10" x14ac:dyDescent="0.2">
      <c r="A622" s="87"/>
      <c r="B622" s="56" t="s">
        <v>22</v>
      </c>
      <c r="C622" s="90"/>
      <c r="D622" s="57"/>
      <c r="E622" s="57">
        <v>1.7110000000000001</v>
      </c>
      <c r="F622" s="57">
        <v>3.698</v>
      </c>
      <c r="G622" s="57">
        <v>4.8310000000000004</v>
      </c>
      <c r="H622" s="57">
        <v>0.15630069999999999</v>
      </c>
      <c r="I622" s="57">
        <v>0</v>
      </c>
      <c r="J622" s="49" t="e">
        <v>#DIV/0!</v>
      </c>
    </row>
    <row r="623" spans="1:10" x14ac:dyDescent="0.2">
      <c r="A623" s="91" t="s">
        <v>9</v>
      </c>
      <c r="B623" s="53" t="s">
        <v>20</v>
      </c>
      <c r="C623" s="92">
        <v>10</v>
      </c>
      <c r="D623" s="48"/>
      <c r="E623" s="48">
        <v>1.7130000000000001</v>
      </c>
      <c r="F623" s="48">
        <v>3.6509999999999998</v>
      </c>
      <c r="G623" s="48">
        <v>4.7610000000000001</v>
      </c>
      <c r="H623" s="48">
        <v>0.16516022999999999</v>
      </c>
      <c r="I623" s="48">
        <v>0</v>
      </c>
      <c r="J623" s="52">
        <v>0</v>
      </c>
    </row>
    <row r="624" spans="1:10" x14ac:dyDescent="0.2">
      <c r="A624" s="85"/>
      <c r="B624" s="53" t="s">
        <v>21</v>
      </c>
      <c r="C624" s="89"/>
      <c r="D624" s="48">
        <v>833</v>
      </c>
      <c r="E624" s="48">
        <v>1.17</v>
      </c>
      <c r="F624" s="48">
        <v>3.117</v>
      </c>
      <c r="G624" s="48">
        <v>4.21</v>
      </c>
      <c r="H624" s="48">
        <v>2.4703240000000001E-2</v>
      </c>
      <c r="I624" s="48">
        <v>812.42220080000004</v>
      </c>
      <c r="J624" s="52" t="e">
        <v>#DIV/0!</v>
      </c>
    </row>
    <row r="625" spans="1:10" x14ac:dyDescent="0.2">
      <c r="A625" s="87"/>
      <c r="B625" s="56" t="s">
        <v>22</v>
      </c>
      <c r="C625" s="90"/>
      <c r="D625" s="57"/>
      <c r="E625" s="57">
        <v>1.7290000000000001</v>
      </c>
      <c r="F625" s="57">
        <v>3.5270000000000001</v>
      </c>
      <c r="G625" s="57">
        <v>4.625</v>
      </c>
      <c r="H625" s="57">
        <v>0.17890559</v>
      </c>
      <c r="I625" s="57">
        <v>0</v>
      </c>
      <c r="J625" s="49" t="e">
        <v>#DIV/0!</v>
      </c>
    </row>
    <row r="626" spans="1:10" x14ac:dyDescent="0.2">
      <c r="A626" s="91" t="s">
        <v>10</v>
      </c>
      <c r="B626" s="53" t="s">
        <v>20</v>
      </c>
      <c r="C626" s="92">
        <v>10</v>
      </c>
      <c r="D626" s="48"/>
      <c r="E626" s="48">
        <v>1.7310000000000001</v>
      </c>
      <c r="F626" s="48">
        <v>3.27</v>
      </c>
      <c r="G626" s="48">
        <v>4.335</v>
      </c>
      <c r="H626" s="48">
        <v>0.20366972</v>
      </c>
      <c r="I626" s="48">
        <v>0</v>
      </c>
      <c r="J626" s="52">
        <v>0</v>
      </c>
    </row>
    <row r="627" spans="1:10" x14ac:dyDescent="0.2">
      <c r="A627" s="85"/>
      <c r="B627" s="53" t="s">
        <v>21</v>
      </c>
      <c r="C627" s="89"/>
      <c r="D627" s="48">
        <v>742</v>
      </c>
      <c r="E627" s="48">
        <v>1.73</v>
      </c>
      <c r="F627" s="48">
        <v>3.472</v>
      </c>
      <c r="G627" s="48">
        <v>4.57</v>
      </c>
      <c r="H627" s="48">
        <v>0.18202765000000001</v>
      </c>
      <c r="I627" s="48">
        <v>606.93548390000001</v>
      </c>
      <c r="J627" s="52" t="e">
        <v>#DIV/0!</v>
      </c>
    </row>
    <row r="628" spans="1:10" x14ac:dyDescent="0.2">
      <c r="A628" s="87"/>
      <c r="B628" s="56" t="s">
        <v>22</v>
      </c>
      <c r="C628" s="90"/>
      <c r="D628" s="57"/>
      <c r="E628" s="57">
        <v>1.7529999999999999</v>
      </c>
      <c r="F628" s="57">
        <v>3.4340000000000002</v>
      </c>
      <c r="G628" s="57">
        <v>4.4740000000000002</v>
      </c>
      <c r="H628" s="57">
        <v>0.20762959</v>
      </c>
      <c r="I628" s="57">
        <v>0</v>
      </c>
      <c r="J628" s="49" t="e">
        <v>#DIV/0!</v>
      </c>
    </row>
    <row r="629" spans="1:10" x14ac:dyDescent="0.2">
      <c r="A629" s="91" t="s">
        <v>11</v>
      </c>
      <c r="B629" s="53" t="s">
        <v>20</v>
      </c>
      <c r="C629" s="92">
        <v>10</v>
      </c>
      <c r="D629" s="48"/>
      <c r="E629" s="48">
        <v>1.758</v>
      </c>
      <c r="F629" s="48">
        <v>3.3969999999999998</v>
      </c>
      <c r="G629" s="48">
        <v>4.4580000000000002</v>
      </c>
      <c r="H629" s="48">
        <v>0.20518104000000001</v>
      </c>
      <c r="I629" s="48">
        <v>0</v>
      </c>
      <c r="J629" s="52">
        <v>0</v>
      </c>
    </row>
    <row r="630" spans="1:10" x14ac:dyDescent="0.2">
      <c r="A630" s="85"/>
      <c r="B630" s="53" t="s">
        <v>21</v>
      </c>
      <c r="C630" s="89"/>
      <c r="D630" s="48">
        <v>959</v>
      </c>
      <c r="E630" s="48">
        <v>1.7110000000000001</v>
      </c>
      <c r="F630" s="48">
        <v>3.879</v>
      </c>
      <c r="G630" s="48">
        <v>4.7750000000000004</v>
      </c>
      <c r="H630" s="48">
        <v>0.21010570000000001</v>
      </c>
      <c r="I630" s="48">
        <v>757.50863619999996</v>
      </c>
      <c r="J630" s="52" t="e">
        <v>#DIV/0!</v>
      </c>
    </row>
    <row r="631" spans="1:10" x14ac:dyDescent="0.2">
      <c r="A631" s="87"/>
      <c r="B631" s="56" t="s">
        <v>22</v>
      </c>
      <c r="C631" s="90"/>
      <c r="D631" s="57"/>
      <c r="E631" s="57">
        <v>1.74</v>
      </c>
      <c r="F631" s="57">
        <v>3.194</v>
      </c>
      <c r="G631" s="57">
        <v>4.3029999999999999</v>
      </c>
      <c r="H631" s="57">
        <v>0.19755792</v>
      </c>
      <c r="I631" s="57">
        <v>0</v>
      </c>
      <c r="J631" s="49" t="e">
        <v>#DIV/0!</v>
      </c>
    </row>
    <row r="632" spans="1:10" x14ac:dyDescent="0.2">
      <c r="A632" s="91" t="s">
        <v>12</v>
      </c>
      <c r="B632" s="53" t="s">
        <v>20</v>
      </c>
      <c r="C632" s="92">
        <v>10</v>
      </c>
      <c r="D632" s="48"/>
      <c r="E632" s="48">
        <v>1.7230000000000001</v>
      </c>
      <c r="F632" s="48">
        <v>3.2290000000000001</v>
      </c>
      <c r="G632" s="48">
        <v>4.4249999999999998</v>
      </c>
      <c r="H632" s="48">
        <v>0.16320841999999999</v>
      </c>
      <c r="I632" s="48">
        <v>0</v>
      </c>
      <c r="J632" s="52">
        <v>0</v>
      </c>
    </row>
    <row r="633" spans="1:10" x14ac:dyDescent="0.2">
      <c r="A633" s="85"/>
      <c r="B633" s="53" t="s">
        <v>21</v>
      </c>
      <c r="C633" s="89"/>
      <c r="D633" s="48">
        <v>702</v>
      </c>
      <c r="E633" s="48">
        <v>1.7290000000000001</v>
      </c>
      <c r="F633" s="48">
        <v>3.1659999999999999</v>
      </c>
      <c r="G633" s="48">
        <v>4.383</v>
      </c>
      <c r="H633" s="48">
        <v>0.16171826</v>
      </c>
      <c r="I633" s="48">
        <v>588.47378400000002</v>
      </c>
      <c r="J633" s="52" t="e">
        <v>#DIV/0!</v>
      </c>
    </row>
    <row r="634" spans="1:10" x14ac:dyDescent="0.2">
      <c r="A634" s="87"/>
      <c r="B634" s="56" t="s">
        <v>22</v>
      </c>
      <c r="C634" s="90"/>
      <c r="D634" s="57"/>
      <c r="E634" s="57">
        <v>1.7230000000000001</v>
      </c>
      <c r="F634" s="57">
        <v>3.2989999999999999</v>
      </c>
      <c r="G634" s="57">
        <v>4.4290000000000003</v>
      </c>
      <c r="H634" s="57">
        <v>0.17975144000000001</v>
      </c>
      <c r="I634" s="57">
        <v>0</v>
      </c>
      <c r="J634" s="49" t="e">
        <v>#DIV/0!</v>
      </c>
    </row>
    <row r="635" spans="1:10" x14ac:dyDescent="0.2">
      <c r="A635" s="91" t="s">
        <v>13</v>
      </c>
      <c r="B635" s="53" t="s">
        <v>20</v>
      </c>
      <c r="C635" s="92">
        <v>10</v>
      </c>
      <c r="D635" s="48"/>
      <c r="E635" s="48">
        <v>1.746</v>
      </c>
      <c r="F635" s="48">
        <v>3.875</v>
      </c>
      <c r="G635" s="48">
        <v>4.968</v>
      </c>
      <c r="H635" s="48">
        <v>0.16851612999999999</v>
      </c>
      <c r="I635" s="48">
        <v>0</v>
      </c>
      <c r="J635" s="52">
        <v>0</v>
      </c>
    </row>
    <row r="636" spans="1:10" x14ac:dyDescent="0.2">
      <c r="A636" s="85"/>
      <c r="B636" s="53" t="s">
        <v>21</v>
      </c>
      <c r="C636" s="89"/>
      <c r="D636" s="48">
        <v>978</v>
      </c>
      <c r="E636" s="48">
        <v>1.724</v>
      </c>
      <c r="F636" s="48">
        <v>3.3359999999999999</v>
      </c>
      <c r="G636" s="48">
        <v>4.5739999999999998</v>
      </c>
      <c r="H636" s="48">
        <v>0.14568344999999999</v>
      </c>
      <c r="I636" s="48">
        <v>835.52158269999995</v>
      </c>
      <c r="J636" s="52" t="e">
        <v>#DIV/0!</v>
      </c>
    </row>
    <row r="637" spans="1:10" x14ac:dyDescent="0.2">
      <c r="A637" s="87"/>
      <c r="B637" s="56" t="s">
        <v>22</v>
      </c>
      <c r="C637" s="90"/>
      <c r="D637" s="57"/>
      <c r="E637" s="57">
        <v>1.7250000000000001</v>
      </c>
      <c r="F637" s="57">
        <v>3.13</v>
      </c>
      <c r="G637" s="57">
        <v>4.3819999999999997</v>
      </c>
      <c r="H637" s="57">
        <v>0.15111821</v>
      </c>
      <c r="I637" s="57">
        <v>0</v>
      </c>
      <c r="J637" s="49" t="e">
        <v>#DIV/0!</v>
      </c>
    </row>
    <row r="638" spans="1:10" x14ac:dyDescent="0.2">
      <c r="A638" s="91" t="s">
        <v>14</v>
      </c>
      <c r="B638" s="53" t="s">
        <v>20</v>
      </c>
      <c r="C638" s="92">
        <v>10</v>
      </c>
      <c r="D638" s="48"/>
      <c r="E638" s="48">
        <v>1.72</v>
      </c>
      <c r="F638" s="48">
        <v>3.6949999999999998</v>
      </c>
      <c r="G638" s="48">
        <v>4.9130000000000003</v>
      </c>
      <c r="H638" s="48">
        <v>0.13585927</v>
      </c>
      <c r="I638" s="48">
        <v>0</v>
      </c>
      <c r="J638" s="52">
        <v>0</v>
      </c>
    </row>
    <row r="639" spans="1:10" x14ac:dyDescent="0.2">
      <c r="A639" s="85"/>
      <c r="B639" s="53" t="s">
        <v>21</v>
      </c>
      <c r="C639" s="89"/>
      <c r="D639" s="48">
        <v>1145</v>
      </c>
      <c r="E639" s="48">
        <v>1.744</v>
      </c>
      <c r="F639" s="48">
        <v>3.4660000000000002</v>
      </c>
      <c r="G639" s="48">
        <v>4.7</v>
      </c>
      <c r="H639" s="48">
        <v>0.14714368</v>
      </c>
      <c r="I639" s="48">
        <v>976.5204847</v>
      </c>
      <c r="J639" s="52" t="e">
        <v>#DIV/0!</v>
      </c>
    </row>
    <row r="640" spans="1:10" ht="16" thickBot="1" x14ac:dyDescent="0.25">
      <c r="A640" s="93"/>
      <c r="B640" s="58" t="s">
        <v>22</v>
      </c>
      <c r="C640" s="94"/>
      <c r="D640" s="59"/>
      <c r="E640" s="59">
        <v>1.7430000000000001</v>
      </c>
      <c r="F640" s="59">
        <v>3.52</v>
      </c>
      <c r="G640" s="59">
        <v>4.8150000000000004</v>
      </c>
      <c r="H640" s="59">
        <v>0.12727273</v>
      </c>
      <c r="I640" s="59">
        <v>0</v>
      </c>
      <c r="J640" s="50" t="e">
        <v>#DIV/0!</v>
      </c>
    </row>
    <row r="641" spans="1:10" ht="16" thickBot="1" x14ac:dyDescent="0.25">
      <c r="A641" s="60" t="s">
        <v>1</v>
      </c>
      <c r="B641" s="61"/>
      <c r="C641" s="62"/>
      <c r="D641" s="63" t="s">
        <v>40</v>
      </c>
      <c r="E641" s="64"/>
      <c r="F641" s="58" t="s">
        <v>0</v>
      </c>
      <c r="G641" s="18">
        <v>44159</v>
      </c>
      <c r="H641" s="65" t="s">
        <v>24</v>
      </c>
      <c r="I641" s="66"/>
      <c r="J641" s="49">
        <v>100</v>
      </c>
    </row>
    <row r="642" spans="1:10" ht="16" thickBot="1" x14ac:dyDescent="0.25">
      <c r="A642" s="67" t="s">
        <v>2</v>
      </c>
      <c r="B642" s="68"/>
      <c r="C642" s="69"/>
      <c r="D642" s="70"/>
      <c r="E642" s="71"/>
      <c r="F642" s="72"/>
      <c r="G642" s="73"/>
      <c r="H642" s="74" t="s">
        <v>25</v>
      </c>
      <c r="I642" s="75"/>
      <c r="J642" s="49">
        <v>21</v>
      </c>
    </row>
    <row r="643" spans="1:10" ht="16" thickBot="1" x14ac:dyDescent="0.25">
      <c r="A643" s="76" t="s">
        <v>27</v>
      </c>
      <c r="B643" s="77"/>
      <c r="C643" s="78"/>
      <c r="D643" s="79" t="s">
        <v>33</v>
      </c>
      <c r="E643" s="80"/>
      <c r="F643" s="48" t="s">
        <v>30</v>
      </c>
      <c r="G643" s="48"/>
      <c r="H643" s="81" t="s">
        <v>26</v>
      </c>
      <c r="I643" s="82"/>
      <c r="J643" s="50">
        <v>60</v>
      </c>
    </row>
    <row r="644" spans="1:10" x14ac:dyDescent="0.2">
      <c r="A644" s="83"/>
      <c r="B644" s="84"/>
      <c r="C644" s="51" t="s">
        <v>29</v>
      </c>
      <c r="D644" s="51" t="s">
        <v>19</v>
      </c>
      <c r="E644" s="51" t="s">
        <v>15</v>
      </c>
      <c r="F644" s="51" t="s">
        <v>18</v>
      </c>
      <c r="G644" s="51" t="s">
        <v>17</v>
      </c>
      <c r="H644" s="48" t="s">
        <v>28</v>
      </c>
      <c r="I644" s="48" t="s">
        <v>16</v>
      </c>
      <c r="J644" s="52" t="s">
        <v>23</v>
      </c>
    </row>
    <row r="645" spans="1:10" x14ac:dyDescent="0.2">
      <c r="A645" s="86" t="s">
        <v>3</v>
      </c>
      <c r="B645" s="53" t="s">
        <v>20</v>
      </c>
      <c r="C645" s="88">
        <v>10</v>
      </c>
      <c r="D645" s="54"/>
      <c r="E645" s="54">
        <v>2.472</v>
      </c>
      <c r="F645" s="54">
        <v>3.3290000000000002</v>
      </c>
      <c r="G645" s="54">
        <v>5.1970000000000001</v>
      </c>
      <c r="H645" s="54">
        <v>0.18143587</v>
      </c>
      <c r="I645" s="54">
        <v>0</v>
      </c>
      <c r="J645" s="55">
        <v>0</v>
      </c>
    </row>
    <row r="646" spans="1:10" x14ac:dyDescent="0.2">
      <c r="A646" s="85"/>
      <c r="B646" s="53" t="s">
        <v>21</v>
      </c>
      <c r="C646" s="89"/>
      <c r="D646" s="48">
        <v>768</v>
      </c>
      <c r="E646" s="48">
        <v>2.4910000000000001</v>
      </c>
      <c r="F646" s="48">
        <v>3.863</v>
      </c>
      <c r="G646" s="48">
        <v>5.67</v>
      </c>
      <c r="H646" s="48">
        <v>0.17706446000000001</v>
      </c>
      <c r="I646" s="48">
        <v>632.01449649999995</v>
      </c>
      <c r="J646" s="52" t="e">
        <v>#DIV/0!</v>
      </c>
    </row>
    <row r="647" spans="1:10" x14ac:dyDescent="0.2">
      <c r="A647" s="87"/>
      <c r="B647" s="56" t="s">
        <v>22</v>
      </c>
      <c r="C647" s="90"/>
      <c r="D647" s="57"/>
      <c r="E647" s="57">
        <v>2.4929999999999999</v>
      </c>
      <c r="F647" s="57">
        <v>3.7469999999999999</v>
      </c>
      <c r="G647" s="57">
        <v>5.57</v>
      </c>
      <c r="H647" s="57">
        <v>0.17880971000000001</v>
      </c>
      <c r="I647" s="57">
        <v>0</v>
      </c>
      <c r="J647" s="49" t="e">
        <v>#DIV/0!</v>
      </c>
    </row>
    <row r="648" spans="1:10" x14ac:dyDescent="0.2">
      <c r="A648" s="91" t="s">
        <v>4</v>
      </c>
      <c r="B648" s="53" t="s">
        <v>20</v>
      </c>
      <c r="C648" s="92">
        <v>10</v>
      </c>
      <c r="D648" s="48"/>
      <c r="E648" s="48">
        <v>2.4159999999999999</v>
      </c>
      <c r="F648" s="48">
        <v>3.875</v>
      </c>
      <c r="G648" s="48">
        <v>5.6079999999999997</v>
      </c>
      <c r="H648" s="48">
        <v>0.17625805999999999</v>
      </c>
      <c r="I648" s="48">
        <v>0</v>
      </c>
      <c r="J648" s="52">
        <v>0</v>
      </c>
    </row>
    <row r="649" spans="1:10" x14ac:dyDescent="0.2">
      <c r="A649" s="85"/>
      <c r="B649" s="53" t="s">
        <v>21</v>
      </c>
      <c r="C649" s="89"/>
      <c r="D649" s="48">
        <v>773</v>
      </c>
      <c r="E649" s="48">
        <v>2.4630000000000001</v>
      </c>
      <c r="F649" s="48">
        <v>3.4820000000000002</v>
      </c>
      <c r="G649" s="48">
        <v>5.3789999999999996</v>
      </c>
      <c r="H649" s="48">
        <v>0.16255026</v>
      </c>
      <c r="I649" s="48">
        <v>647.34865019999995</v>
      </c>
      <c r="J649" s="52" t="e">
        <v>#DIV/0!</v>
      </c>
    </row>
    <row r="650" spans="1:10" x14ac:dyDescent="0.2">
      <c r="A650" s="87"/>
      <c r="B650" s="56" t="s">
        <v>22</v>
      </c>
      <c r="C650" s="90"/>
      <c r="D650" s="57"/>
      <c r="E650" s="57">
        <v>2.4580000000000002</v>
      </c>
      <c r="F650" s="57">
        <v>3.4540000000000002</v>
      </c>
      <c r="G650" s="57">
        <v>5.3049999999999997</v>
      </c>
      <c r="H650" s="57">
        <v>0.17573827</v>
      </c>
      <c r="I650" s="57">
        <v>0</v>
      </c>
      <c r="J650" s="49" t="e">
        <v>#DIV/0!</v>
      </c>
    </row>
    <row r="651" spans="1:10" x14ac:dyDescent="0.2">
      <c r="A651" s="91" t="s">
        <v>5</v>
      </c>
      <c r="B651" s="53" t="s">
        <v>20</v>
      </c>
      <c r="C651" s="92">
        <v>10</v>
      </c>
      <c r="D651" s="48"/>
      <c r="E651" s="48">
        <v>2.4169999999999998</v>
      </c>
      <c r="F651" s="48">
        <v>3.165</v>
      </c>
      <c r="G651" s="48">
        <v>5.0750000000000002</v>
      </c>
      <c r="H651" s="48">
        <v>0.16018957</v>
      </c>
      <c r="I651" s="48">
        <v>0</v>
      </c>
      <c r="J651" s="52">
        <v>0</v>
      </c>
    </row>
    <row r="652" spans="1:10" x14ac:dyDescent="0.2">
      <c r="A652" s="85"/>
      <c r="B652" s="53" t="s">
        <v>21</v>
      </c>
      <c r="C652" s="89"/>
      <c r="D652" s="48">
        <v>784</v>
      </c>
      <c r="E652" s="48">
        <v>2.452</v>
      </c>
      <c r="F652" s="48">
        <v>3.0449999999999999</v>
      </c>
      <c r="G652" s="48">
        <v>5.0259999999999998</v>
      </c>
      <c r="H652" s="48">
        <v>0.15467980000000001</v>
      </c>
      <c r="I652" s="48">
        <v>662.73103449999996</v>
      </c>
      <c r="J652" s="52" t="e">
        <v>#DIV/0!</v>
      </c>
    </row>
    <row r="653" spans="1:10" x14ac:dyDescent="0.2">
      <c r="A653" s="87"/>
      <c r="B653" s="56" t="s">
        <v>22</v>
      </c>
      <c r="C653" s="90"/>
      <c r="D653" s="57"/>
      <c r="E653" s="57">
        <v>2.4729999999999999</v>
      </c>
      <c r="F653" s="57">
        <v>3.3759999999999999</v>
      </c>
      <c r="G653" s="57">
        <v>5.335</v>
      </c>
      <c r="H653" s="57">
        <v>0.15225118000000001</v>
      </c>
      <c r="I653" s="57">
        <v>0</v>
      </c>
      <c r="J653" s="49" t="e">
        <v>#DIV/0!</v>
      </c>
    </row>
    <row r="654" spans="1:10" x14ac:dyDescent="0.2">
      <c r="A654" s="91" t="s">
        <v>6</v>
      </c>
      <c r="B654" s="53" t="s">
        <v>20</v>
      </c>
      <c r="C654" s="92">
        <v>10</v>
      </c>
      <c r="D654" s="48"/>
      <c r="E654" s="48">
        <v>2.4540000000000002</v>
      </c>
      <c r="F654" s="48">
        <v>3.262</v>
      </c>
      <c r="G654" s="48">
        <v>5.2080000000000002</v>
      </c>
      <c r="H654" s="48">
        <v>0.15573268000000001</v>
      </c>
      <c r="I654" s="48">
        <v>0</v>
      </c>
      <c r="J654" s="52">
        <v>0</v>
      </c>
    </row>
    <row r="655" spans="1:10" x14ac:dyDescent="0.2">
      <c r="A655" s="85"/>
      <c r="B655" s="53" t="s">
        <v>21</v>
      </c>
      <c r="C655" s="89"/>
      <c r="D655" s="48">
        <v>970</v>
      </c>
      <c r="E655" s="48">
        <v>2.415</v>
      </c>
      <c r="F655" s="48">
        <v>3.5569999999999999</v>
      </c>
      <c r="G655" s="48">
        <v>5.4219999999999997</v>
      </c>
      <c r="H655" s="48">
        <v>0.15462467999999999</v>
      </c>
      <c r="I655" s="48">
        <v>820.01405680000005</v>
      </c>
      <c r="J655" s="52" t="e">
        <v>#DIV/0!</v>
      </c>
    </row>
    <row r="656" spans="1:10" x14ac:dyDescent="0.2">
      <c r="A656" s="87"/>
      <c r="B656" s="56" t="s">
        <v>22</v>
      </c>
      <c r="C656" s="90"/>
      <c r="D656" s="57"/>
      <c r="E656" s="57">
        <v>4.4130000000000003</v>
      </c>
      <c r="F656" s="57">
        <v>3.0209999999999999</v>
      </c>
      <c r="G656" s="57">
        <v>5.0819999999999999</v>
      </c>
      <c r="H656" s="57">
        <v>0.77855015000000005</v>
      </c>
      <c r="I656" s="57">
        <v>0</v>
      </c>
      <c r="J656" s="49" t="e">
        <v>#DIV/0!</v>
      </c>
    </row>
    <row r="657" spans="1:10" x14ac:dyDescent="0.2">
      <c r="A657" s="91" t="s">
        <v>7</v>
      </c>
      <c r="B657" s="53" t="s">
        <v>20</v>
      </c>
      <c r="C657" s="92">
        <v>10</v>
      </c>
      <c r="D657" s="48"/>
      <c r="E657" s="48">
        <v>2.4870000000000001</v>
      </c>
      <c r="F657" s="48">
        <v>3.0230000000000001</v>
      </c>
      <c r="G657" s="48">
        <v>5.0339999999999998</v>
      </c>
      <c r="H657" s="48">
        <v>0.15745948000000001</v>
      </c>
      <c r="I657" s="48">
        <v>0</v>
      </c>
      <c r="J657" s="52">
        <v>0</v>
      </c>
    </row>
    <row r="658" spans="1:10" x14ac:dyDescent="0.2">
      <c r="A658" s="85"/>
      <c r="B658" s="53" t="s">
        <v>21</v>
      </c>
      <c r="C658" s="89"/>
      <c r="D658" s="48">
        <v>824</v>
      </c>
      <c r="E658" s="48">
        <v>2.4329999999999998</v>
      </c>
      <c r="F658" s="48">
        <v>3.48</v>
      </c>
      <c r="G658" s="48">
        <v>5.3760000000000003</v>
      </c>
      <c r="H658" s="48">
        <v>0.15431033999999999</v>
      </c>
      <c r="I658" s="48">
        <v>696.84827589999998</v>
      </c>
      <c r="J658" s="52" t="e">
        <v>#DIV/0!</v>
      </c>
    </row>
    <row r="659" spans="1:10" x14ac:dyDescent="0.2">
      <c r="A659" s="87"/>
      <c r="B659" s="56" t="s">
        <v>22</v>
      </c>
      <c r="C659" s="90"/>
      <c r="D659" s="57"/>
      <c r="E659" s="57">
        <v>2.4500000000000002</v>
      </c>
      <c r="F659" s="57">
        <v>3.306</v>
      </c>
      <c r="G659" s="57">
        <v>5.2569999999999997</v>
      </c>
      <c r="H659" s="57">
        <v>0.15093769000000001</v>
      </c>
      <c r="I659" s="57">
        <v>0</v>
      </c>
      <c r="J659" s="49" t="e">
        <v>#DIV/0!</v>
      </c>
    </row>
    <row r="660" spans="1:10" x14ac:dyDescent="0.2">
      <c r="A660" s="91" t="s">
        <v>8</v>
      </c>
      <c r="B660" s="53" t="s">
        <v>20</v>
      </c>
      <c r="C660" s="92">
        <v>10</v>
      </c>
      <c r="D660" s="48"/>
      <c r="E660" s="48">
        <v>2.4390000000000001</v>
      </c>
      <c r="F660" s="48">
        <v>3.161</v>
      </c>
      <c r="G660" s="48">
        <v>5.0510000000000002</v>
      </c>
      <c r="H660" s="48">
        <v>0.17367922</v>
      </c>
      <c r="I660" s="48">
        <v>0</v>
      </c>
      <c r="J660" s="52">
        <v>0</v>
      </c>
    </row>
    <row r="661" spans="1:10" x14ac:dyDescent="0.2">
      <c r="A661" s="85"/>
      <c r="B661" s="53" t="s">
        <v>21</v>
      </c>
      <c r="C661" s="89"/>
      <c r="D661" s="48">
        <v>756</v>
      </c>
      <c r="E661" s="48">
        <v>2.44</v>
      </c>
      <c r="F661" s="48">
        <v>3.1269999999999998</v>
      </c>
      <c r="G661" s="48">
        <v>5.0540000000000003</v>
      </c>
      <c r="H661" s="48">
        <v>0.16405500000000001</v>
      </c>
      <c r="I661" s="48">
        <v>631.9744164</v>
      </c>
      <c r="J661" s="52" t="e">
        <v>#DIV/0!</v>
      </c>
    </row>
    <row r="662" spans="1:10" x14ac:dyDescent="0.2">
      <c r="A662" s="87"/>
      <c r="B662" s="56" t="s">
        <v>22</v>
      </c>
      <c r="C662" s="90"/>
      <c r="D662" s="57"/>
      <c r="E662" s="57">
        <v>2.4159999999999999</v>
      </c>
      <c r="F662" s="57">
        <v>3.07</v>
      </c>
      <c r="G662" s="57">
        <v>4.9710000000000001</v>
      </c>
      <c r="H662" s="57">
        <v>0.16775244</v>
      </c>
      <c r="I662" s="57">
        <v>0</v>
      </c>
      <c r="J662" s="49" t="e">
        <v>#DIV/0!</v>
      </c>
    </row>
    <row r="663" spans="1:10" x14ac:dyDescent="0.2">
      <c r="A663" s="91" t="s">
        <v>9</v>
      </c>
      <c r="B663" s="53" t="s">
        <v>20</v>
      </c>
      <c r="C663" s="92">
        <v>10</v>
      </c>
      <c r="D663" s="48"/>
      <c r="E663" s="48">
        <v>2.448</v>
      </c>
      <c r="F663" s="48">
        <v>3.05</v>
      </c>
      <c r="G663" s="48">
        <v>4.9640000000000004</v>
      </c>
      <c r="H663" s="48">
        <v>0.17508197</v>
      </c>
      <c r="I663" s="48">
        <v>0</v>
      </c>
      <c r="J663" s="52">
        <v>0</v>
      </c>
    </row>
    <row r="664" spans="1:10" x14ac:dyDescent="0.2">
      <c r="A664" s="85"/>
      <c r="B664" s="53" t="s">
        <v>21</v>
      </c>
      <c r="C664" s="89"/>
      <c r="D664" s="48">
        <v>875</v>
      </c>
      <c r="E664" s="48">
        <v>2.4809999999999999</v>
      </c>
      <c r="F664" s="48">
        <v>3.1619999999999999</v>
      </c>
      <c r="G664" s="48">
        <v>5.09</v>
      </c>
      <c r="H664" s="48">
        <v>0.17488930999999999</v>
      </c>
      <c r="I664" s="48">
        <v>721.97185330000002</v>
      </c>
      <c r="J664" s="52" t="e">
        <v>#DIV/0!</v>
      </c>
    </row>
    <row r="665" spans="1:10" x14ac:dyDescent="0.2">
      <c r="A665" s="87"/>
      <c r="B665" s="56" t="s">
        <v>22</v>
      </c>
      <c r="C665" s="90"/>
      <c r="D665" s="57"/>
      <c r="E665" s="57">
        <v>2.4049999999999998</v>
      </c>
      <c r="F665" s="57">
        <v>3.911</v>
      </c>
      <c r="G665" s="57">
        <v>5.6180000000000003</v>
      </c>
      <c r="H665" s="57">
        <v>0.17847098</v>
      </c>
      <c r="I665" s="57">
        <v>0</v>
      </c>
      <c r="J665" s="49" t="e">
        <v>#DIV/0!</v>
      </c>
    </row>
    <row r="666" spans="1:10" x14ac:dyDescent="0.2">
      <c r="A666" s="91" t="s">
        <v>10</v>
      </c>
      <c r="B666" s="53" t="s">
        <v>20</v>
      </c>
      <c r="C666" s="92">
        <v>10</v>
      </c>
      <c r="D666" s="48"/>
      <c r="E666" s="48">
        <v>2.4060000000000001</v>
      </c>
      <c r="F666" s="48">
        <v>3.4420000000000002</v>
      </c>
      <c r="G666" s="48">
        <v>5.2779999999999996</v>
      </c>
      <c r="H666" s="48">
        <v>0.16560138999999999</v>
      </c>
      <c r="I666" s="48">
        <v>0</v>
      </c>
      <c r="J666" s="52">
        <v>0</v>
      </c>
    </row>
    <row r="667" spans="1:10" x14ac:dyDescent="0.2">
      <c r="A667" s="85"/>
      <c r="B667" s="53" t="s">
        <v>21</v>
      </c>
      <c r="C667" s="89"/>
      <c r="D667" s="48">
        <v>867</v>
      </c>
      <c r="E667" s="48">
        <v>2.403</v>
      </c>
      <c r="F667" s="48">
        <v>3.32</v>
      </c>
      <c r="G667" s="48">
        <v>5.1689999999999996</v>
      </c>
      <c r="H667" s="48">
        <v>0.16686746999999999</v>
      </c>
      <c r="I667" s="48">
        <v>722.32590359999995</v>
      </c>
      <c r="J667" s="52" t="e">
        <v>#DIV/0!</v>
      </c>
    </row>
    <row r="668" spans="1:10" x14ac:dyDescent="0.2">
      <c r="A668" s="87"/>
      <c r="B668" s="56" t="s">
        <v>22</v>
      </c>
      <c r="C668" s="90"/>
      <c r="D668" s="57"/>
      <c r="E668" s="57">
        <v>2.4260000000000002</v>
      </c>
      <c r="F668" s="57">
        <v>3.165</v>
      </c>
      <c r="G668" s="57">
        <v>5.0990000000000002</v>
      </c>
      <c r="H668" s="57">
        <v>0.15545023999999999</v>
      </c>
      <c r="I668" s="57">
        <v>0</v>
      </c>
      <c r="J668" s="49" t="e">
        <v>#DIV/0!</v>
      </c>
    </row>
    <row r="669" spans="1:10" x14ac:dyDescent="0.2">
      <c r="A669" s="91" t="s">
        <v>11</v>
      </c>
      <c r="B669" s="53" t="s">
        <v>20</v>
      </c>
      <c r="C669" s="92">
        <v>10</v>
      </c>
      <c r="D669" s="48"/>
      <c r="E669" s="48">
        <v>2.4369999999999998</v>
      </c>
      <c r="F669" s="48">
        <v>3.0350000000000001</v>
      </c>
      <c r="G669" s="48">
        <v>4.9470000000000001</v>
      </c>
      <c r="H669" s="48">
        <v>0.17298188</v>
      </c>
      <c r="I669" s="48">
        <v>0</v>
      </c>
      <c r="J669" s="52">
        <v>0</v>
      </c>
    </row>
    <row r="670" spans="1:10" x14ac:dyDescent="0.2">
      <c r="A670" s="85"/>
      <c r="B670" s="53" t="s">
        <v>21</v>
      </c>
      <c r="C670" s="89"/>
      <c r="D670" s="48">
        <v>919</v>
      </c>
      <c r="E670" s="48">
        <v>2.4380000000000002</v>
      </c>
      <c r="F670" s="48">
        <v>3.8109999999999999</v>
      </c>
      <c r="G670" s="48">
        <v>5.59</v>
      </c>
      <c r="H670" s="48">
        <v>0.17292049000000001</v>
      </c>
      <c r="I670" s="48">
        <v>760.08606659999998</v>
      </c>
      <c r="J670" s="52" t="e">
        <v>#DIV/0!</v>
      </c>
    </row>
    <row r="671" spans="1:10" x14ac:dyDescent="0.2">
      <c r="A671" s="87"/>
      <c r="B671" s="56" t="s">
        <v>22</v>
      </c>
      <c r="C671" s="90"/>
      <c r="D671" s="57"/>
      <c r="E671" s="57">
        <v>2.4510000000000001</v>
      </c>
      <c r="F671" s="57">
        <v>3.0830000000000002</v>
      </c>
      <c r="G671" s="57">
        <v>5</v>
      </c>
      <c r="H671" s="57">
        <v>0.17320790999999999</v>
      </c>
      <c r="I671" s="57">
        <v>0</v>
      </c>
      <c r="J671" s="49" t="e">
        <v>#DIV/0!</v>
      </c>
    </row>
    <row r="672" spans="1:10" x14ac:dyDescent="0.2">
      <c r="A672" s="91" t="s">
        <v>12</v>
      </c>
      <c r="B672" s="53" t="s">
        <v>20</v>
      </c>
      <c r="C672" s="92">
        <v>10</v>
      </c>
      <c r="D672" s="48"/>
      <c r="E672" s="48">
        <v>2.4409999999999998</v>
      </c>
      <c r="F672" s="48">
        <v>3.3809999999999998</v>
      </c>
      <c r="G672" s="48">
        <v>5.1390000000000002</v>
      </c>
      <c r="H672" s="48">
        <v>0.20201124000000001</v>
      </c>
      <c r="I672" s="48">
        <v>0</v>
      </c>
      <c r="J672" s="52">
        <v>0</v>
      </c>
    </row>
    <row r="673" spans="1:10" x14ac:dyDescent="0.2">
      <c r="A673" s="85"/>
      <c r="B673" s="53" t="s">
        <v>21</v>
      </c>
      <c r="C673" s="89"/>
      <c r="D673" s="48">
        <v>752</v>
      </c>
      <c r="E673" s="48">
        <v>2.4510000000000001</v>
      </c>
      <c r="F673" s="48">
        <v>3.6890000000000001</v>
      </c>
      <c r="G673" s="48">
        <v>5.367</v>
      </c>
      <c r="H673" s="48">
        <v>0.20954188000000001</v>
      </c>
      <c r="I673" s="48">
        <v>594.42450529999996</v>
      </c>
      <c r="J673" s="52" t="e">
        <v>#DIV/0!</v>
      </c>
    </row>
    <row r="674" spans="1:10" x14ac:dyDescent="0.2">
      <c r="A674" s="87"/>
      <c r="B674" s="56" t="s">
        <v>22</v>
      </c>
      <c r="C674" s="90"/>
      <c r="D674" s="57"/>
      <c r="E674" s="57">
        <v>2.4510000000000001</v>
      </c>
      <c r="F674" s="57">
        <v>3.0870000000000002</v>
      </c>
      <c r="G674" s="57">
        <v>4.9039999999999999</v>
      </c>
      <c r="H674" s="57">
        <v>0.20537738999999999</v>
      </c>
      <c r="I674" s="57">
        <v>0</v>
      </c>
      <c r="J674" s="49" t="e">
        <v>#DIV/0!</v>
      </c>
    </row>
    <row r="675" spans="1:10" x14ac:dyDescent="0.2">
      <c r="A675" s="91" t="s">
        <v>13</v>
      </c>
      <c r="B675" s="53" t="s">
        <v>20</v>
      </c>
      <c r="C675" s="92">
        <v>10</v>
      </c>
      <c r="D675" s="48"/>
      <c r="E675" s="48"/>
      <c r="F675" s="48"/>
      <c r="G675" s="48"/>
      <c r="H675" s="48" t="e">
        <v>#DIV/0!</v>
      </c>
      <c r="I675" s="48" t="e">
        <v>#DIV/0!</v>
      </c>
      <c r="J675" s="52" t="e">
        <v>#DIV/0!</v>
      </c>
    </row>
    <row r="676" spans="1:10" x14ac:dyDescent="0.2">
      <c r="A676" s="85"/>
      <c r="B676" s="53" t="s">
        <v>21</v>
      </c>
      <c r="C676" s="89"/>
      <c r="D676" s="48"/>
      <c r="E676" s="48"/>
      <c r="F676" s="48"/>
      <c r="G676" s="48"/>
      <c r="H676" s="48" t="e">
        <v>#DIV/0!</v>
      </c>
      <c r="I676" s="48" t="e">
        <v>#DIV/0!</v>
      </c>
      <c r="J676" s="52" t="e">
        <v>#DIV/0!</v>
      </c>
    </row>
    <row r="677" spans="1:10" x14ac:dyDescent="0.2">
      <c r="A677" s="87"/>
      <c r="B677" s="56" t="s">
        <v>22</v>
      </c>
      <c r="C677" s="90"/>
      <c r="D677" s="57"/>
      <c r="E677" s="57"/>
      <c r="F677" s="57"/>
      <c r="G677" s="57"/>
      <c r="H677" s="57" t="e">
        <v>#DIV/0!</v>
      </c>
      <c r="I677" s="57" t="e">
        <v>#DIV/0!</v>
      </c>
      <c r="J677" s="49" t="e">
        <v>#DIV/0!</v>
      </c>
    </row>
    <row r="678" spans="1:10" x14ac:dyDescent="0.2">
      <c r="A678" s="91" t="s">
        <v>14</v>
      </c>
      <c r="B678" s="53" t="s">
        <v>20</v>
      </c>
      <c r="C678" s="92">
        <v>10</v>
      </c>
      <c r="D678" s="48"/>
      <c r="E678" s="48"/>
      <c r="F678" s="48"/>
      <c r="G678" s="48"/>
      <c r="H678" s="48" t="e">
        <v>#DIV/0!</v>
      </c>
      <c r="I678" s="48" t="e">
        <v>#DIV/0!</v>
      </c>
      <c r="J678" s="52" t="e">
        <v>#DIV/0!</v>
      </c>
    </row>
    <row r="679" spans="1:10" x14ac:dyDescent="0.2">
      <c r="A679" s="85"/>
      <c r="B679" s="53" t="s">
        <v>21</v>
      </c>
      <c r="C679" s="89"/>
      <c r="D679" s="48"/>
      <c r="E679" s="48"/>
      <c r="F679" s="48"/>
      <c r="G679" s="48"/>
      <c r="H679" s="48" t="e">
        <v>#DIV/0!</v>
      </c>
      <c r="I679" s="48" t="e">
        <v>#DIV/0!</v>
      </c>
      <c r="J679" s="52" t="e">
        <v>#DIV/0!</v>
      </c>
    </row>
    <row r="680" spans="1:10" ht="16" thickBot="1" x14ac:dyDescent="0.25">
      <c r="A680" s="93"/>
      <c r="B680" s="58" t="s">
        <v>22</v>
      </c>
      <c r="C680" s="94"/>
      <c r="D680" s="59"/>
      <c r="E680" s="59"/>
      <c r="F680" s="59"/>
      <c r="G680" s="59"/>
      <c r="H680" s="59" t="e">
        <v>#DIV/0!</v>
      </c>
      <c r="I680" s="59" t="e">
        <v>#DIV/0!</v>
      </c>
      <c r="J680" s="50" t="e">
        <v>#DIV/0!</v>
      </c>
    </row>
    <row r="681" spans="1:10" ht="16" thickBot="1" x14ac:dyDescent="0.25">
      <c r="A681" s="60" t="s">
        <v>1</v>
      </c>
      <c r="B681" s="61"/>
      <c r="C681" s="62"/>
      <c r="D681" s="63" t="s">
        <v>41</v>
      </c>
      <c r="E681" s="64"/>
      <c r="F681" s="58" t="s">
        <v>0</v>
      </c>
      <c r="G681" s="18">
        <v>44157</v>
      </c>
      <c r="H681" s="65" t="s">
        <v>24</v>
      </c>
      <c r="I681" s="66"/>
      <c r="J681" s="49">
        <v>110</v>
      </c>
    </row>
    <row r="682" spans="1:10" ht="16" thickBot="1" x14ac:dyDescent="0.25">
      <c r="A682" s="67" t="s">
        <v>2</v>
      </c>
      <c r="B682" s="68"/>
      <c r="C682" s="69"/>
      <c r="D682" s="70"/>
      <c r="E682" s="71"/>
      <c r="F682" s="72"/>
      <c r="G682" s="73"/>
      <c r="H682" s="74" t="s">
        <v>25</v>
      </c>
      <c r="I682" s="75"/>
      <c r="J682" s="49">
        <v>35</v>
      </c>
    </row>
    <row r="683" spans="1:10" ht="16" thickBot="1" x14ac:dyDescent="0.25">
      <c r="A683" s="76" t="s">
        <v>27</v>
      </c>
      <c r="B683" s="77"/>
      <c r="C683" s="78"/>
      <c r="D683" s="79" t="s">
        <v>32</v>
      </c>
      <c r="E683" s="80"/>
      <c r="F683" s="48" t="s">
        <v>30</v>
      </c>
      <c r="G683" s="48">
        <v>3.81</v>
      </c>
      <c r="H683" s="81" t="s">
        <v>26</v>
      </c>
      <c r="I683" s="82"/>
      <c r="J683" s="50">
        <v>48</v>
      </c>
    </row>
    <row r="684" spans="1:10" x14ac:dyDescent="0.2">
      <c r="A684" s="83"/>
      <c r="B684" s="84"/>
      <c r="C684" s="51" t="s">
        <v>29</v>
      </c>
      <c r="D684" s="51" t="s">
        <v>19</v>
      </c>
      <c r="E684" s="51" t="s">
        <v>15</v>
      </c>
      <c r="F684" s="51" t="s">
        <v>18</v>
      </c>
      <c r="G684" s="51" t="s">
        <v>17</v>
      </c>
      <c r="H684" s="48" t="s">
        <v>28</v>
      </c>
      <c r="I684" s="48" t="s">
        <v>16</v>
      </c>
      <c r="J684" s="52" t="s">
        <v>23</v>
      </c>
    </row>
    <row r="685" spans="1:10" x14ac:dyDescent="0.2">
      <c r="A685" s="86" t="s">
        <v>3</v>
      </c>
      <c r="B685" s="53" t="s">
        <v>20</v>
      </c>
      <c r="C685" s="88">
        <v>10</v>
      </c>
      <c r="D685" s="54"/>
      <c r="E685" s="54">
        <v>2.4790000000000001</v>
      </c>
      <c r="F685" s="54">
        <v>3.0150000000000001</v>
      </c>
      <c r="G685" s="54">
        <v>5.0339999999999998</v>
      </c>
      <c r="H685" s="54">
        <v>0.15257048000000001</v>
      </c>
      <c r="I685" s="54">
        <v>0</v>
      </c>
      <c r="J685" s="55">
        <v>0</v>
      </c>
    </row>
    <row r="686" spans="1:10" x14ac:dyDescent="0.2">
      <c r="A686" s="85"/>
      <c r="B686" s="53" t="s">
        <v>21</v>
      </c>
      <c r="C686" s="89"/>
      <c r="D686" s="48">
        <v>789</v>
      </c>
      <c r="E686" s="48">
        <v>2.4710000000000001</v>
      </c>
      <c r="F686" s="48">
        <v>3.4449999999999998</v>
      </c>
      <c r="G686" s="48">
        <v>5.3680000000000003</v>
      </c>
      <c r="H686" s="48">
        <v>0.15907112000000001</v>
      </c>
      <c r="I686" s="48">
        <v>663.49288820000004</v>
      </c>
      <c r="J686" s="52" t="e">
        <v>#DIV/0!</v>
      </c>
    </row>
    <row r="687" spans="1:10" x14ac:dyDescent="0.2">
      <c r="A687" s="87"/>
      <c r="B687" s="56" t="s">
        <v>22</v>
      </c>
      <c r="C687" s="90"/>
      <c r="D687" s="57"/>
      <c r="E687" s="57">
        <v>2.4369999999999998</v>
      </c>
      <c r="F687" s="57">
        <v>3.1360000000000001</v>
      </c>
      <c r="G687" s="57">
        <v>5.1050000000000004</v>
      </c>
      <c r="H687" s="57">
        <v>0.14923469</v>
      </c>
      <c r="I687" s="57">
        <v>0</v>
      </c>
      <c r="J687" s="49" t="e">
        <v>#DIV/0!</v>
      </c>
    </row>
    <row r="688" spans="1:10" x14ac:dyDescent="0.2">
      <c r="A688" s="91" t="s">
        <v>4</v>
      </c>
      <c r="B688" s="53" t="s">
        <v>20</v>
      </c>
      <c r="C688" s="92">
        <v>10</v>
      </c>
      <c r="D688" s="48"/>
      <c r="E688" s="48">
        <v>2.4220000000000002</v>
      </c>
      <c r="F688" s="48">
        <v>3.4409999999999998</v>
      </c>
      <c r="G688" s="48">
        <v>5.3419999999999996</v>
      </c>
      <c r="H688" s="48">
        <v>0.15140946999999999</v>
      </c>
      <c r="I688" s="48">
        <v>0</v>
      </c>
      <c r="J688" s="52">
        <v>0</v>
      </c>
    </row>
    <row r="689" spans="1:10" x14ac:dyDescent="0.2">
      <c r="A689" s="85"/>
      <c r="B689" s="53" t="s">
        <v>21</v>
      </c>
      <c r="C689" s="89"/>
      <c r="D689" s="48">
        <v>796</v>
      </c>
      <c r="E689" s="48">
        <v>2.4870000000000001</v>
      </c>
      <c r="F689" s="48">
        <v>3.339</v>
      </c>
      <c r="G689" s="48">
        <v>5.3019999999999996</v>
      </c>
      <c r="H689" s="48">
        <v>0.15693320999999999</v>
      </c>
      <c r="I689" s="48">
        <v>671.08116199999995</v>
      </c>
      <c r="J689" s="52" t="e">
        <v>#DIV/0!</v>
      </c>
    </row>
    <row r="690" spans="1:10" x14ac:dyDescent="0.2">
      <c r="A690" s="87"/>
      <c r="B690" s="56" t="s">
        <v>22</v>
      </c>
      <c r="C690" s="90"/>
      <c r="D690" s="57"/>
      <c r="E690" s="57">
        <v>2.4380000000000002</v>
      </c>
      <c r="F690" s="57">
        <v>3.8929999999999998</v>
      </c>
      <c r="G690" s="57">
        <v>5.7549999999999999</v>
      </c>
      <c r="H690" s="57">
        <v>0.14795786999999999</v>
      </c>
      <c r="I690" s="57">
        <v>0</v>
      </c>
      <c r="J690" s="49" t="e">
        <v>#DIV/0!</v>
      </c>
    </row>
    <row r="691" spans="1:10" x14ac:dyDescent="0.2">
      <c r="A691" s="91" t="s">
        <v>5</v>
      </c>
      <c r="B691" s="53" t="s">
        <v>20</v>
      </c>
      <c r="C691" s="92">
        <v>10</v>
      </c>
      <c r="D691" s="48"/>
      <c r="E691" s="48">
        <v>2.4300000000000002</v>
      </c>
      <c r="F691" s="48">
        <v>3.4430000000000001</v>
      </c>
      <c r="G691" s="48">
        <v>5.327</v>
      </c>
      <c r="H691" s="48">
        <v>0.15858263</v>
      </c>
      <c r="I691" s="48">
        <v>0</v>
      </c>
      <c r="J691" s="52">
        <v>0</v>
      </c>
    </row>
    <row r="692" spans="1:10" x14ac:dyDescent="0.2">
      <c r="A692" s="85"/>
      <c r="B692" s="53" t="s">
        <v>21</v>
      </c>
      <c r="C692" s="89"/>
      <c r="D692" s="48">
        <v>779</v>
      </c>
      <c r="E692" s="48">
        <v>2.4430000000000001</v>
      </c>
      <c r="F692" s="48">
        <v>3.4780000000000002</v>
      </c>
      <c r="G692" s="48">
        <v>5.399</v>
      </c>
      <c r="H692" s="48">
        <v>0.15008626</v>
      </c>
      <c r="I692" s="48">
        <v>662.08280620000005</v>
      </c>
      <c r="J692" s="52" t="e">
        <v>#DIV/0!</v>
      </c>
    </row>
    <row r="693" spans="1:10" x14ac:dyDescent="0.2">
      <c r="A693" s="87"/>
      <c r="B693" s="56" t="s">
        <v>22</v>
      </c>
      <c r="C693" s="90"/>
      <c r="D693" s="57"/>
      <c r="E693" s="57">
        <v>2.4180000000000001</v>
      </c>
      <c r="F693" s="57">
        <v>3.395</v>
      </c>
      <c r="G693" s="57">
        <v>5.2050000000000001</v>
      </c>
      <c r="H693" s="57">
        <v>0.17908689</v>
      </c>
      <c r="I693" s="57">
        <v>0</v>
      </c>
      <c r="J693" s="49" t="e">
        <v>#DIV/0!</v>
      </c>
    </row>
    <row r="694" spans="1:10" x14ac:dyDescent="0.2">
      <c r="A694" s="91" t="s">
        <v>6</v>
      </c>
      <c r="B694" s="53" t="s">
        <v>20</v>
      </c>
      <c r="C694" s="92">
        <v>10</v>
      </c>
      <c r="D694" s="48"/>
      <c r="E694" s="48">
        <v>2.4319999999999999</v>
      </c>
      <c r="F694" s="48">
        <v>3.484</v>
      </c>
      <c r="G694" s="48">
        <v>5.37</v>
      </c>
      <c r="H694" s="48">
        <v>0.15671642</v>
      </c>
      <c r="I694" s="48">
        <v>0</v>
      </c>
      <c r="J694" s="52">
        <v>0</v>
      </c>
    </row>
    <row r="695" spans="1:10" x14ac:dyDescent="0.2">
      <c r="A695" s="85"/>
      <c r="B695" s="53" t="s">
        <v>21</v>
      </c>
      <c r="C695" s="89"/>
      <c r="D695" s="48">
        <v>815</v>
      </c>
      <c r="E695" s="48">
        <v>2.4590000000000001</v>
      </c>
      <c r="F695" s="48">
        <v>3.3530000000000002</v>
      </c>
      <c r="G695" s="48">
        <v>5.27</v>
      </c>
      <c r="H695" s="48">
        <v>0.16164629</v>
      </c>
      <c r="I695" s="48">
        <v>683.25827619999995</v>
      </c>
      <c r="J695" s="52" t="e">
        <v>#DIV/0!</v>
      </c>
    </row>
    <row r="696" spans="1:10" x14ac:dyDescent="0.2">
      <c r="A696" s="87"/>
      <c r="B696" s="56" t="s">
        <v>22</v>
      </c>
      <c r="C696" s="90"/>
      <c r="D696" s="57"/>
      <c r="E696" s="57">
        <v>2.4350000000000001</v>
      </c>
      <c r="F696" s="57">
        <v>3.1</v>
      </c>
      <c r="G696" s="57">
        <v>5.0759999999999996</v>
      </c>
      <c r="H696" s="57">
        <v>0.14806452000000001</v>
      </c>
      <c r="I696" s="57">
        <v>0</v>
      </c>
      <c r="J696" s="49" t="e">
        <v>#DIV/0!</v>
      </c>
    </row>
    <row r="697" spans="1:10" x14ac:dyDescent="0.2">
      <c r="A697" s="91" t="s">
        <v>7</v>
      </c>
      <c r="B697" s="53" t="s">
        <v>20</v>
      </c>
      <c r="C697" s="92">
        <v>10</v>
      </c>
      <c r="D697" s="48"/>
      <c r="E697" s="48">
        <v>2.44</v>
      </c>
      <c r="F697" s="48">
        <v>3.1880000000000002</v>
      </c>
      <c r="G697" s="48">
        <v>5.1269999999999998</v>
      </c>
      <c r="H697" s="48">
        <v>0.15715182</v>
      </c>
      <c r="I697" s="48">
        <v>0</v>
      </c>
      <c r="J697" s="52">
        <v>0</v>
      </c>
    </row>
    <row r="698" spans="1:10" x14ac:dyDescent="0.2">
      <c r="A698" s="85"/>
      <c r="B698" s="53" t="s">
        <v>21</v>
      </c>
      <c r="C698" s="89"/>
      <c r="D698" s="48">
        <v>750</v>
      </c>
      <c r="E698" s="48">
        <v>2.4140000000000001</v>
      </c>
      <c r="F698" s="48">
        <v>3.3980000000000001</v>
      </c>
      <c r="G698" s="48">
        <v>5.2649999999999997</v>
      </c>
      <c r="H698" s="48">
        <v>0.16097705000000001</v>
      </c>
      <c r="I698" s="48">
        <v>629.26721599999996</v>
      </c>
      <c r="J698" s="52" t="e">
        <v>#DIV/0!</v>
      </c>
    </row>
    <row r="699" spans="1:10" x14ac:dyDescent="0.2">
      <c r="A699" s="87"/>
      <c r="B699" s="56" t="s">
        <v>22</v>
      </c>
      <c r="C699" s="90"/>
      <c r="D699" s="57"/>
      <c r="E699" s="57">
        <v>2.4380000000000002</v>
      </c>
      <c r="F699" s="57">
        <v>3.097</v>
      </c>
      <c r="G699" s="57">
        <v>5.0359999999999996</v>
      </c>
      <c r="H699" s="57">
        <v>0.16112367</v>
      </c>
      <c r="I699" s="57">
        <v>0</v>
      </c>
      <c r="J699" s="49" t="e">
        <v>#DIV/0!</v>
      </c>
    </row>
    <row r="700" spans="1:10" x14ac:dyDescent="0.2">
      <c r="A700" s="91" t="s">
        <v>8</v>
      </c>
      <c r="B700" s="53" t="s">
        <v>20</v>
      </c>
      <c r="C700" s="92">
        <v>10</v>
      </c>
      <c r="D700" s="48"/>
      <c r="E700" s="48">
        <v>2.4359999999999999</v>
      </c>
      <c r="F700" s="48">
        <v>3.2810000000000001</v>
      </c>
      <c r="G700" s="48">
        <v>5.1790000000000003</v>
      </c>
      <c r="H700" s="48">
        <v>0.16397439999999999</v>
      </c>
      <c r="I700" s="48">
        <v>0</v>
      </c>
      <c r="J700" s="52">
        <v>0</v>
      </c>
    </row>
    <row r="701" spans="1:10" x14ac:dyDescent="0.2">
      <c r="A701" s="85"/>
      <c r="B701" s="53" t="s">
        <v>21</v>
      </c>
      <c r="C701" s="89"/>
      <c r="D701" s="48">
        <v>819</v>
      </c>
      <c r="E701" s="48">
        <v>2.456</v>
      </c>
      <c r="F701" s="48">
        <v>3.4489999999999998</v>
      </c>
      <c r="G701" s="48">
        <v>5.3319999999999999</v>
      </c>
      <c r="H701" s="48">
        <v>0.16613511</v>
      </c>
      <c r="I701" s="48">
        <v>682.93534360000001</v>
      </c>
      <c r="J701" s="52" t="e">
        <v>#DIV/0!</v>
      </c>
    </row>
    <row r="702" spans="1:10" x14ac:dyDescent="0.2">
      <c r="A702" s="87"/>
      <c r="B702" s="56" t="s">
        <v>22</v>
      </c>
      <c r="C702" s="90"/>
      <c r="D702" s="57"/>
      <c r="E702" s="57">
        <v>2.4460000000000002</v>
      </c>
      <c r="F702" s="57">
        <v>3.5529999999999999</v>
      </c>
      <c r="G702" s="57">
        <v>5.4240000000000004</v>
      </c>
      <c r="H702" s="57">
        <v>0.16183507</v>
      </c>
      <c r="I702" s="57">
        <v>0</v>
      </c>
      <c r="J702" s="49" t="e">
        <v>#DIV/0!</v>
      </c>
    </row>
    <row r="703" spans="1:10" x14ac:dyDescent="0.2">
      <c r="A703" s="91" t="s">
        <v>9</v>
      </c>
      <c r="B703" s="53" t="s">
        <v>20</v>
      </c>
      <c r="C703" s="92">
        <v>10</v>
      </c>
      <c r="D703" s="48"/>
      <c r="E703" s="48">
        <v>2.4430000000000001</v>
      </c>
      <c r="F703" s="48">
        <v>3.484</v>
      </c>
      <c r="G703" s="48">
        <v>5.4130000000000003</v>
      </c>
      <c r="H703" s="48">
        <v>0.14753157</v>
      </c>
      <c r="I703" s="48">
        <v>0</v>
      </c>
      <c r="J703" s="52">
        <v>0</v>
      </c>
    </row>
    <row r="704" spans="1:10" x14ac:dyDescent="0.2">
      <c r="A704" s="85"/>
      <c r="B704" s="53" t="s">
        <v>21</v>
      </c>
      <c r="C704" s="89"/>
      <c r="D704" s="48">
        <v>884</v>
      </c>
      <c r="E704" s="48">
        <v>2.4340000000000002</v>
      </c>
      <c r="F704" s="48">
        <v>3.778</v>
      </c>
      <c r="G704" s="48">
        <v>5.6639999999999997</v>
      </c>
      <c r="H704" s="48">
        <v>0.14505029</v>
      </c>
      <c r="I704" s="48">
        <v>755.77554259999999</v>
      </c>
      <c r="J704" s="52" t="e">
        <v>#DIV/0!</v>
      </c>
    </row>
    <row r="705" spans="1:10" x14ac:dyDescent="0.2">
      <c r="A705" s="87"/>
      <c r="B705" s="56" t="s">
        <v>22</v>
      </c>
      <c r="C705" s="90"/>
      <c r="D705" s="57"/>
      <c r="E705" s="57">
        <v>2.456</v>
      </c>
      <c r="F705" s="57">
        <v>3.6840000000000002</v>
      </c>
      <c r="G705" s="57">
        <v>5.59</v>
      </c>
      <c r="H705" s="57">
        <v>0.14929424999999999</v>
      </c>
      <c r="I705" s="57">
        <v>0</v>
      </c>
      <c r="J705" s="49" t="e">
        <v>#DIV/0!</v>
      </c>
    </row>
    <row r="706" spans="1:10" x14ac:dyDescent="0.2">
      <c r="A706" s="91" t="s">
        <v>10</v>
      </c>
      <c r="B706" s="53" t="s">
        <v>20</v>
      </c>
      <c r="C706" s="92">
        <v>10</v>
      </c>
      <c r="D706" s="48"/>
      <c r="E706" s="48">
        <v>2.44</v>
      </c>
      <c r="F706" s="48">
        <v>3.5779999999999998</v>
      </c>
      <c r="G706" s="48">
        <v>5.593</v>
      </c>
      <c r="H706" s="48">
        <v>0.11878144</v>
      </c>
      <c r="I706" s="48">
        <v>0</v>
      </c>
      <c r="J706" s="52">
        <v>0</v>
      </c>
    </row>
    <row r="707" spans="1:10" x14ac:dyDescent="0.2">
      <c r="A707" s="85"/>
      <c r="B707" s="53" t="s">
        <v>21</v>
      </c>
      <c r="C707" s="89"/>
      <c r="D707" s="48">
        <v>701</v>
      </c>
      <c r="E707" s="48">
        <v>2.4329999999999998</v>
      </c>
      <c r="F707" s="48">
        <v>3.7570000000000001</v>
      </c>
      <c r="G707" s="48">
        <v>5.7370000000000001</v>
      </c>
      <c r="H707" s="48">
        <v>0.12057493</v>
      </c>
      <c r="I707" s="48">
        <v>616.47697630000005</v>
      </c>
      <c r="J707" s="52" t="e">
        <v>#DIV/0!</v>
      </c>
    </row>
    <row r="708" spans="1:10" x14ac:dyDescent="0.2">
      <c r="A708" s="87"/>
      <c r="B708" s="56" t="s">
        <v>22</v>
      </c>
      <c r="C708" s="90"/>
      <c r="D708" s="57"/>
      <c r="E708" s="57">
        <v>2.4180000000000001</v>
      </c>
      <c r="F708" s="57">
        <v>3.0419999999999998</v>
      </c>
      <c r="G708" s="57">
        <v>5.077</v>
      </c>
      <c r="H708" s="57">
        <v>0.12590401000000001</v>
      </c>
      <c r="I708" s="57">
        <v>0</v>
      </c>
      <c r="J708" s="49" t="e">
        <v>#DIV/0!</v>
      </c>
    </row>
    <row r="709" spans="1:10" x14ac:dyDescent="0.2">
      <c r="A709" s="91" t="s">
        <v>11</v>
      </c>
      <c r="B709" s="53" t="s">
        <v>20</v>
      </c>
      <c r="C709" s="92">
        <v>10</v>
      </c>
      <c r="D709" s="48"/>
      <c r="E709" s="48">
        <v>2.472</v>
      </c>
      <c r="F709" s="48">
        <v>3.6309999999999998</v>
      </c>
      <c r="G709" s="48">
        <v>5.6790000000000003</v>
      </c>
      <c r="H709" s="48">
        <v>0.11677224</v>
      </c>
      <c r="I709" s="48">
        <v>0</v>
      </c>
      <c r="J709" s="52">
        <v>0</v>
      </c>
    </row>
    <row r="710" spans="1:10" x14ac:dyDescent="0.2">
      <c r="A710" s="85"/>
      <c r="B710" s="53" t="s">
        <v>21</v>
      </c>
      <c r="C710" s="89"/>
      <c r="D710" s="48">
        <v>778</v>
      </c>
      <c r="E710" s="48">
        <v>2.4529999999999998</v>
      </c>
      <c r="F710" s="48">
        <v>3.2090000000000001</v>
      </c>
      <c r="G710" s="48">
        <v>5.2830000000000004</v>
      </c>
      <c r="H710" s="48">
        <v>0.11810532999999999</v>
      </c>
      <c r="I710" s="48">
        <v>686.11405420000006</v>
      </c>
      <c r="J710" s="52" t="e">
        <v>#DIV/0!</v>
      </c>
    </row>
    <row r="711" spans="1:10" x14ac:dyDescent="0.2">
      <c r="A711" s="87"/>
      <c r="B711" s="56" t="s">
        <v>22</v>
      </c>
      <c r="C711" s="90"/>
      <c r="D711" s="57"/>
      <c r="E711" s="57">
        <v>2.4529999999999998</v>
      </c>
      <c r="F711" s="57">
        <v>3.1960000000000002</v>
      </c>
      <c r="G711" s="57">
        <v>5.2779999999999996</v>
      </c>
      <c r="H711" s="57">
        <v>0.11608259999999999</v>
      </c>
      <c r="I711" s="57">
        <v>0</v>
      </c>
      <c r="J711" s="49" t="e">
        <v>#DIV/0!</v>
      </c>
    </row>
    <row r="712" spans="1:10" x14ac:dyDescent="0.2">
      <c r="A712" s="91" t="s">
        <v>12</v>
      </c>
      <c r="B712" s="53" t="s">
        <v>20</v>
      </c>
      <c r="C712" s="92">
        <v>10</v>
      </c>
      <c r="D712" s="48"/>
      <c r="E712" s="48">
        <v>2.4289999999999998</v>
      </c>
      <c r="F712" s="48">
        <v>3.6779999999999999</v>
      </c>
      <c r="G712" s="48">
        <v>5.7320000000000002</v>
      </c>
      <c r="H712" s="48">
        <v>0.10195759</v>
      </c>
      <c r="I712" s="48">
        <v>0</v>
      </c>
      <c r="J712" s="52">
        <v>0</v>
      </c>
    </row>
    <row r="713" spans="1:10" x14ac:dyDescent="0.2">
      <c r="A713" s="85"/>
      <c r="B713" s="53" t="s">
        <v>21</v>
      </c>
      <c r="C713" s="89"/>
      <c r="D713" s="48">
        <v>797</v>
      </c>
      <c r="E713" s="48">
        <v>2.4409999999999998</v>
      </c>
      <c r="F713" s="48">
        <v>3.089</v>
      </c>
      <c r="G713" s="48">
        <v>5.2080000000000002</v>
      </c>
      <c r="H713" s="48">
        <v>0.10424085</v>
      </c>
      <c r="I713" s="48">
        <v>713.92003880000004</v>
      </c>
      <c r="J713" s="52" t="e">
        <v>#DIV/0!</v>
      </c>
    </row>
    <row r="714" spans="1:10" x14ac:dyDescent="0.2">
      <c r="A714" s="87"/>
      <c r="B714" s="56" t="s">
        <v>22</v>
      </c>
      <c r="C714" s="90"/>
      <c r="D714" s="57"/>
      <c r="E714" s="57">
        <v>2.4329999999999998</v>
      </c>
      <c r="F714" s="57">
        <v>3.7130000000000001</v>
      </c>
      <c r="G714" s="57">
        <v>5.7649999999999997</v>
      </c>
      <c r="H714" s="57">
        <v>0.10261244</v>
      </c>
      <c r="I714" s="57">
        <v>0</v>
      </c>
      <c r="J714" s="49" t="e">
        <v>#DIV/0!</v>
      </c>
    </row>
    <row r="715" spans="1:10" x14ac:dyDescent="0.2">
      <c r="A715" s="91" t="s">
        <v>13</v>
      </c>
      <c r="B715" s="53" t="s">
        <v>20</v>
      </c>
      <c r="C715" s="92">
        <v>10</v>
      </c>
      <c r="D715" s="48"/>
      <c r="E715" s="48">
        <v>2.4039999999999999</v>
      </c>
      <c r="F715" s="48">
        <v>3.464</v>
      </c>
      <c r="G715" s="48">
        <v>5.4290000000000003</v>
      </c>
      <c r="H715" s="48">
        <v>0.12673209999999999</v>
      </c>
      <c r="I715" s="48">
        <v>0</v>
      </c>
      <c r="J715" s="52">
        <v>0</v>
      </c>
    </row>
    <row r="716" spans="1:10" x14ac:dyDescent="0.2">
      <c r="A716" s="85"/>
      <c r="B716" s="53" t="s">
        <v>21</v>
      </c>
      <c r="C716" s="89"/>
      <c r="D716" s="48">
        <v>875</v>
      </c>
      <c r="E716" s="48">
        <v>2.4359999999999999</v>
      </c>
      <c r="F716" s="48">
        <v>3.1970000000000001</v>
      </c>
      <c r="G716" s="48">
        <v>5.2119999999999997</v>
      </c>
      <c r="H716" s="48">
        <v>0.13168595999999999</v>
      </c>
      <c r="I716" s="48">
        <v>759.77478889999998</v>
      </c>
      <c r="J716" s="52" t="e">
        <v>#DIV/0!</v>
      </c>
    </row>
    <row r="717" spans="1:10" x14ac:dyDescent="0.2">
      <c r="A717" s="87"/>
      <c r="B717" s="56" t="s">
        <v>22</v>
      </c>
      <c r="C717" s="90"/>
      <c r="D717" s="57"/>
      <c r="E717" s="57">
        <v>2.4060000000000001</v>
      </c>
      <c r="F717" s="57">
        <v>3.254</v>
      </c>
      <c r="G717" s="57">
        <v>5.2439999999999998</v>
      </c>
      <c r="H717" s="57">
        <v>0.12784266</v>
      </c>
      <c r="I717" s="57">
        <v>0</v>
      </c>
      <c r="J717" s="49" t="e">
        <v>#DIV/0!</v>
      </c>
    </row>
    <row r="718" spans="1:10" x14ac:dyDescent="0.2">
      <c r="A718" s="91" t="s">
        <v>14</v>
      </c>
      <c r="B718" s="53" t="s">
        <v>20</v>
      </c>
      <c r="C718" s="92">
        <v>10</v>
      </c>
      <c r="D718" s="48"/>
      <c r="E718" s="48"/>
      <c r="F718" s="48"/>
      <c r="G718" s="48"/>
      <c r="H718" s="48" t="e">
        <v>#DIV/0!</v>
      </c>
      <c r="I718" s="48" t="e">
        <v>#DIV/0!</v>
      </c>
      <c r="J718" s="52" t="e">
        <v>#DIV/0!</v>
      </c>
    </row>
    <row r="719" spans="1:10" x14ac:dyDescent="0.2">
      <c r="A719" s="85"/>
      <c r="B719" s="53" t="s">
        <v>21</v>
      </c>
      <c r="C719" s="89"/>
      <c r="D719" s="48"/>
      <c r="E719" s="48"/>
      <c r="F719" s="48"/>
      <c r="G719" s="48"/>
      <c r="H719" s="48" t="e">
        <v>#DIV/0!</v>
      </c>
      <c r="I719" s="48" t="e">
        <v>#DIV/0!</v>
      </c>
      <c r="J719" s="52" t="e">
        <v>#DIV/0!</v>
      </c>
    </row>
    <row r="720" spans="1:10" ht="16" thickBot="1" x14ac:dyDescent="0.25">
      <c r="A720" s="93"/>
      <c r="B720" s="58" t="s">
        <v>22</v>
      </c>
      <c r="C720" s="94"/>
      <c r="D720" s="59"/>
      <c r="E720" s="59"/>
      <c r="F720" s="59"/>
      <c r="G720" s="59"/>
      <c r="H720" s="59" t="e">
        <v>#DIV/0!</v>
      </c>
      <c r="I720" s="59" t="e">
        <v>#DIV/0!</v>
      </c>
      <c r="J720" s="50" t="e">
        <v>#DIV/0!</v>
      </c>
    </row>
    <row r="721" spans="1:17" ht="16" thickBot="1" x14ac:dyDescent="0.25">
      <c r="A721" s="60" t="s">
        <v>1</v>
      </c>
      <c r="B721" s="61"/>
      <c r="C721" s="62"/>
      <c r="D721" s="63" t="s">
        <v>42</v>
      </c>
      <c r="E721" s="64"/>
      <c r="F721" s="58" t="s">
        <v>0</v>
      </c>
      <c r="G721" s="18">
        <v>44189</v>
      </c>
      <c r="H721" s="65" t="s">
        <v>24</v>
      </c>
      <c r="I721" s="66"/>
      <c r="J721" s="49">
        <v>75</v>
      </c>
    </row>
    <row r="722" spans="1:17" ht="16" thickBot="1" x14ac:dyDescent="0.25">
      <c r="A722" s="67" t="s">
        <v>2</v>
      </c>
      <c r="B722" s="68"/>
      <c r="C722" s="69"/>
      <c r="D722" s="70"/>
      <c r="E722" s="71"/>
      <c r="F722" s="72"/>
      <c r="G722" s="73"/>
      <c r="H722" s="74" t="s">
        <v>25</v>
      </c>
      <c r="I722" s="75"/>
      <c r="J722" s="49">
        <v>30</v>
      </c>
    </row>
    <row r="723" spans="1:17" ht="16" thickBot="1" x14ac:dyDescent="0.25">
      <c r="A723" s="76" t="s">
        <v>27</v>
      </c>
      <c r="B723" s="77"/>
      <c r="C723" s="78"/>
      <c r="D723" s="79" t="s">
        <v>32</v>
      </c>
      <c r="E723" s="80"/>
      <c r="F723" s="48" t="s">
        <v>30</v>
      </c>
      <c r="G723" s="48">
        <v>3.81</v>
      </c>
      <c r="H723" s="81" t="s">
        <v>26</v>
      </c>
      <c r="I723" s="82"/>
      <c r="J723" s="50">
        <v>43</v>
      </c>
    </row>
    <row r="724" spans="1:17" x14ac:dyDescent="0.2">
      <c r="A724" s="83"/>
      <c r="B724" s="84"/>
      <c r="C724" s="51" t="s">
        <v>29</v>
      </c>
      <c r="D724" s="51" t="s">
        <v>19</v>
      </c>
      <c r="E724" s="51" t="s">
        <v>15</v>
      </c>
      <c r="F724" s="51" t="s">
        <v>18</v>
      </c>
      <c r="G724" s="51" t="s">
        <v>17</v>
      </c>
      <c r="H724" s="48" t="s">
        <v>28</v>
      </c>
      <c r="I724" s="48" t="s">
        <v>16</v>
      </c>
      <c r="J724" s="52" t="s">
        <v>23</v>
      </c>
    </row>
    <row r="725" spans="1:17" x14ac:dyDescent="0.2">
      <c r="A725" s="86" t="s">
        <v>3</v>
      </c>
      <c r="B725" s="53" t="s">
        <v>20</v>
      </c>
      <c r="C725" s="88">
        <v>10</v>
      </c>
      <c r="D725" s="54"/>
      <c r="E725" s="54">
        <v>1.7250000000000001</v>
      </c>
      <c r="F725" s="54">
        <v>3.677</v>
      </c>
      <c r="G725" s="54">
        <v>4.5309999999999997</v>
      </c>
      <c r="H725" s="54">
        <v>0.23687789000000001</v>
      </c>
      <c r="I725" s="54">
        <v>0</v>
      </c>
      <c r="J725" s="55">
        <v>0</v>
      </c>
      <c r="L725">
        <f>(G725+G726+G727)/3</f>
        <v>4.6739999999999995</v>
      </c>
      <c r="M725">
        <f>(F725+F726+F727)/3</f>
        <v>3.5459999999999998</v>
      </c>
      <c r="N725">
        <f>(L725-M725)/M725</f>
        <v>0.31810490693739418</v>
      </c>
      <c r="O725">
        <f>(D726/(1+N725))</f>
        <v>527.27214377406938</v>
      </c>
      <c r="P725">
        <f>PI()*$G$3^2*C725</f>
        <v>456.03673118774793</v>
      </c>
      <c r="Q725">
        <f>O725/P725</f>
        <v>1.1562054275777058</v>
      </c>
    </row>
    <row r="726" spans="1:17" x14ac:dyDescent="0.2">
      <c r="A726" s="85"/>
      <c r="B726" s="53" t="s">
        <v>21</v>
      </c>
      <c r="C726" s="89"/>
      <c r="D726" s="48">
        <v>695</v>
      </c>
      <c r="E726" s="48">
        <v>1.7190000000000001</v>
      </c>
      <c r="F726" s="48">
        <v>3.3679999999999999</v>
      </c>
      <c r="G726" s="48">
        <v>4.774</v>
      </c>
      <c r="H726" s="48">
        <v>9.2933489999999994E-2</v>
      </c>
      <c r="I726" s="48">
        <v>630.41122329999996</v>
      </c>
      <c r="J726" s="52" t="e">
        <v>#DIV/0!</v>
      </c>
    </row>
    <row r="727" spans="1:17" x14ac:dyDescent="0.2">
      <c r="A727" s="87"/>
      <c r="B727" s="56" t="s">
        <v>22</v>
      </c>
      <c r="C727" s="90"/>
      <c r="D727" s="57"/>
      <c r="E727" s="57">
        <v>1.742</v>
      </c>
      <c r="F727" s="57">
        <v>3.593</v>
      </c>
      <c r="G727" s="57">
        <v>4.7169999999999996</v>
      </c>
      <c r="H727" s="57">
        <v>0.17200111000000001</v>
      </c>
      <c r="I727" s="57">
        <v>0</v>
      </c>
      <c r="J727" s="49" t="e">
        <v>#DIV/0!</v>
      </c>
    </row>
    <row r="728" spans="1:17" x14ac:dyDescent="0.2">
      <c r="A728" s="91" t="s">
        <v>4</v>
      </c>
      <c r="B728" s="53" t="s">
        <v>20</v>
      </c>
      <c r="C728" s="92">
        <v>10</v>
      </c>
      <c r="D728" s="48"/>
      <c r="E728" s="48">
        <v>1.7230000000000001</v>
      </c>
      <c r="F728" s="48">
        <v>3.8420000000000001</v>
      </c>
      <c r="G728" s="48">
        <v>4.9720000000000004</v>
      </c>
      <c r="H728" s="48">
        <v>0.15434669000000001</v>
      </c>
      <c r="I728" s="48">
        <v>0</v>
      </c>
      <c r="J728" s="52">
        <v>0</v>
      </c>
      <c r="L728">
        <f>(G728+G729+G730)/3</f>
        <v>4.7759999999999998</v>
      </c>
      <c r="M728">
        <f>(F728+F729+F730)/3</f>
        <v>3.6146666666666669</v>
      </c>
      <c r="N728">
        <f>(L728-M728)/M728</f>
        <v>0.32128365916635915</v>
      </c>
      <c r="O728">
        <f>(D729/(1+N728))</f>
        <v>569.90033500837535</v>
      </c>
      <c r="P728">
        <f>PI()*$G$3^2*C728</f>
        <v>456.03673118774793</v>
      </c>
      <c r="Q728">
        <f>O728/P728</f>
        <v>1.2496807735729305</v>
      </c>
    </row>
    <row r="729" spans="1:17" x14ac:dyDescent="0.2">
      <c r="A729" s="85"/>
      <c r="B729" s="53" t="s">
        <v>21</v>
      </c>
      <c r="C729" s="89"/>
      <c r="D729" s="48">
        <v>753</v>
      </c>
      <c r="E729" s="48">
        <v>1.7250000000000001</v>
      </c>
      <c r="F729" s="48">
        <v>3.375</v>
      </c>
      <c r="G729" s="48">
        <v>4.5620000000000003</v>
      </c>
      <c r="H729" s="48">
        <v>0.15940741</v>
      </c>
      <c r="I729" s="48">
        <v>632.96622219999995</v>
      </c>
      <c r="J729" s="52" t="e">
        <v>#DIV/0!</v>
      </c>
    </row>
    <row r="730" spans="1:17" x14ac:dyDescent="0.2">
      <c r="A730" s="87"/>
      <c r="B730" s="56" t="s">
        <v>22</v>
      </c>
      <c r="C730" s="90"/>
      <c r="D730" s="57"/>
      <c r="E730" s="57">
        <v>1.73</v>
      </c>
      <c r="F730" s="57">
        <v>3.6269999999999998</v>
      </c>
      <c r="G730" s="57">
        <v>4.7939999999999996</v>
      </c>
      <c r="H730" s="57">
        <v>0.15522469999999999</v>
      </c>
      <c r="I730" s="57">
        <v>0</v>
      </c>
      <c r="J730" s="49" t="e">
        <v>#DIV/0!</v>
      </c>
    </row>
    <row r="731" spans="1:17" x14ac:dyDescent="0.2">
      <c r="A731" s="91" t="s">
        <v>5</v>
      </c>
      <c r="B731" s="53" t="s">
        <v>20</v>
      </c>
      <c r="C731" s="92">
        <v>10</v>
      </c>
      <c r="D731" s="48"/>
      <c r="E731" s="48">
        <v>1.724</v>
      </c>
      <c r="F731" s="48">
        <v>3.5</v>
      </c>
      <c r="G731" s="48">
        <v>4.7030000000000003</v>
      </c>
      <c r="H731" s="48">
        <v>0.14885714</v>
      </c>
      <c r="I731" s="48">
        <v>0</v>
      </c>
      <c r="J731" s="52">
        <v>0</v>
      </c>
      <c r="L731">
        <f>(G731+G732+G733)/3</f>
        <v>4.4989999999999997</v>
      </c>
      <c r="M731">
        <f>(F731+F732+F733)/3</f>
        <v>3.1953333333333336</v>
      </c>
      <c r="N731">
        <f>(L731-M731)/M731</f>
        <v>0.40799081994575404</v>
      </c>
      <c r="O731">
        <f>(D732/(1+N731))</f>
        <v>502.84418759724389</v>
      </c>
      <c r="P731">
        <f>PI()*$G$3^2*C731</f>
        <v>456.03673118774793</v>
      </c>
      <c r="Q731">
        <f>O731/P731</f>
        <v>1.1026396630104462</v>
      </c>
    </row>
    <row r="732" spans="1:17" x14ac:dyDescent="0.2">
      <c r="A732" s="85"/>
      <c r="B732" s="53" t="s">
        <v>21</v>
      </c>
      <c r="C732" s="89"/>
      <c r="D732" s="48">
        <v>708</v>
      </c>
      <c r="E732" s="48">
        <v>1.712</v>
      </c>
      <c r="F732" s="48">
        <v>3.0830000000000002</v>
      </c>
      <c r="G732" s="48">
        <v>4.4379999999999997</v>
      </c>
      <c r="H732" s="48">
        <v>0.1157963</v>
      </c>
      <c r="I732" s="48">
        <v>626.01621799999998</v>
      </c>
      <c r="J732" s="52" t="e">
        <v>#DIV/0!</v>
      </c>
    </row>
    <row r="733" spans="1:17" x14ac:dyDescent="0.2">
      <c r="A733" s="87"/>
      <c r="B733" s="56" t="s">
        <v>22</v>
      </c>
      <c r="C733" s="90"/>
      <c r="D733" s="57"/>
      <c r="E733" s="57">
        <v>1.7490000000000001</v>
      </c>
      <c r="F733" s="57">
        <v>3.0030000000000001</v>
      </c>
      <c r="G733" s="57">
        <v>4.3559999999999999</v>
      </c>
      <c r="H733" s="57">
        <v>0.13186813</v>
      </c>
      <c r="I733" s="57">
        <v>0</v>
      </c>
      <c r="J733" s="49" t="e">
        <v>#DIV/0!</v>
      </c>
    </row>
    <row r="734" spans="1:17" x14ac:dyDescent="0.2">
      <c r="A734" s="91" t="s">
        <v>6</v>
      </c>
      <c r="B734" s="53" t="s">
        <v>20</v>
      </c>
      <c r="C734" s="92">
        <v>10</v>
      </c>
      <c r="D734" s="48"/>
      <c r="E734" s="48">
        <v>1.7250000000000001</v>
      </c>
      <c r="F734" s="48">
        <v>3.4460000000000002</v>
      </c>
      <c r="G734" s="48">
        <v>4.6100000000000003</v>
      </c>
      <c r="H734" s="48">
        <v>0.16279745000000001</v>
      </c>
      <c r="I734" s="48">
        <v>0</v>
      </c>
      <c r="J734" s="52">
        <v>0</v>
      </c>
      <c r="L734">
        <f>(G734+G735+G736)/3</f>
        <v>4.6286666666666667</v>
      </c>
      <c r="M734">
        <f>(F734+F735+F736)/3</f>
        <v>3.4763333333333333</v>
      </c>
      <c r="N734">
        <f>(L734-M734)/M734</f>
        <v>0.33147952823856558</v>
      </c>
      <c r="O734">
        <f>(D735/(1+N734))</f>
        <v>591.82284315137542</v>
      </c>
      <c r="P734">
        <f>PI()*$G$3^2*C734</f>
        <v>456.03673118774793</v>
      </c>
      <c r="Q734">
        <f>O734/P734</f>
        <v>1.2977525771004728</v>
      </c>
    </row>
    <row r="735" spans="1:17" x14ac:dyDescent="0.2">
      <c r="A735" s="85"/>
      <c r="B735" s="53" t="s">
        <v>21</v>
      </c>
      <c r="C735" s="89"/>
      <c r="D735" s="48">
        <v>788</v>
      </c>
      <c r="E735" s="48">
        <v>1.714</v>
      </c>
      <c r="F735" s="48">
        <v>3.4609999999999999</v>
      </c>
      <c r="G735" s="48">
        <v>4.6020000000000003</v>
      </c>
      <c r="H735" s="48">
        <v>0.16555908999999999</v>
      </c>
      <c r="I735" s="48">
        <v>657.53943949999996</v>
      </c>
      <c r="J735" s="52" t="e">
        <v>#DIV/0!</v>
      </c>
    </row>
    <row r="736" spans="1:17" x14ac:dyDescent="0.2">
      <c r="A736" s="87"/>
      <c r="B736" s="56" t="s">
        <v>22</v>
      </c>
      <c r="C736" s="90"/>
      <c r="D736" s="57"/>
      <c r="E736" s="57">
        <v>1.708</v>
      </c>
      <c r="F736" s="57">
        <v>3.5219999999999998</v>
      </c>
      <c r="G736" s="57">
        <v>4.6740000000000004</v>
      </c>
      <c r="H736" s="57">
        <v>0.15786485</v>
      </c>
      <c r="I736" s="57">
        <v>0</v>
      </c>
      <c r="J736" s="49" t="e">
        <v>#DIV/0!</v>
      </c>
    </row>
    <row r="737" spans="1:17" x14ac:dyDescent="0.2">
      <c r="A737" s="91" t="s">
        <v>7</v>
      </c>
      <c r="B737" s="53" t="s">
        <v>20</v>
      </c>
      <c r="C737" s="92">
        <v>10</v>
      </c>
      <c r="D737" s="48"/>
      <c r="E737" s="48">
        <v>1.71</v>
      </c>
      <c r="F737" s="48">
        <v>3.4449999999999998</v>
      </c>
      <c r="G737" s="48">
        <v>4.6710000000000003</v>
      </c>
      <c r="H737" s="48">
        <v>0.14049347000000001</v>
      </c>
      <c r="I737" s="48">
        <v>0</v>
      </c>
      <c r="J737" s="52">
        <v>0</v>
      </c>
      <c r="L737">
        <f>(G737+G738+G739)/3</f>
        <v>4.5796666666666672</v>
      </c>
      <c r="M737">
        <f>(F737+F738+F739)/3</f>
        <v>3.3133333333333339</v>
      </c>
      <c r="N737">
        <f>(L737-M737)/M737</f>
        <v>0.38219315895372225</v>
      </c>
      <c r="O737">
        <f>(D738/(1+N737))</f>
        <v>688.76046291578723</v>
      </c>
      <c r="P737">
        <f>PI()*$G$3^2*C737</f>
        <v>456.03673118774793</v>
      </c>
      <c r="Q737">
        <f>O737/P737</f>
        <v>1.510317954261952</v>
      </c>
    </row>
    <row r="738" spans="1:17" x14ac:dyDescent="0.2">
      <c r="A738" s="85"/>
      <c r="B738" s="53" t="s">
        <v>21</v>
      </c>
      <c r="C738" s="89"/>
      <c r="D738" s="48">
        <v>952</v>
      </c>
      <c r="E738" s="48">
        <v>1.736</v>
      </c>
      <c r="F738" s="48">
        <v>3.4260000000000002</v>
      </c>
      <c r="G738" s="48">
        <v>4.6870000000000003</v>
      </c>
      <c r="H738" s="48">
        <v>0.13864565000000001</v>
      </c>
      <c r="I738" s="48">
        <v>820.00934029999996</v>
      </c>
      <c r="J738" s="52" t="e">
        <v>#DIV/0!</v>
      </c>
    </row>
    <row r="739" spans="1:17" x14ac:dyDescent="0.2">
      <c r="A739" s="87"/>
      <c r="B739" s="56" t="s">
        <v>22</v>
      </c>
      <c r="C739" s="90"/>
      <c r="D739" s="57"/>
      <c r="E739" s="57">
        <v>1.7350000000000001</v>
      </c>
      <c r="F739" s="57">
        <v>3.069</v>
      </c>
      <c r="G739" s="57">
        <v>4.3810000000000002</v>
      </c>
      <c r="H739" s="57">
        <v>0.13782991</v>
      </c>
      <c r="I739" s="57">
        <v>0</v>
      </c>
      <c r="J739" s="49" t="e">
        <v>#DIV/0!</v>
      </c>
    </row>
    <row r="740" spans="1:17" x14ac:dyDescent="0.2">
      <c r="A740" s="91" t="s">
        <v>8</v>
      </c>
      <c r="B740" s="53" t="s">
        <v>20</v>
      </c>
      <c r="C740" s="92">
        <v>10</v>
      </c>
      <c r="D740" s="48"/>
      <c r="E740" s="48">
        <v>1.724</v>
      </c>
      <c r="F740" s="48">
        <v>3.258</v>
      </c>
      <c r="G740" s="48">
        <v>4.5880000000000001</v>
      </c>
      <c r="H740" s="48">
        <v>0.12093308999999999</v>
      </c>
      <c r="I740" s="48">
        <v>0</v>
      </c>
      <c r="J740" s="52">
        <v>0</v>
      </c>
      <c r="L740">
        <f>(G740+G741+G742)/3</f>
        <v>4.698666666666667</v>
      </c>
      <c r="M740">
        <f>(F740+F741+F742)/3</f>
        <v>3.3846666666666665</v>
      </c>
      <c r="N740">
        <f>(L740-M740)/M740</f>
        <v>0.38822139058499128</v>
      </c>
      <c r="O740">
        <f>(D741/(1+N740))</f>
        <v>677.84577185017019</v>
      </c>
      <c r="P740">
        <f>PI()*$G$3^2*C740</f>
        <v>456.03673118774793</v>
      </c>
      <c r="Q740">
        <f>O740/P740</f>
        <v>1.4863841561286533</v>
      </c>
    </row>
    <row r="741" spans="1:17" x14ac:dyDescent="0.2">
      <c r="A741" s="85"/>
      <c r="B741" s="53" t="s">
        <v>21</v>
      </c>
      <c r="C741" s="89"/>
      <c r="D741" s="48">
        <v>941</v>
      </c>
      <c r="E741" s="48">
        <v>1.72</v>
      </c>
      <c r="F741" s="48">
        <v>3.5430000000000001</v>
      </c>
      <c r="G741" s="48">
        <v>4.8250000000000002</v>
      </c>
      <c r="H741" s="48">
        <v>0.12362405</v>
      </c>
      <c r="I741" s="48">
        <v>824.66977139999995</v>
      </c>
      <c r="J741" s="52" t="e">
        <v>#DIV/0!</v>
      </c>
    </row>
    <row r="742" spans="1:17" x14ac:dyDescent="0.2">
      <c r="A742" s="87"/>
      <c r="B742" s="56" t="s">
        <v>22</v>
      </c>
      <c r="C742" s="90"/>
      <c r="D742" s="57"/>
      <c r="E742" s="57">
        <v>1.712</v>
      </c>
      <c r="F742" s="57">
        <v>3.3530000000000002</v>
      </c>
      <c r="G742" s="57">
        <v>4.6829999999999998</v>
      </c>
      <c r="H742" s="57">
        <v>0.11392782999999999</v>
      </c>
      <c r="I742" s="57">
        <v>0</v>
      </c>
      <c r="J742" s="49" t="e">
        <v>#DIV/0!</v>
      </c>
    </row>
    <row r="743" spans="1:17" x14ac:dyDescent="0.2">
      <c r="A743" s="91" t="s">
        <v>9</v>
      </c>
      <c r="B743" s="53" t="s">
        <v>20</v>
      </c>
      <c r="C743" s="92">
        <v>10</v>
      </c>
      <c r="D743" s="48"/>
      <c r="E743" s="48">
        <v>1.732</v>
      </c>
      <c r="F743" s="48">
        <v>3.2890000000000001</v>
      </c>
      <c r="G743" s="48">
        <v>4.6100000000000003</v>
      </c>
      <c r="H743" s="48">
        <v>0.12496199</v>
      </c>
      <c r="I743" s="48">
        <v>0</v>
      </c>
      <c r="J743" s="52">
        <v>0</v>
      </c>
      <c r="L743">
        <f>(G743+G744+G745)/3</f>
        <v>4.7563333333333331</v>
      </c>
      <c r="M743">
        <f>(F743+F744+F745)/3</f>
        <v>3.4426666666666672</v>
      </c>
      <c r="N743">
        <f>(L743-M743)/M743</f>
        <v>0.38158404337722668</v>
      </c>
      <c r="O743">
        <f>(D744/(1+N743))</f>
        <v>655.76900974139755</v>
      </c>
      <c r="P743">
        <f>PI()*$G$3^2*C743</f>
        <v>456.03673118774793</v>
      </c>
      <c r="Q743">
        <f>O743/P743</f>
        <v>1.4379741036066256</v>
      </c>
    </row>
    <row r="744" spans="1:17" x14ac:dyDescent="0.2">
      <c r="A744" s="85"/>
      <c r="B744" s="53" t="s">
        <v>21</v>
      </c>
      <c r="C744" s="89"/>
      <c r="D744" s="48">
        <v>906</v>
      </c>
      <c r="E744" s="48">
        <v>1.726</v>
      </c>
      <c r="F744" s="48">
        <v>3.665</v>
      </c>
      <c r="G744" s="48">
        <v>4.9480000000000004</v>
      </c>
      <c r="H744" s="48">
        <v>0.12087312</v>
      </c>
      <c r="I744" s="48">
        <v>796.48894949999999</v>
      </c>
      <c r="J744" s="52" t="e">
        <v>#DIV/0!</v>
      </c>
    </row>
    <row r="745" spans="1:17" x14ac:dyDescent="0.2">
      <c r="A745" s="87"/>
      <c r="B745" s="56" t="s">
        <v>22</v>
      </c>
      <c r="C745" s="90"/>
      <c r="D745" s="57"/>
      <c r="E745" s="57">
        <v>1.72</v>
      </c>
      <c r="F745" s="57">
        <v>3.3740000000000001</v>
      </c>
      <c r="G745" s="57">
        <v>4.7110000000000003</v>
      </c>
      <c r="H745" s="57">
        <v>0.11351512</v>
      </c>
      <c r="I745" s="57">
        <v>0</v>
      </c>
      <c r="J745" s="49" t="e">
        <v>#DIV/0!</v>
      </c>
    </row>
    <row r="746" spans="1:17" x14ac:dyDescent="0.2">
      <c r="A746" s="91" t="s">
        <v>10</v>
      </c>
      <c r="B746" s="53" t="s">
        <v>20</v>
      </c>
      <c r="C746" s="92">
        <v>5</v>
      </c>
      <c r="D746" s="48"/>
      <c r="E746" s="48">
        <v>1.7010000000000001</v>
      </c>
      <c r="F746" s="48">
        <v>3.4540000000000002</v>
      </c>
      <c r="G746" s="48">
        <v>4.6689999999999996</v>
      </c>
      <c r="H746" s="48">
        <v>0.14070642999999999</v>
      </c>
      <c r="I746" s="48">
        <v>0</v>
      </c>
      <c r="J746" s="52">
        <v>0</v>
      </c>
      <c r="L746">
        <f>(G746+G747+G748)/3</f>
        <v>4.567333333333333</v>
      </c>
      <c r="M746">
        <f>(F746+F747+F748)/3</f>
        <v>3.2919999999999998</v>
      </c>
      <c r="N746">
        <f>(L746-M746)/M746</f>
        <v>0.38740380720939649</v>
      </c>
      <c r="O746">
        <f>(D747/(1+N746))</f>
        <v>384.17077798861476</v>
      </c>
      <c r="P746">
        <f>PI()*$G$3^2*C746</f>
        <v>228.01836559387397</v>
      </c>
      <c r="Q746">
        <f>O746/P746</f>
        <v>1.6848238385887986</v>
      </c>
    </row>
    <row r="747" spans="1:17" x14ac:dyDescent="0.2">
      <c r="A747" s="85"/>
      <c r="B747" s="53" t="s">
        <v>21</v>
      </c>
      <c r="C747" s="89"/>
      <c r="D747" s="48">
        <v>533</v>
      </c>
      <c r="E747" s="48">
        <v>1.7130000000000001</v>
      </c>
      <c r="F747" s="48">
        <v>3.2269999999999999</v>
      </c>
      <c r="G747" s="48">
        <v>4.5309999999999997</v>
      </c>
      <c r="H747" s="48">
        <v>0.12674310999999999</v>
      </c>
      <c r="I747" s="48">
        <v>465.44592499999999</v>
      </c>
      <c r="J747" s="52" t="e">
        <v>#DIV/0!</v>
      </c>
    </row>
    <row r="748" spans="1:17" x14ac:dyDescent="0.2">
      <c r="A748" s="87"/>
      <c r="B748" s="56" t="s">
        <v>22</v>
      </c>
      <c r="C748" s="90"/>
      <c r="D748" s="57"/>
      <c r="E748" s="57">
        <v>1.744</v>
      </c>
      <c r="F748" s="57">
        <v>3.1949999999999998</v>
      </c>
      <c r="G748" s="57">
        <v>4.5019999999999998</v>
      </c>
      <c r="H748" s="57">
        <v>0.13677621000000001</v>
      </c>
      <c r="I748" s="57">
        <v>0</v>
      </c>
      <c r="J748" s="49" t="e">
        <v>#DIV/0!</v>
      </c>
    </row>
    <row r="749" spans="1:17" x14ac:dyDescent="0.2">
      <c r="A749" s="91" t="s">
        <v>11</v>
      </c>
      <c r="B749" s="53" t="s">
        <v>20</v>
      </c>
      <c r="C749" s="92">
        <v>10</v>
      </c>
      <c r="D749" s="48"/>
      <c r="E749" s="48"/>
      <c r="F749" s="48"/>
      <c r="G749" s="48"/>
      <c r="H749" s="48" t="e">
        <v>#DIV/0!</v>
      </c>
      <c r="I749" s="48" t="e">
        <v>#DIV/0!</v>
      </c>
      <c r="J749" s="52" t="e">
        <v>#DIV/0!</v>
      </c>
    </row>
    <row r="750" spans="1:17" x14ac:dyDescent="0.2">
      <c r="A750" s="85"/>
      <c r="B750" s="53" t="s">
        <v>21</v>
      </c>
      <c r="C750" s="89"/>
      <c r="D750" s="48"/>
      <c r="E750" s="48"/>
      <c r="F750" s="48"/>
      <c r="G750" s="48"/>
      <c r="H750" s="48" t="e">
        <v>#DIV/0!</v>
      </c>
      <c r="I750" s="48" t="e">
        <v>#DIV/0!</v>
      </c>
      <c r="J750" s="52" t="e">
        <v>#DIV/0!</v>
      </c>
    </row>
    <row r="751" spans="1:17" x14ac:dyDescent="0.2">
      <c r="A751" s="87"/>
      <c r="B751" s="56" t="s">
        <v>22</v>
      </c>
      <c r="C751" s="90"/>
      <c r="D751" s="57"/>
      <c r="E751" s="57"/>
      <c r="F751" s="57"/>
      <c r="G751" s="57"/>
      <c r="H751" s="57" t="e">
        <v>#DIV/0!</v>
      </c>
      <c r="I751" s="57" t="e">
        <v>#DIV/0!</v>
      </c>
      <c r="J751" s="49" t="e">
        <v>#DIV/0!</v>
      </c>
    </row>
    <row r="752" spans="1:17" x14ac:dyDescent="0.2">
      <c r="A752" s="91" t="s">
        <v>12</v>
      </c>
      <c r="B752" s="53" t="s">
        <v>20</v>
      </c>
      <c r="C752" s="92">
        <v>10</v>
      </c>
      <c r="D752" s="48"/>
      <c r="E752" s="48"/>
      <c r="F752" s="48"/>
      <c r="G752" s="48"/>
      <c r="H752" s="48" t="e">
        <v>#DIV/0!</v>
      </c>
      <c r="I752" s="48" t="e">
        <v>#DIV/0!</v>
      </c>
      <c r="J752" s="52" t="e">
        <v>#DIV/0!</v>
      </c>
    </row>
    <row r="753" spans="1:17" x14ac:dyDescent="0.2">
      <c r="A753" s="85"/>
      <c r="B753" s="53" t="s">
        <v>21</v>
      </c>
      <c r="C753" s="89"/>
      <c r="D753" s="48"/>
      <c r="E753" s="48"/>
      <c r="F753" s="48"/>
      <c r="G753" s="48"/>
      <c r="H753" s="48" t="e">
        <v>#DIV/0!</v>
      </c>
      <c r="I753" s="48" t="e">
        <v>#DIV/0!</v>
      </c>
      <c r="J753" s="52" t="e">
        <v>#DIV/0!</v>
      </c>
    </row>
    <row r="754" spans="1:17" x14ac:dyDescent="0.2">
      <c r="A754" s="87"/>
      <c r="B754" s="56" t="s">
        <v>22</v>
      </c>
      <c r="C754" s="90"/>
      <c r="D754" s="57"/>
      <c r="E754" s="57"/>
      <c r="F754" s="57"/>
      <c r="G754" s="57"/>
      <c r="H754" s="57" t="e">
        <v>#DIV/0!</v>
      </c>
      <c r="I754" s="57" t="e">
        <v>#DIV/0!</v>
      </c>
      <c r="J754" s="49" t="e">
        <v>#DIV/0!</v>
      </c>
    </row>
    <row r="755" spans="1:17" x14ac:dyDescent="0.2">
      <c r="A755" s="91" t="s">
        <v>13</v>
      </c>
      <c r="B755" s="53" t="s">
        <v>20</v>
      </c>
      <c r="C755" s="92">
        <v>10</v>
      </c>
      <c r="D755" s="48"/>
      <c r="E755" s="48"/>
      <c r="F755" s="48"/>
      <c r="G755" s="48"/>
      <c r="H755" s="48" t="e">
        <v>#DIV/0!</v>
      </c>
      <c r="I755" s="48" t="e">
        <v>#DIV/0!</v>
      </c>
      <c r="J755" s="52" t="e">
        <v>#DIV/0!</v>
      </c>
    </row>
    <row r="756" spans="1:17" x14ac:dyDescent="0.2">
      <c r="A756" s="85"/>
      <c r="B756" s="53" t="s">
        <v>21</v>
      </c>
      <c r="C756" s="89"/>
      <c r="D756" s="48"/>
      <c r="E756" s="48"/>
      <c r="F756" s="48"/>
      <c r="G756" s="48"/>
      <c r="H756" s="48" t="e">
        <v>#DIV/0!</v>
      </c>
      <c r="I756" s="48" t="e">
        <v>#DIV/0!</v>
      </c>
      <c r="J756" s="52" t="e">
        <v>#DIV/0!</v>
      </c>
    </row>
    <row r="757" spans="1:17" x14ac:dyDescent="0.2">
      <c r="A757" s="87"/>
      <c r="B757" s="56" t="s">
        <v>22</v>
      </c>
      <c r="C757" s="90"/>
      <c r="D757" s="57"/>
      <c r="E757" s="57"/>
      <c r="F757" s="57"/>
      <c r="G757" s="57"/>
      <c r="H757" s="57" t="e">
        <v>#DIV/0!</v>
      </c>
      <c r="I757" s="57" t="e">
        <v>#DIV/0!</v>
      </c>
      <c r="J757" s="49" t="e">
        <v>#DIV/0!</v>
      </c>
    </row>
    <row r="758" spans="1:17" x14ac:dyDescent="0.2">
      <c r="A758" s="91" t="s">
        <v>14</v>
      </c>
      <c r="B758" s="53" t="s">
        <v>20</v>
      </c>
      <c r="C758" s="92">
        <v>10</v>
      </c>
      <c r="D758" s="48"/>
      <c r="E758" s="48"/>
      <c r="F758" s="48"/>
      <c r="G758" s="48"/>
      <c r="H758" s="48" t="e">
        <v>#DIV/0!</v>
      </c>
      <c r="I758" s="48" t="e">
        <v>#DIV/0!</v>
      </c>
      <c r="J758" s="52" t="e">
        <v>#DIV/0!</v>
      </c>
    </row>
    <row r="759" spans="1:17" x14ac:dyDescent="0.2">
      <c r="A759" s="85"/>
      <c r="B759" s="53" t="s">
        <v>21</v>
      </c>
      <c r="C759" s="89"/>
      <c r="D759" s="48"/>
      <c r="E759" s="48"/>
      <c r="F759" s="48"/>
      <c r="G759" s="48"/>
      <c r="H759" s="48" t="e">
        <v>#DIV/0!</v>
      </c>
      <c r="I759" s="48" t="e">
        <v>#DIV/0!</v>
      </c>
      <c r="J759" s="52" t="e">
        <v>#DIV/0!</v>
      </c>
    </row>
    <row r="760" spans="1:17" ht="16" thickBot="1" x14ac:dyDescent="0.25">
      <c r="A760" s="93"/>
      <c r="B760" s="58" t="s">
        <v>22</v>
      </c>
      <c r="C760" s="94"/>
      <c r="D760" s="59"/>
      <c r="E760" s="59"/>
      <c r="F760" s="59"/>
      <c r="G760" s="59"/>
      <c r="H760" s="59" t="e">
        <v>#DIV/0!</v>
      </c>
      <c r="I760" s="59" t="e">
        <v>#DIV/0!</v>
      </c>
      <c r="J760" s="50" t="e">
        <v>#DIV/0!</v>
      </c>
    </row>
    <row r="761" spans="1:17" ht="16" thickBot="1" x14ac:dyDescent="0.25">
      <c r="A761" s="60" t="s">
        <v>1</v>
      </c>
      <c r="B761" s="61"/>
      <c r="C761" s="62"/>
      <c r="D761" s="63" t="s">
        <v>42</v>
      </c>
      <c r="E761" s="64"/>
      <c r="F761" s="58" t="s">
        <v>0</v>
      </c>
      <c r="G761" s="18">
        <v>44159</v>
      </c>
      <c r="H761" s="65" t="s">
        <v>24</v>
      </c>
      <c r="I761" s="66"/>
      <c r="J761" s="49">
        <v>110</v>
      </c>
    </row>
    <row r="762" spans="1:17" ht="16" thickBot="1" x14ac:dyDescent="0.25">
      <c r="A762" s="67" t="s">
        <v>2</v>
      </c>
      <c r="B762" s="68"/>
      <c r="C762" s="69"/>
      <c r="D762" s="70"/>
      <c r="E762" s="71"/>
      <c r="F762" s="72"/>
      <c r="G762" s="73"/>
      <c r="H762" s="74" t="s">
        <v>25</v>
      </c>
      <c r="I762" s="75"/>
      <c r="J762" s="49">
        <v>42</v>
      </c>
    </row>
    <row r="763" spans="1:17" ht="16" thickBot="1" x14ac:dyDescent="0.25">
      <c r="A763" s="76" t="s">
        <v>27</v>
      </c>
      <c r="B763" s="77"/>
      <c r="C763" s="78"/>
      <c r="D763" s="79" t="s">
        <v>33</v>
      </c>
      <c r="E763" s="80"/>
      <c r="F763" s="48" t="s">
        <v>30</v>
      </c>
      <c r="G763" s="48">
        <v>3.81</v>
      </c>
      <c r="H763" s="81" t="s">
        <v>26</v>
      </c>
      <c r="I763" s="82"/>
      <c r="J763" s="50">
        <v>75</v>
      </c>
    </row>
    <row r="764" spans="1:17" x14ac:dyDescent="0.2">
      <c r="A764" s="83"/>
      <c r="B764" s="84"/>
      <c r="C764" s="51" t="s">
        <v>29</v>
      </c>
      <c r="D764" s="51" t="s">
        <v>19</v>
      </c>
      <c r="E764" s="51" t="s">
        <v>15</v>
      </c>
      <c r="F764" s="51" t="s">
        <v>18</v>
      </c>
      <c r="G764" s="51" t="s">
        <v>17</v>
      </c>
      <c r="H764" s="48" t="s">
        <v>28</v>
      </c>
      <c r="I764" s="48" t="s">
        <v>16</v>
      </c>
      <c r="J764" s="52" t="s">
        <v>23</v>
      </c>
    </row>
    <row r="765" spans="1:17" x14ac:dyDescent="0.2">
      <c r="A765" s="86" t="s">
        <v>3</v>
      </c>
      <c r="B765" s="53" t="s">
        <v>20</v>
      </c>
      <c r="C765" s="88">
        <v>10</v>
      </c>
      <c r="D765" s="54"/>
      <c r="E765" s="54">
        <v>1.72</v>
      </c>
      <c r="F765" s="54">
        <v>3.4620000000000002</v>
      </c>
      <c r="G765" s="54">
        <v>4.6710000000000003</v>
      </c>
      <c r="H765" s="54">
        <v>0.14760254</v>
      </c>
      <c r="I765" s="54">
        <v>0</v>
      </c>
      <c r="J765" s="55">
        <v>0</v>
      </c>
      <c r="L765">
        <f>(G765+G766+G767)/3</f>
        <v>4.625</v>
      </c>
      <c r="M765">
        <f>(F765+F766+F767)/3</f>
        <v>3.4339999999999997</v>
      </c>
      <c r="N765">
        <f>(L765-M765)/M765</f>
        <v>0.34682585905649399</v>
      </c>
      <c r="O765">
        <f>(D766/(1+N765))</f>
        <v>585.82183783783785</v>
      </c>
      <c r="P765">
        <f>PI()*$G$3^2*C765</f>
        <v>456.03673118774793</v>
      </c>
      <c r="Q765">
        <f>O765/P765</f>
        <v>1.2845935377004929</v>
      </c>
    </row>
    <row r="766" spans="1:17" x14ac:dyDescent="0.2">
      <c r="A766" s="85"/>
      <c r="B766" s="53" t="s">
        <v>21</v>
      </c>
      <c r="C766" s="89"/>
      <c r="D766" s="48">
        <v>789</v>
      </c>
      <c r="E766" s="48">
        <v>1.728</v>
      </c>
      <c r="F766" s="48">
        <v>3.4740000000000002</v>
      </c>
      <c r="G766" s="48">
        <v>4.6479999999999997</v>
      </c>
      <c r="H766" s="48">
        <v>0.15947035000000001</v>
      </c>
      <c r="I766" s="48">
        <v>663.17789289999996</v>
      </c>
      <c r="J766" s="52" t="e">
        <v>#DIV/0!</v>
      </c>
    </row>
    <row r="767" spans="1:17" x14ac:dyDescent="0.2">
      <c r="A767" s="87"/>
      <c r="B767" s="56" t="s">
        <v>22</v>
      </c>
      <c r="C767" s="90"/>
      <c r="D767" s="57"/>
      <c r="E767" s="57">
        <v>1.734</v>
      </c>
      <c r="F767" s="57">
        <v>3.3660000000000001</v>
      </c>
      <c r="G767" s="57">
        <v>4.556</v>
      </c>
      <c r="H767" s="57">
        <v>0.16161616000000001</v>
      </c>
      <c r="I767" s="57">
        <v>0</v>
      </c>
      <c r="J767" s="49" t="e">
        <v>#DIV/0!</v>
      </c>
    </row>
    <row r="768" spans="1:17" x14ac:dyDescent="0.2">
      <c r="A768" s="91" t="s">
        <v>4</v>
      </c>
      <c r="B768" s="53" t="s">
        <v>20</v>
      </c>
      <c r="C768" s="92">
        <v>10</v>
      </c>
      <c r="D768" s="48"/>
      <c r="E768" s="48">
        <v>1.716</v>
      </c>
      <c r="F768" s="48">
        <v>3.1779999999999999</v>
      </c>
      <c r="G768" s="48">
        <v>4.3780000000000001</v>
      </c>
      <c r="H768" s="48">
        <v>0.16236627000000001</v>
      </c>
      <c r="I768" s="48">
        <v>0</v>
      </c>
      <c r="J768" s="52">
        <v>0</v>
      </c>
      <c r="L768">
        <f>(G768+G769+G770)/3</f>
        <v>4.6396666666666668</v>
      </c>
      <c r="M768">
        <f>(F768+F769+F770)/3</f>
        <v>3.4516666666666667</v>
      </c>
      <c r="N768">
        <f>(L768-M768)/M768</f>
        <v>0.34418155480444235</v>
      </c>
      <c r="O768">
        <f>(D769/(1+N768))</f>
        <v>562.42402471441915</v>
      </c>
      <c r="P768">
        <f>PI()*$G$3^2*C768</f>
        <v>456.03673118774793</v>
      </c>
      <c r="Q768">
        <f>O768/P768</f>
        <v>1.2332866768200568</v>
      </c>
    </row>
    <row r="769" spans="1:17" x14ac:dyDescent="0.2">
      <c r="A769" s="85"/>
      <c r="B769" s="53" t="s">
        <v>21</v>
      </c>
      <c r="C769" s="89"/>
      <c r="D769" s="48">
        <v>756</v>
      </c>
      <c r="E769" s="48">
        <v>1.704</v>
      </c>
      <c r="F769" s="48">
        <v>3.4390000000000001</v>
      </c>
      <c r="G769" s="48">
        <v>4.6120000000000001</v>
      </c>
      <c r="H769" s="48">
        <v>0.15440535</v>
      </c>
      <c r="I769" s="48">
        <v>639.26955510000005</v>
      </c>
      <c r="J769" s="52" t="e">
        <v>#DIV/0!</v>
      </c>
    </row>
    <row r="770" spans="1:17" x14ac:dyDescent="0.2">
      <c r="A770" s="87"/>
      <c r="B770" s="56" t="s">
        <v>22</v>
      </c>
      <c r="C770" s="90"/>
      <c r="D770" s="57"/>
      <c r="E770" s="57">
        <v>1.7450000000000001</v>
      </c>
      <c r="F770" s="57">
        <v>3.738</v>
      </c>
      <c r="G770" s="57">
        <v>4.9290000000000003</v>
      </c>
      <c r="H770" s="57">
        <v>0.14820759999999999</v>
      </c>
      <c r="I770" s="57">
        <v>0</v>
      </c>
      <c r="J770" s="49" t="e">
        <v>#DIV/0!</v>
      </c>
    </row>
    <row r="771" spans="1:17" x14ac:dyDescent="0.2">
      <c r="A771" s="91" t="s">
        <v>5</v>
      </c>
      <c r="B771" s="53" t="s">
        <v>20</v>
      </c>
      <c r="C771" s="92">
        <v>10</v>
      </c>
      <c r="D771" s="48"/>
      <c r="E771" s="48">
        <v>1.734</v>
      </c>
      <c r="F771" s="48">
        <v>3.0409999999999999</v>
      </c>
      <c r="G771" s="48">
        <v>4.2869999999999999</v>
      </c>
      <c r="H771" s="48">
        <v>0.16047353</v>
      </c>
      <c r="I771" s="48">
        <v>0</v>
      </c>
      <c r="J771" s="52">
        <v>0</v>
      </c>
      <c r="L771">
        <f>(G771+G772+G773)/3</f>
        <v>4.4223333333333334</v>
      </c>
      <c r="M771">
        <f>(F771+F772+F773)/3</f>
        <v>3.1983333333333337</v>
      </c>
      <c r="N771">
        <f>(L771-M771)/M771</f>
        <v>0.38269932256383521</v>
      </c>
      <c r="O771">
        <f>(D772/(1+N771))</f>
        <v>580.7480967814879</v>
      </c>
      <c r="P771">
        <f>PI()*$G$3^2*C771</f>
        <v>456.03673118774793</v>
      </c>
      <c r="Q771">
        <f>O771/P771</f>
        <v>1.2734678087638449</v>
      </c>
    </row>
    <row r="772" spans="1:17" x14ac:dyDescent="0.2">
      <c r="A772" s="85"/>
      <c r="B772" s="53" t="s">
        <v>21</v>
      </c>
      <c r="C772" s="89"/>
      <c r="D772" s="48">
        <v>803</v>
      </c>
      <c r="E772" s="48">
        <v>1.726</v>
      </c>
      <c r="F772" s="48">
        <v>3.2090000000000001</v>
      </c>
      <c r="G772" s="48">
        <v>4.4109999999999996</v>
      </c>
      <c r="H772" s="48">
        <v>0.16329073999999999</v>
      </c>
      <c r="I772" s="48">
        <v>671.87753190000001</v>
      </c>
      <c r="J772" s="52" t="e">
        <v>#DIV/0!</v>
      </c>
    </row>
    <row r="773" spans="1:17" x14ac:dyDescent="0.2">
      <c r="A773" s="87"/>
      <c r="B773" s="56" t="s">
        <v>22</v>
      </c>
      <c r="C773" s="90"/>
      <c r="D773" s="57"/>
      <c r="E773" s="57">
        <v>1.74</v>
      </c>
      <c r="F773" s="57">
        <v>3.3450000000000002</v>
      </c>
      <c r="G773" s="57">
        <v>4.569</v>
      </c>
      <c r="H773" s="57">
        <v>0.15426008999999999</v>
      </c>
      <c r="I773" s="57">
        <v>0</v>
      </c>
      <c r="J773" s="49" t="e">
        <v>#DIV/0!</v>
      </c>
    </row>
    <row r="774" spans="1:17" x14ac:dyDescent="0.2">
      <c r="A774" s="91" t="s">
        <v>6</v>
      </c>
      <c r="B774" s="53" t="s">
        <v>20</v>
      </c>
      <c r="C774" s="92">
        <v>10</v>
      </c>
      <c r="D774" s="48"/>
      <c r="E774" s="48">
        <v>1.7210000000000001</v>
      </c>
      <c r="F774" s="48">
        <v>3.8530000000000002</v>
      </c>
      <c r="G774" s="48">
        <v>4.9749999999999996</v>
      </c>
      <c r="H774" s="48">
        <v>0.15546328000000001</v>
      </c>
      <c r="I774" s="48">
        <v>0</v>
      </c>
      <c r="J774" s="52">
        <v>0</v>
      </c>
      <c r="L774">
        <f>(G774+G775+G776)/3</f>
        <v>4.8369999999999997</v>
      </c>
      <c r="M774">
        <f>(F774+F775+F776)/3</f>
        <v>3.6676666666666669</v>
      </c>
      <c r="N774">
        <f>(L774-M774)/M774</f>
        <v>0.31882213941652265</v>
      </c>
      <c r="O774">
        <f>(D775/(1+N774))</f>
        <v>627.83295431052306</v>
      </c>
      <c r="P774">
        <f>PI()*$G$3^2*C774</f>
        <v>456.03673118774793</v>
      </c>
      <c r="Q774">
        <f>O774/P774</f>
        <v>1.376715758564736</v>
      </c>
    </row>
    <row r="775" spans="1:17" x14ac:dyDescent="0.2">
      <c r="A775" s="85"/>
      <c r="B775" s="53" t="s">
        <v>21</v>
      </c>
      <c r="C775" s="89"/>
      <c r="D775" s="48">
        <v>828</v>
      </c>
      <c r="E775" s="48">
        <v>1.734</v>
      </c>
      <c r="F775" s="48">
        <v>3.698</v>
      </c>
      <c r="G775" s="48">
        <v>4.8849999999999998</v>
      </c>
      <c r="H775" s="48">
        <v>0.14791778999999999</v>
      </c>
      <c r="I775" s="48">
        <v>705.52406710000002</v>
      </c>
      <c r="J775" s="52" t="e">
        <v>#DIV/0!</v>
      </c>
    </row>
    <row r="776" spans="1:17" x14ac:dyDescent="0.2">
      <c r="A776" s="87"/>
      <c r="B776" s="56" t="s">
        <v>22</v>
      </c>
      <c r="C776" s="90"/>
      <c r="D776" s="57"/>
      <c r="E776" s="57">
        <v>1.726</v>
      </c>
      <c r="F776" s="57">
        <v>3.452</v>
      </c>
      <c r="G776" s="57">
        <v>4.6509999999999998</v>
      </c>
      <c r="H776" s="57">
        <v>0.15266511999999999</v>
      </c>
      <c r="I776" s="57">
        <v>0</v>
      </c>
      <c r="J776" s="49" t="e">
        <v>#DIV/0!</v>
      </c>
    </row>
    <row r="777" spans="1:17" x14ac:dyDescent="0.2">
      <c r="A777" s="91" t="s">
        <v>7</v>
      </c>
      <c r="B777" s="53" t="s">
        <v>20</v>
      </c>
      <c r="C777" s="92">
        <v>10</v>
      </c>
      <c r="D777" s="48"/>
      <c r="E777" s="48">
        <v>1.7250000000000001</v>
      </c>
      <c r="F777" s="48">
        <v>3.1320000000000001</v>
      </c>
      <c r="G777" s="48">
        <v>4.3479999999999999</v>
      </c>
      <c r="H777" s="48">
        <v>0.16251595999999999</v>
      </c>
      <c r="I777" s="48">
        <v>0</v>
      </c>
      <c r="J777" s="52">
        <v>0</v>
      </c>
      <c r="L777">
        <f>(G777+G778+G779)/3</f>
        <v>4.53</v>
      </c>
      <c r="M777">
        <f>(F777+F778+F779)/3</f>
        <v>3.2786666666666666</v>
      </c>
      <c r="N777">
        <f>(L777-M777)/M777</f>
        <v>0.38165921106140716</v>
      </c>
      <c r="O777">
        <f>(D778/(1+N777))</f>
        <v>633.29654157468724</v>
      </c>
      <c r="P777">
        <f>PI()*$G$3^2*C777</f>
        <v>456.03673118774793</v>
      </c>
      <c r="Q777">
        <f>O777/P777</f>
        <v>1.3886963445362526</v>
      </c>
    </row>
    <row r="778" spans="1:17" x14ac:dyDescent="0.2">
      <c r="A778" s="85"/>
      <c r="B778" s="53" t="s">
        <v>21</v>
      </c>
      <c r="C778" s="89"/>
      <c r="D778" s="48">
        <v>875</v>
      </c>
      <c r="E778" s="48">
        <v>1.722</v>
      </c>
      <c r="F778" s="48">
        <v>3.194</v>
      </c>
      <c r="G778" s="48">
        <v>4.4610000000000003</v>
      </c>
      <c r="H778" s="48">
        <v>0.14245459999999999</v>
      </c>
      <c r="I778" s="48">
        <v>750.35222290000002</v>
      </c>
      <c r="J778" s="52" t="e">
        <v>#DIV/0!</v>
      </c>
    </row>
    <row r="779" spans="1:17" x14ac:dyDescent="0.2">
      <c r="A779" s="87"/>
      <c r="B779" s="56" t="s">
        <v>22</v>
      </c>
      <c r="C779" s="90"/>
      <c r="D779" s="57"/>
      <c r="E779" s="57">
        <v>1.734</v>
      </c>
      <c r="F779" s="57">
        <v>3.51</v>
      </c>
      <c r="G779" s="57">
        <v>4.7809999999999997</v>
      </c>
      <c r="H779" s="57">
        <v>0.13190883</v>
      </c>
      <c r="I779" s="57">
        <v>0</v>
      </c>
      <c r="J779" s="49" t="e">
        <v>#DIV/0!</v>
      </c>
    </row>
    <row r="780" spans="1:17" x14ac:dyDescent="0.2">
      <c r="A780" s="91" t="s">
        <v>8</v>
      </c>
      <c r="B780" s="53" t="s">
        <v>20</v>
      </c>
      <c r="C780" s="92">
        <v>10</v>
      </c>
      <c r="D780" s="48"/>
      <c r="E780" s="48">
        <v>1.722</v>
      </c>
      <c r="F780" s="48">
        <v>3.46</v>
      </c>
      <c r="G780" s="48">
        <v>4.7560000000000002</v>
      </c>
      <c r="H780" s="48">
        <v>0.12312139</v>
      </c>
      <c r="I780" s="48">
        <v>0</v>
      </c>
      <c r="J780" s="52">
        <v>0</v>
      </c>
      <c r="L780">
        <f>(G780+G781+G782)/3</f>
        <v>4.6253333333333337</v>
      </c>
      <c r="M780">
        <f>(F780+F781+F782)/3</f>
        <v>3.3036666666666665</v>
      </c>
      <c r="N780">
        <f>(L780-M780)/M780</f>
        <v>0.40006053879527814</v>
      </c>
      <c r="O780">
        <f>(D781/(1+N780))</f>
        <v>564.97556932833663</v>
      </c>
      <c r="P780">
        <f>PI()*$G$3^2*C780</f>
        <v>456.03673118774793</v>
      </c>
      <c r="Q780">
        <f>O780/P780</f>
        <v>1.2388817187090553</v>
      </c>
    </row>
    <row r="781" spans="1:17" x14ac:dyDescent="0.2">
      <c r="A781" s="85"/>
      <c r="B781" s="53" t="s">
        <v>21</v>
      </c>
      <c r="C781" s="89"/>
      <c r="D781" s="48">
        <v>791</v>
      </c>
      <c r="E781" s="48">
        <v>1.738</v>
      </c>
      <c r="F781" s="48">
        <v>3.4470000000000001</v>
      </c>
      <c r="G781" s="48">
        <v>4.7560000000000002</v>
      </c>
      <c r="H781" s="48">
        <v>0.12445605</v>
      </c>
      <c r="I781" s="48">
        <v>692.55526540000005</v>
      </c>
      <c r="J781" s="52" t="e">
        <v>#DIV/0!</v>
      </c>
    </row>
    <row r="782" spans="1:17" x14ac:dyDescent="0.2">
      <c r="A782" s="87"/>
      <c r="B782" s="56" t="s">
        <v>22</v>
      </c>
      <c r="C782" s="90"/>
      <c r="D782" s="57"/>
      <c r="E782" s="57">
        <v>1.7290000000000001</v>
      </c>
      <c r="F782" s="57">
        <v>3.004</v>
      </c>
      <c r="G782" s="57">
        <v>4.3639999999999999</v>
      </c>
      <c r="H782" s="57">
        <v>0.12283622</v>
      </c>
      <c r="I782" s="57">
        <v>0</v>
      </c>
      <c r="J782" s="49" t="e">
        <v>#DIV/0!</v>
      </c>
    </row>
    <row r="783" spans="1:17" x14ac:dyDescent="0.2">
      <c r="A783" s="91" t="s">
        <v>9</v>
      </c>
      <c r="B783" s="53" t="s">
        <v>20</v>
      </c>
      <c r="C783" s="92">
        <v>10</v>
      </c>
      <c r="D783" s="48"/>
      <c r="E783" s="48">
        <v>1.7210000000000001</v>
      </c>
      <c r="F783" s="48">
        <v>3.0950000000000002</v>
      </c>
      <c r="G783" s="48">
        <v>4.4660000000000002</v>
      </c>
      <c r="H783" s="48">
        <v>0.11308562</v>
      </c>
      <c r="I783" s="48">
        <v>0</v>
      </c>
      <c r="J783" s="52">
        <v>0</v>
      </c>
      <c r="L783">
        <f>(G783+G784+G785)/3</f>
        <v>4.7356666666666669</v>
      </c>
      <c r="M783">
        <f>(F783+F784+F785)/3</f>
        <v>3.4133333333333336</v>
      </c>
      <c r="N783">
        <f>(L783-M783)/M783</f>
        <v>0.38740234374999999</v>
      </c>
      <c r="O783">
        <f>(D784/(1+N783))</f>
        <v>666.71359189132113</v>
      </c>
      <c r="P783">
        <f>PI()*$G$3^2*C783</f>
        <v>456.03673118774793</v>
      </c>
      <c r="Q783">
        <f>O783/P783</f>
        <v>1.4619734470836707</v>
      </c>
    </row>
    <row r="784" spans="1:17" x14ac:dyDescent="0.2">
      <c r="A784" s="85"/>
      <c r="B784" s="53" t="s">
        <v>21</v>
      </c>
      <c r="C784" s="89"/>
      <c r="D784" s="48">
        <v>925</v>
      </c>
      <c r="E784" s="48">
        <v>1.7190000000000001</v>
      </c>
      <c r="F784" s="48">
        <v>3.653</v>
      </c>
      <c r="G784" s="48">
        <v>4.9450000000000003</v>
      </c>
      <c r="H784" s="48">
        <v>0.11689023</v>
      </c>
      <c r="I784" s="48">
        <v>816.87653980000005</v>
      </c>
      <c r="J784" s="52" t="e">
        <v>#DIV/0!</v>
      </c>
    </row>
    <row r="785" spans="1:17" x14ac:dyDescent="0.2">
      <c r="A785" s="87"/>
      <c r="B785" s="56" t="s">
        <v>22</v>
      </c>
      <c r="C785" s="90"/>
      <c r="D785" s="57"/>
      <c r="E785" s="57">
        <v>1.732</v>
      </c>
      <c r="F785" s="57">
        <v>3.492</v>
      </c>
      <c r="G785" s="57">
        <v>4.7960000000000003</v>
      </c>
      <c r="H785" s="57">
        <v>0.12256586</v>
      </c>
      <c r="I785" s="57">
        <v>0</v>
      </c>
      <c r="J785" s="49" t="e">
        <v>#DIV/0!</v>
      </c>
    </row>
    <row r="786" spans="1:17" x14ac:dyDescent="0.2">
      <c r="A786" s="91" t="s">
        <v>10</v>
      </c>
      <c r="B786" s="53" t="s">
        <v>20</v>
      </c>
      <c r="C786" s="92">
        <v>10</v>
      </c>
      <c r="D786" s="48"/>
      <c r="E786" s="48">
        <v>1.7250000000000001</v>
      </c>
      <c r="F786" s="48">
        <v>3.4910000000000001</v>
      </c>
      <c r="G786" s="48">
        <v>4.8079999999999998</v>
      </c>
      <c r="H786" s="48">
        <v>0.11687196</v>
      </c>
      <c r="I786" s="48">
        <v>0</v>
      </c>
      <c r="J786" s="52">
        <v>0</v>
      </c>
      <c r="L786">
        <f>(G786+G787+G788)/3</f>
        <v>4.8023333333333333</v>
      </c>
      <c r="M786">
        <f>(F786+F787+F788)/3</f>
        <v>3.4956666666666667</v>
      </c>
      <c r="N786">
        <f>(L786-M786)/M786</f>
        <v>0.37379612854009725</v>
      </c>
      <c r="O786">
        <f>(D787/(1+N786))</f>
        <v>568.49774415214824</v>
      </c>
      <c r="P786">
        <f>PI()*$G$3^2*C786</f>
        <v>456.03673118774793</v>
      </c>
      <c r="Q786">
        <f>O786/P786</f>
        <v>1.2466051641750338</v>
      </c>
    </row>
    <row r="787" spans="1:17" x14ac:dyDescent="0.2">
      <c r="A787" s="85"/>
      <c r="B787" s="53" t="s">
        <v>21</v>
      </c>
      <c r="C787" s="89"/>
      <c r="D787" s="48">
        <v>781</v>
      </c>
      <c r="E787" s="48">
        <v>1.7430000000000001</v>
      </c>
      <c r="F787" s="48">
        <v>3.302</v>
      </c>
      <c r="G787" s="48">
        <v>4.6269999999999998</v>
      </c>
      <c r="H787" s="48">
        <v>0.12658995000000001</v>
      </c>
      <c r="I787" s="48">
        <v>682.13325259999999</v>
      </c>
      <c r="J787" s="52" t="e">
        <v>#DIV/0!</v>
      </c>
    </row>
    <row r="788" spans="1:17" x14ac:dyDescent="0.2">
      <c r="A788" s="87"/>
      <c r="B788" s="56" t="s">
        <v>22</v>
      </c>
      <c r="C788" s="90"/>
      <c r="D788" s="57"/>
      <c r="E788" s="57">
        <v>1.722</v>
      </c>
      <c r="F788" s="57">
        <v>3.694</v>
      </c>
      <c r="G788" s="57">
        <v>4.9720000000000004</v>
      </c>
      <c r="H788" s="57">
        <v>0.12019491</v>
      </c>
      <c r="I788" s="57">
        <v>0</v>
      </c>
      <c r="J788" s="49" t="e">
        <v>#DIV/0!</v>
      </c>
    </row>
    <row r="789" spans="1:17" x14ac:dyDescent="0.2">
      <c r="A789" s="91" t="s">
        <v>11</v>
      </c>
      <c r="B789" s="53" t="s">
        <v>20</v>
      </c>
      <c r="C789" s="92">
        <v>10</v>
      </c>
      <c r="D789" s="48"/>
      <c r="E789" s="48">
        <v>1.722</v>
      </c>
      <c r="F789" s="48">
        <v>3.9350000000000001</v>
      </c>
      <c r="G789" s="48">
        <v>5.1779999999999999</v>
      </c>
      <c r="H789" s="48">
        <v>0.12172808</v>
      </c>
      <c r="I789" s="48">
        <v>0</v>
      </c>
      <c r="J789" s="52">
        <v>0</v>
      </c>
      <c r="L789">
        <f>(G789+G790+G791)/3</f>
        <v>4.8606666666666669</v>
      </c>
      <c r="M789">
        <f>(F789+F790+F791)/3</f>
        <v>3.5269999999999997</v>
      </c>
      <c r="N789">
        <f>(L789-M789)/M789</f>
        <v>0.37813061147339588</v>
      </c>
      <c r="O789">
        <f>(D790/(1+N789))</f>
        <v>630.56432588122334</v>
      </c>
      <c r="P789">
        <f>PI()*$G$3^2*C789</f>
        <v>456.03673118774793</v>
      </c>
      <c r="Q789">
        <f>O789/P789</f>
        <v>1.3827051260518384</v>
      </c>
    </row>
    <row r="790" spans="1:17" x14ac:dyDescent="0.2">
      <c r="A790" s="85"/>
      <c r="B790" s="53" t="s">
        <v>21</v>
      </c>
      <c r="C790" s="89"/>
      <c r="D790" s="48">
        <v>869</v>
      </c>
      <c r="E790" s="48">
        <v>1.7110000000000001</v>
      </c>
      <c r="F790" s="48">
        <v>3.5950000000000002</v>
      </c>
      <c r="G790" s="48">
        <v>4.9450000000000003</v>
      </c>
      <c r="H790" s="48">
        <v>0.10041725</v>
      </c>
      <c r="I790" s="48">
        <v>781.73741310000003</v>
      </c>
      <c r="J790" s="52" t="e">
        <v>#DIV/0!</v>
      </c>
    </row>
    <row r="791" spans="1:17" x14ac:dyDescent="0.2">
      <c r="A791" s="87"/>
      <c r="B791" s="56" t="s">
        <v>22</v>
      </c>
      <c r="C791" s="90"/>
      <c r="D791" s="57"/>
      <c r="E791" s="57">
        <v>1.7290000000000001</v>
      </c>
      <c r="F791" s="57">
        <v>3.0510000000000002</v>
      </c>
      <c r="G791" s="57">
        <v>4.4589999999999996</v>
      </c>
      <c r="H791" s="57">
        <v>0.10521141000000001</v>
      </c>
      <c r="I791" s="57">
        <v>0</v>
      </c>
      <c r="J791" s="49" t="e">
        <v>#DIV/0!</v>
      </c>
    </row>
    <row r="792" spans="1:17" x14ac:dyDescent="0.2">
      <c r="A792" s="91" t="s">
        <v>12</v>
      </c>
      <c r="B792" s="53" t="s">
        <v>20</v>
      </c>
      <c r="C792" s="92">
        <v>10</v>
      </c>
      <c r="D792" s="48"/>
      <c r="E792" s="48">
        <v>1.7370000000000001</v>
      </c>
      <c r="F792" s="48">
        <v>3.3210000000000002</v>
      </c>
      <c r="G792" s="48">
        <v>4.7869999999999999</v>
      </c>
      <c r="H792" s="48">
        <v>8.1601930000000003E-2</v>
      </c>
      <c r="I792" s="48">
        <v>0</v>
      </c>
      <c r="J792" s="52">
        <v>0</v>
      </c>
      <c r="L792">
        <f>(G792+G793+G794)/3</f>
        <v>4.944</v>
      </c>
      <c r="M792">
        <f>(F792+F793+F794)/3</f>
        <v>3.5913333333333335</v>
      </c>
      <c r="N792">
        <f>(L792-M792)/M792</f>
        <v>0.37664748468535353</v>
      </c>
      <c r="O792">
        <f>(D793/(1+N792))</f>
        <v>546.25458468176919</v>
      </c>
      <c r="P792">
        <f>PI()*$G$3^2*C792</f>
        <v>456.03673118774793</v>
      </c>
      <c r="Q792">
        <f>O792/P792</f>
        <v>1.1978302345494163</v>
      </c>
    </row>
    <row r="793" spans="1:17" x14ac:dyDescent="0.2">
      <c r="A793" s="85"/>
      <c r="B793" s="53" t="s">
        <v>21</v>
      </c>
      <c r="C793" s="89"/>
      <c r="D793" s="48">
        <v>752</v>
      </c>
      <c r="E793" s="48">
        <v>1.7070000000000001</v>
      </c>
      <c r="F793" s="48">
        <v>3.8</v>
      </c>
      <c r="G793" s="48">
        <v>5.0620000000000003</v>
      </c>
      <c r="H793" s="48">
        <v>0.11710526</v>
      </c>
      <c r="I793" s="48">
        <v>663.93684210000004</v>
      </c>
      <c r="J793" s="52" t="e">
        <v>#DIV/0!</v>
      </c>
    </row>
    <row r="794" spans="1:17" x14ac:dyDescent="0.2">
      <c r="A794" s="87"/>
      <c r="B794" s="56" t="s">
        <v>22</v>
      </c>
      <c r="C794" s="90"/>
      <c r="D794" s="57"/>
      <c r="E794" s="57">
        <v>1.716</v>
      </c>
      <c r="F794" s="57">
        <v>3.653</v>
      </c>
      <c r="G794" s="57">
        <v>4.9829999999999997</v>
      </c>
      <c r="H794" s="57">
        <v>0.10566658</v>
      </c>
      <c r="I794" s="57">
        <v>0</v>
      </c>
      <c r="J794" s="49" t="e">
        <v>#DIV/0!</v>
      </c>
    </row>
    <row r="795" spans="1:17" x14ac:dyDescent="0.2">
      <c r="A795" s="91" t="s">
        <v>13</v>
      </c>
      <c r="B795" s="53" t="s">
        <v>20</v>
      </c>
      <c r="C795" s="92">
        <v>10</v>
      </c>
      <c r="D795" s="48"/>
      <c r="E795" s="48">
        <v>1.726</v>
      </c>
      <c r="F795" s="48">
        <v>3.8860000000000001</v>
      </c>
      <c r="G795" s="48">
        <v>5.0750000000000002</v>
      </c>
      <c r="H795" s="48">
        <v>0.13818837</v>
      </c>
      <c r="I795" s="48">
        <v>0</v>
      </c>
      <c r="J795" s="52">
        <v>0</v>
      </c>
      <c r="L795">
        <f>(G795+G796+G797)/3</f>
        <v>4.7666666666666666</v>
      </c>
      <c r="M795">
        <f>(F795+F796+F797)/3</f>
        <v>3.5790000000000002</v>
      </c>
      <c r="N795">
        <f>(L795-M795)/M795</f>
        <v>0.3318431591692278</v>
      </c>
      <c r="O795">
        <f>(D796/(1+N795))</f>
        <v>486.54377622377632</v>
      </c>
      <c r="P795">
        <f>PI()*$G$3^2*C795</f>
        <v>456.03673118774793</v>
      </c>
      <c r="Q795">
        <f>O795/P795</f>
        <v>1.0668960260209146</v>
      </c>
    </row>
    <row r="796" spans="1:17" x14ac:dyDescent="0.2">
      <c r="A796" s="85"/>
      <c r="B796" s="53" t="s">
        <v>21</v>
      </c>
      <c r="C796" s="89"/>
      <c r="D796" s="48">
        <v>648</v>
      </c>
      <c r="E796" s="48">
        <v>1.734</v>
      </c>
      <c r="F796" s="48">
        <v>3.806</v>
      </c>
      <c r="G796" s="48">
        <v>4.9420000000000002</v>
      </c>
      <c r="H796" s="48">
        <v>0.15712034</v>
      </c>
      <c r="I796" s="48">
        <v>546.18602209999995</v>
      </c>
      <c r="J796" s="52" t="e">
        <v>#DIV/0!</v>
      </c>
    </row>
    <row r="797" spans="1:17" x14ac:dyDescent="0.2">
      <c r="A797" s="87"/>
      <c r="B797" s="56" t="s">
        <v>22</v>
      </c>
      <c r="C797" s="90"/>
      <c r="D797" s="57"/>
      <c r="E797" s="57">
        <v>1.722</v>
      </c>
      <c r="F797" s="57">
        <v>3.0449999999999999</v>
      </c>
      <c r="G797" s="57">
        <v>4.2830000000000004</v>
      </c>
      <c r="H797" s="57">
        <v>0.15894910000000001</v>
      </c>
      <c r="I797" s="57">
        <v>0</v>
      </c>
      <c r="J797" s="49" t="e">
        <v>#DIV/0!</v>
      </c>
    </row>
    <row r="798" spans="1:17" x14ac:dyDescent="0.2">
      <c r="A798" s="91" t="s">
        <v>14</v>
      </c>
      <c r="B798" s="53" t="s">
        <v>20</v>
      </c>
      <c r="C798" s="92">
        <v>10</v>
      </c>
      <c r="D798" s="48"/>
      <c r="E798" s="48"/>
      <c r="F798" s="48"/>
      <c r="G798" s="48"/>
      <c r="H798" s="48" t="e">
        <v>#DIV/0!</v>
      </c>
      <c r="I798" s="48" t="e">
        <v>#DIV/0!</v>
      </c>
      <c r="J798" s="52" t="e">
        <v>#DIV/0!</v>
      </c>
    </row>
    <row r="799" spans="1:17" x14ac:dyDescent="0.2">
      <c r="A799" s="85"/>
      <c r="B799" s="53" t="s">
        <v>21</v>
      </c>
      <c r="C799" s="89"/>
      <c r="D799" s="48"/>
      <c r="E799" s="48"/>
      <c r="F799" s="48"/>
      <c r="G799" s="48"/>
      <c r="H799" s="48" t="e">
        <v>#DIV/0!</v>
      </c>
      <c r="I799" s="48" t="e">
        <v>#DIV/0!</v>
      </c>
      <c r="J799" s="52" t="e">
        <v>#DIV/0!</v>
      </c>
    </row>
    <row r="800" spans="1:17" ht="16" thickBot="1" x14ac:dyDescent="0.25">
      <c r="A800" s="93"/>
      <c r="B800" s="58" t="s">
        <v>22</v>
      </c>
      <c r="C800" s="94"/>
      <c r="D800" s="59"/>
      <c r="E800" s="59"/>
      <c r="F800" s="59"/>
      <c r="G800" s="59"/>
      <c r="H800" s="59" t="e">
        <v>#DIV/0!</v>
      </c>
      <c r="I800" s="59" t="e">
        <v>#DIV/0!</v>
      </c>
      <c r="J800" s="50" t="e">
        <v>#DIV/0!</v>
      </c>
    </row>
    <row r="801" spans="1:17" ht="16" thickBot="1" x14ac:dyDescent="0.25">
      <c r="A801" s="60" t="s">
        <v>1</v>
      </c>
      <c r="B801" s="61"/>
      <c r="C801" s="62"/>
      <c r="D801" s="63" t="s">
        <v>43</v>
      </c>
      <c r="E801" s="64"/>
      <c r="F801" s="58" t="s">
        <v>0</v>
      </c>
      <c r="G801" s="18">
        <v>44159</v>
      </c>
      <c r="H801" s="65" t="s">
        <v>24</v>
      </c>
      <c r="I801" s="66"/>
      <c r="J801" s="49">
        <v>110</v>
      </c>
    </row>
    <row r="802" spans="1:17" ht="16" thickBot="1" x14ac:dyDescent="0.25">
      <c r="A802" s="67" t="s">
        <v>2</v>
      </c>
      <c r="B802" s="68"/>
      <c r="C802" s="69"/>
      <c r="D802" s="70"/>
      <c r="E802" s="71"/>
      <c r="F802" s="72"/>
      <c r="G802" s="73"/>
      <c r="H802" s="74" t="s">
        <v>25</v>
      </c>
      <c r="I802" s="75"/>
      <c r="J802" s="49">
        <v>50</v>
      </c>
    </row>
    <row r="803" spans="1:17" ht="16" thickBot="1" x14ac:dyDescent="0.25">
      <c r="A803" s="76" t="s">
        <v>27</v>
      </c>
      <c r="B803" s="77"/>
      <c r="C803" s="78"/>
      <c r="D803" s="79" t="s">
        <v>33</v>
      </c>
      <c r="E803" s="80"/>
      <c r="F803" s="48" t="s">
        <v>30</v>
      </c>
      <c r="G803" s="48">
        <v>3.81</v>
      </c>
      <c r="H803" s="81" t="s">
        <v>26</v>
      </c>
      <c r="I803" s="82"/>
      <c r="J803" s="50">
        <v>73</v>
      </c>
    </row>
    <row r="804" spans="1:17" x14ac:dyDescent="0.2">
      <c r="A804" s="83"/>
      <c r="B804" s="84"/>
      <c r="C804" s="51" t="s">
        <v>29</v>
      </c>
      <c r="D804" s="51" t="s">
        <v>19</v>
      </c>
      <c r="E804" s="51" t="s">
        <v>15</v>
      </c>
      <c r="F804" s="51" t="s">
        <v>18</v>
      </c>
      <c r="G804" s="51" t="s">
        <v>17</v>
      </c>
      <c r="H804" s="48" t="s">
        <v>28</v>
      </c>
      <c r="I804" s="48" t="s">
        <v>16</v>
      </c>
      <c r="J804" s="52" t="s">
        <v>23</v>
      </c>
    </row>
    <row r="805" spans="1:17" x14ac:dyDescent="0.2">
      <c r="A805" s="86" t="s">
        <v>3</v>
      </c>
      <c r="B805" s="53" t="s">
        <v>20</v>
      </c>
      <c r="C805" s="88">
        <v>10</v>
      </c>
      <c r="D805" s="54"/>
      <c r="E805" s="54">
        <v>2.4319999999999999</v>
      </c>
      <c r="F805" s="54">
        <v>3.1360000000000001</v>
      </c>
      <c r="G805" s="54">
        <v>5.0949999999999998</v>
      </c>
      <c r="H805" s="54">
        <v>0.15082908</v>
      </c>
      <c r="I805" s="54">
        <v>0</v>
      </c>
      <c r="J805" s="55">
        <v>0</v>
      </c>
      <c r="L805">
        <f>(G805+G806+G807)/3</f>
        <v>5.1476666666666659</v>
      </c>
      <c r="M805">
        <f>(F805+F806+F807)/3</f>
        <v>3.1673333333333336</v>
      </c>
      <c r="N805">
        <f>(L805-M805)/M805</f>
        <v>0.62523679225426188</v>
      </c>
      <c r="O805">
        <f>(D806/(1+N805))</f>
        <v>513.77128796218369</v>
      </c>
      <c r="P805">
        <f>PI()*$G$3^2*C805</f>
        <v>456.03673118774793</v>
      </c>
      <c r="Q805">
        <f>O805/P805</f>
        <v>1.126600672327569</v>
      </c>
    </row>
    <row r="806" spans="1:17" x14ac:dyDescent="0.2">
      <c r="A806" s="85"/>
      <c r="B806" s="53" t="s">
        <v>21</v>
      </c>
      <c r="C806" s="89"/>
      <c r="D806" s="48">
        <v>835</v>
      </c>
      <c r="E806" s="48">
        <v>2.456</v>
      </c>
      <c r="F806" s="48">
        <v>3.2639999999999998</v>
      </c>
      <c r="G806" s="48">
        <v>5.2439999999999998</v>
      </c>
      <c r="H806" s="48">
        <v>0.14583333000000001</v>
      </c>
      <c r="I806" s="48">
        <v>713.22916669999995</v>
      </c>
      <c r="J806" s="52" t="e">
        <v>#DIV/0!</v>
      </c>
    </row>
    <row r="807" spans="1:17" x14ac:dyDescent="0.2">
      <c r="A807" s="87"/>
      <c r="B807" s="56" t="s">
        <v>22</v>
      </c>
      <c r="C807" s="90"/>
      <c r="D807" s="57"/>
      <c r="E807" s="57">
        <v>2.4340000000000002</v>
      </c>
      <c r="F807" s="57">
        <v>3.1019999999999999</v>
      </c>
      <c r="G807" s="57">
        <v>5.1040000000000001</v>
      </c>
      <c r="H807" s="57">
        <v>0.13926499000000001</v>
      </c>
      <c r="I807" s="57">
        <v>0</v>
      </c>
      <c r="J807" s="49" t="e">
        <v>#DIV/0!</v>
      </c>
    </row>
    <row r="808" spans="1:17" x14ac:dyDescent="0.2">
      <c r="A808" s="91" t="s">
        <v>4</v>
      </c>
      <c r="B808" s="53" t="s">
        <v>20</v>
      </c>
      <c r="C808" s="92">
        <v>10</v>
      </c>
      <c r="D808" s="48"/>
      <c r="E808" s="48">
        <v>2.41</v>
      </c>
      <c r="F808" s="48">
        <v>3.2440000000000002</v>
      </c>
      <c r="G808" s="48">
        <v>5.2350000000000003</v>
      </c>
      <c r="H808" s="48">
        <v>0.12916153</v>
      </c>
      <c r="I808" s="48">
        <v>0</v>
      </c>
      <c r="J808" s="52">
        <v>0</v>
      </c>
      <c r="L808">
        <f>(G808+G809+G810)/3</f>
        <v>5.2569999999999997</v>
      </c>
      <c r="M808">
        <f>(F808+F809+F810)/3</f>
        <v>3.2810000000000001</v>
      </c>
      <c r="N808">
        <f>(L808-M808)/M808</f>
        <v>0.60225540993599491</v>
      </c>
      <c r="O808">
        <f>(D809/(1+N808))</f>
        <v>496.79969564390342</v>
      </c>
      <c r="P808">
        <f>PI()*$G$3^2*C808</f>
        <v>456.03673118774793</v>
      </c>
      <c r="Q808">
        <f>O808/P808</f>
        <v>1.0893852658534506</v>
      </c>
    </row>
    <row r="809" spans="1:17" x14ac:dyDescent="0.2">
      <c r="A809" s="85"/>
      <c r="B809" s="53" t="s">
        <v>21</v>
      </c>
      <c r="C809" s="89"/>
      <c r="D809" s="48">
        <v>796</v>
      </c>
      <c r="E809" s="48">
        <v>2.4500000000000002</v>
      </c>
      <c r="F809" s="48">
        <v>3.1909999999999998</v>
      </c>
      <c r="G809" s="48">
        <v>5.18</v>
      </c>
      <c r="H809" s="48">
        <v>0.14446882</v>
      </c>
      <c r="I809" s="48">
        <v>681.00282040000002</v>
      </c>
      <c r="J809" s="52" t="e">
        <v>#DIV/0!</v>
      </c>
    </row>
    <row r="810" spans="1:17" x14ac:dyDescent="0.2">
      <c r="A810" s="87"/>
      <c r="B810" s="56" t="s">
        <v>22</v>
      </c>
      <c r="C810" s="90"/>
      <c r="D810" s="57"/>
      <c r="E810" s="57">
        <v>2.4329999999999998</v>
      </c>
      <c r="F810" s="57">
        <v>3.4079999999999999</v>
      </c>
      <c r="G810" s="57">
        <v>5.3559999999999999</v>
      </c>
      <c r="H810" s="57">
        <v>0.14231220999999999</v>
      </c>
      <c r="I810" s="57">
        <v>0</v>
      </c>
      <c r="J810" s="49" t="e">
        <v>#DIV/0!</v>
      </c>
    </row>
    <row r="811" spans="1:17" x14ac:dyDescent="0.2">
      <c r="A811" s="91" t="s">
        <v>5</v>
      </c>
      <c r="B811" s="53" t="s">
        <v>20</v>
      </c>
      <c r="C811" s="92">
        <v>10</v>
      </c>
      <c r="D811" s="48"/>
      <c r="E811" s="48">
        <v>2.444</v>
      </c>
      <c r="F811" s="48">
        <v>3.161</v>
      </c>
      <c r="G811" s="48">
        <v>5.2149999999999999</v>
      </c>
      <c r="H811" s="48">
        <v>0.12337868</v>
      </c>
      <c r="I811" s="48">
        <v>0</v>
      </c>
      <c r="J811" s="52">
        <v>0</v>
      </c>
      <c r="L811">
        <f>(G811+G812+G813)/3</f>
        <v>5.3150000000000004</v>
      </c>
      <c r="M811">
        <f>(F811+F812+F813)/3</f>
        <v>3.2876666666666665</v>
      </c>
      <c r="N811">
        <f>(L811-M811)/M811</f>
        <v>0.61664807867788729</v>
      </c>
      <c r="O811">
        <f>(D812/(1+N811))</f>
        <v>486.80972091564746</v>
      </c>
      <c r="P811">
        <f>PI()*$G$3^2*C811</f>
        <v>456.03673118774793</v>
      </c>
      <c r="Q811">
        <f>O811/P811</f>
        <v>1.0674791910900494</v>
      </c>
    </row>
    <row r="812" spans="1:17" x14ac:dyDescent="0.2">
      <c r="A812" s="85"/>
      <c r="B812" s="53" t="s">
        <v>21</v>
      </c>
      <c r="C812" s="89"/>
      <c r="D812" s="48">
        <v>787</v>
      </c>
      <c r="E812" s="48">
        <v>2.4580000000000002</v>
      </c>
      <c r="F812" s="48">
        <v>3.286</v>
      </c>
      <c r="G812" s="48">
        <v>5.3230000000000004</v>
      </c>
      <c r="H812" s="48">
        <v>0.12811929</v>
      </c>
      <c r="I812" s="48">
        <v>686.17011560000003</v>
      </c>
      <c r="J812" s="52" t="e">
        <v>#DIV/0!</v>
      </c>
    </row>
    <row r="813" spans="1:17" x14ac:dyDescent="0.2">
      <c r="A813" s="87"/>
      <c r="B813" s="56" t="s">
        <v>22</v>
      </c>
      <c r="C813" s="90"/>
      <c r="D813" s="57"/>
      <c r="E813" s="57">
        <v>2.431</v>
      </c>
      <c r="F813" s="57">
        <v>3.4159999999999999</v>
      </c>
      <c r="G813" s="57">
        <v>5.407</v>
      </c>
      <c r="H813" s="57">
        <v>0.12880562000000001</v>
      </c>
      <c r="I813" s="57">
        <v>0</v>
      </c>
      <c r="J813" s="49" t="e">
        <v>#DIV/0!</v>
      </c>
    </row>
    <row r="814" spans="1:17" x14ac:dyDescent="0.2">
      <c r="A814" s="91" t="s">
        <v>6</v>
      </c>
      <c r="B814" s="53" t="s">
        <v>20</v>
      </c>
      <c r="C814" s="92">
        <v>10</v>
      </c>
      <c r="D814" s="48"/>
      <c r="E814" s="48">
        <v>2.4510000000000001</v>
      </c>
      <c r="F814" s="48">
        <v>3.327</v>
      </c>
      <c r="G814" s="48">
        <v>5.3120000000000003</v>
      </c>
      <c r="H814" s="48">
        <v>0.14006613000000001</v>
      </c>
      <c r="I814" s="48">
        <v>0</v>
      </c>
      <c r="J814" s="52">
        <v>0</v>
      </c>
      <c r="L814">
        <f>(G814+G815+G816)/3</f>
        <v>5.3196666666666665</v>
      </c>
      <c r="M814">
        <f>(F814+F815+F816)/3</f>
        <v>3.3473333333333333</v>
      </c>
      <c r="N814">
        <f>(L814-M814)/M814</f>
        <v>0.58922525393347935</v>
      </c>
      <c r="O814">
        <f>(D815/(1+N814))</f>
        <v>491.43442571589696</v>
      </c>
      <c r="P814">
        <f>PI()*$G$3^2*C814</f>
        <v>456.03673118774793</v>
      </c>
      <c r="Q814">
        <f>O814/P814</f>
        <v>1.0776202707092382</v>
      </c>
    </row>
    <row r="815" spans="1:17" x14ac:dyDescent="0.2">
      <c r="A815" s="85"/>
      <c r="B815" s="53" t="s">
        <v>21</v>
      </c>
      <c r="C815" s="89"/>
      <c r="D815" s="48">
        <v>781</v>
      </c>
      <c r="E815" s="48">
        <v>2.4359999999999999</v>
      </c>
      <c r="F815" s="48">
        <v>3.61</v>
      </c>
      <c r="G815" s="48">
        <v>5.5250000000000004</v>
      </c>
      <c r="H815" s="48">
        <v>0.14432133</v>
      </c>
      <c r="I815" s="48">
        <v>668.2850416</v>
      </c>
      <c r="J815" s="52" t="e">
        <v>#DIV/0!</v>
      </c>
    </row>
    <row r="816" spans="1:17" x14ac:dyDescent="0.2">
      <c r="A816" s="87"/>
      <c r="B816" s="56" t="s">
        <v>22</v>
      </c>
      <c r="C816" s="90"/>
      <c r="D816" s="57"/>
      <c r="E816" s="57">
        <v>2.4340000000000002</v>
      </c>
      <c r="F816" s="57">
        <v>3.105</v>
      </c>
      <c r="G816" s="57">
        <v>5.1219999999999999</v>
      </c>
      <c r="H816" s="57">
        <v>0.13429952000000001</v>
      </c>
      <c r="I816" s="57">
        <v>0</v>
      </c>
      <c r="J816" s="49" t="e">
        <v>#DIV/0!</v>
      </c>
    </row>
    <row r="817" spans="1:17" x14ac:dyDescent="0.2">
      <c r="A817" s="91" t="s">
        <v>7</v>
      </c>
      <c r="B817" s="53" t="s">
        <v>20</v>
      </c>
      <c r="C817" s="92">
        <v>10</v>
      </c>
      <c r="D817" s="48"/>
      <c r="E817" s="48">
        <v>2.492</v>
      </c>
      <c r="F817" s="48">
        <v>3.8090000000000002</v>
      </c>
      <c r="G817" s="48">
        <v>5.766</v>
      </c>
      <c r="H817" s="48">
        <v>0.14045680999999999</v>
      </c>
      <c r="I817" s="48">
        <v>0</v>
      </c>
      <c r="J817" s="52">
        <v>0</v>
      </c>
      <c r="L817">
        <f>(G817+G818+G819)/3</f>
        <v>5.4713333333333338</v>
      </c>
      <c r="M817">
        <f>(F817+F818+F819)/3</f>
        <v>3.4943333333333335</v>
      </c>
      <c r="N817">
        <f>(L817-M817)/M817</f>
        <v>0.56577315653915872</v>
      </c>
      <c r="O817">
        <f>(D818/(1+N817))</f>
        <v>481.55123674911664</v>
      </c>
      <c r="P817">
        <f>PI()*$G$3^2*C817</f>
        <v>456.03673118774793</v>
      </c>
      <c r="Q817">
        <f>O817/P817</f>
        <v>1.0559483563854959</v>
      </c>
    </row>
    <row r="818" spans="1:17" x14ac:dyDescent="0.2">
      <c r="A818" s="85"/>
      <c r="B818" s="53" t="s">
        <v>21</v>
      </c>
      <c r="C818" s="89"/>
      <c r="D818" s="48">
        <v>754</v>
      </c>
      <c r="E818" s="48">
        <v>2.4260000000000002</v>
      </c>
      <c r="F818" s="48">
        <v>3.5259999999999998</v>
      </c>
      <c r="G818" s="48">
        <v>5.4470000000000001</v>
      </c>
      <c r="H818" s="48">
        <v>0.14322177999999999</v>
      </c>
      <c r="I818" s="48">
        <v>646.01077710000004</v>
      </c>
      <c r="J818" s="52" t="e">
        <v>#DIV/0!</v>
      </c>
    </row>
    <row r="819" spans="1:17" x14ac:dyDescent="0.2">
      <c r="A819" s="87"/>
      <c r="B819" s="56" t="s">
        <v>22</v>
      </c>
      <c r="C819" s="90"/>
      <c r="D819" s="57"/>
      <c r="E819" s="57">
        <v>2.4700000000000002</v>
      </c>
      <c r="F819" s="57">
        <v>3.1480000000000001</v>
      </c>
      <c r="G819" s="57">
        <v>5.2009999999999996</v>
      </c>
      <c r="H819" s="57">
        <v>0.13246506</v>
      </c>
      <c r="I819" s="57">
        <v>0</v>
      </c>
      <c r="J819" s="49" t="e">
        <v>#DIV/0!</v>
      </c>
    </row>
    <row r="820" spans="1:17" x14ac:dyDescent="0.2">
      <c r="A820" s="91" t="s">
        <v>8</v>
      </c>
      <c r="B820" s="53" t="s">
        <v>20</v>
      </c>
      <c r="C820" s="92">
        <v>10</v>
      </c>
      <c r="D820" s="48"/>
      <c r="E820" s="48">
        <v>2.3959999999999999</v>
      </c>
      <c r="F820" s="48">
        <v>3.8380000000000001</v>
      </c>
      <c r="G820" s="48">
        <v>5.6970000000000001</v>
      </c>
      <c r="H820" s="48">
        <v>0.13991661999999999</v>
      </c>
      <c r="I820" s="48">
        <v>0</v>
      </c>
      <c r="J820" s="52">
        <v>0</v>
      </c>
      <c r="L820">
        <f>(G820+G821+G822)/3</f>
        <v>5.4033333333333333</v>
      </c>
      <c r="M820">
        <f>(F820+F821+F822)/3</f>
        <v>3.4573333333333331</v>
      </c>
      <c r="N820">
        <f>(L820-M820)/M820</f>
        <v>0.56286155032780572</v>
      </c>
      <c r="O820">
        <f>(D821/(1+N820))</f>
        <v>479.24910549043796</v>
      </c>
      <c r="P820">
        <f>PI()*$G$3^2*C820</f>
        <v>456.03673118774793</v>
      </c>
      <c r="Q820">
        <f>O820/P820</f>
        <v>1.0509002295543901</v>
      </c>
    </row>
    <row r="821" spans="1:17" x14ac:dyDescent="0.2">
      <c r="A821" s="85"/>
      <c r="B821" s="53" t="s">
        <v>21</v>
      </c>
      <c r="C821" s="89"/>
      <c r="D821" s="48">
        <v>749</v>
      </c>
      <c r="E821" s="48">
        <v>2.419</v>
      </c>
      <c r="F821" s="48">
        <v>3.226</v>
      </c>
      <c r="G821" s="48">
        <v>5.1989999999999998</v>
      </c>
      <c r="H821" s="48">
        <v>0.13825170000000001</v>
      </c>
      <c r="I821" s="48">
        <v>645.44947300000001</v>
      </c>
      <c r="J821" s="52" t="e">
        <v>#DIV/0!</v>
      </c>
    </row>
    <row r="822" spans="1:17" x14ac:dyDescent="0.2">
      <c r="A822" s="87"/>
      <c r="B822" s="56" t="s">
        <v>22</v>
      </c>
      <c r="C822" s="90"/>
      <c r="D822" s="57"/>
      <c r="E822" s="57">
        <v>2.4510000000000001</v>
      </c>
      <c r="F822" s="57">
        <v>3.3079999999999998</v>
      </c>
      <c r="G822" s="57">
        <v>5.3140000000000001</v>
      </c>
      <c r="H822" s="57">
        <v>0.13452237</v>
      </c>
      <c r="I822" s="57">
        <v>0</v>
      </c>
      <c r="J822" s="49" t="e">
        <v>#DIV/0!</v>
      </c>
    </row>
    <row r="823" spans="1:17" x14ac:dyDescent="0.2">
      <c r="A823" s="91" t="s">
        <v>9</v>
      </c>
      <c r="B823" s="53" t="s">
        <v>20</v>
      </c>
      <c r="C823" s="92">
        <v>10</v>
      </c>
      <c r="D823" s="48"/>
      <c r="E823" s="48">
        <v>2.4180000000000001</v>
      </c>
      <c r="F823" s="48">
        <v>3.4369999999999998</v>
      </c>
      <c r="G823" s="48">
        <v>5.44</v>
      </c>
      <c r="H823" s="48">
        <v>0.12074484000000001</v>
      </c>
      <c r="I823" s="48">
        <v>0</v>
      </c>
      <c r="J823" s="52">
        <v>0</v>
      </c>
      <c r="L823">
        <f>(G823+G824+G825)/3</f>
        <v>5.4813333333333327</v>
      </c>
      <c r="M823">
        <f>(F823+F824+F825)/3</f>
        <v>3.4316666666666666</v>
      </c>
      <c r="N823">
        <f>(L823-M823)/M823</f>
        <v>0.59728023312287504</v>
      </c>
      <c r="O823">
        <f>(D824/(1+N823))</f>
        <v>522.76362198978359</v>
      </c>
      <c r="P823">
        <f>PI()*$G$3^2*C823</f>
        <v>456.03673118774793</v>
      </c>
      <c r="Q823">
        <f>O823/P823</f>
        <v>1.1463191147525451</v>
      </c>
    </row>
    <row r="824" spans="1:17" x14ac:dyDescent="0.2">
      <c r="A824" s="85"/>
      <c r="B824" s="53" t="s">
        <v>21</v>
      </c>
      <c r="C824" s="89"/>
      <c r="D824" s="48">
        <v>835</v>
      </c>
      <c r="E824" s="48">
        <v>2.4630000000000001</v>
      </c>
      <c r="F824" s="48">
        <v>3.621</v>
      </c>
      <c r="G824" s="48">
        <v>5.6719999999999997</v>
      </c>
      <c r="H824" s="48">
        <v>0.11378072</v>
      </c>
      <c r="I824" s="48">
        <v>739.99309579999999</v>
      </c>
      <c r="J824" s="52" t="e">
        <v>#DIV/0!</v>
      </c>
    </row>
    <row r="825" spans="1:17" x14ac:dyDescent="0.2">
      <c r="A825" s="87"/>
      <c r="B825" s="56" t="s">
        <v>22</v>
      </c>
      <c r="C825" s="90"/>
      <c r="D825" s="57"/>
      <c r="E825" s="57">
        <v>0.48499999999999999</v>
      </c>
      <c r="F825" s="57">
        <v>3.2370000000000001</v>
      </c>
      <c r="G825" s="57">
        <v>5.3319999999999999</v>
      </c>
      <c r="H825" s="57">
        <v>-0.49737409999999999</v>
      </c>
      <c r="I825" s="57">
        <v>0</v>
      </c>
      <c r="J825" s="49" t="e">
        <v>#DIV/0!</v>
      </c>
    </row>
    <row r="826" spans="1:17" x14ac:dyDescent="0.2">
      <c r="A826" s="91" t="s">
        <v>10</v>
      </c>
      <c r="B826" s="53" t="s">
        <v>20</v>
      </c>
      <c r="C826" s="92">
        <v>10</v>
      </c>
      <c r="D826" s="48"/>
      <c r="E826" s="48">
        <v>2.4350000000000001</v>
      </c>
      <c r="F826" s="48">
        <v>3.093</v>
      </c>
      <c r="G826" s="48">
        <v>5.1820000000000004</v>
      </c>
      <c r="H826" s="48">
        <v>0.11186550000000001</v>
      </c>
      <c r="I826" s="48">
        <v>0</v>
      </c>
      <c r="J826" s="52">
        <v>0</v>
      </c>
      <c r="L826">
        <f>(G826+G828)/2</f>
        <v>5.1870000000000003</v>
      </c>
      <c r="M826">
        <f>(F826+F827+F828)/3</f>
        <v>3.1473333333333335</v>
      </c>
      <c r="N826">
        <f>(L826-M826)/M826</f>
        <v>0.64806185130269012</v>
      </c>
      <c r="O826">
        <f>(D827/(1+N826))</f>
        <v>493.30672835935991</v>
      </c>
      <c r="P826">
        <f>PI()*$G$3^2*C826</f>
        <v>456.03673118774793</v>
      </c>
      <c r="Q826">
        <f>O826/P826</f>
        <v>1.0817258668496774</v>
      </c>
    </row>
    <row r="827" spans="1:17" x14ac:dyDescent="0.2">
      <c r="A827" s="85"/>
      <c r="B827" s="53" t="s">
        <v>21</v>
      </c>
      <c r="C827" s="89"/>
      <c r="D827" s="48">
        <v>813</v>
      </c>
      <c r="E827" s="48">
        <v>2.4209999999999998</v>
      </c>
      <c r="F827" s="48">
        <v>3.2080000000000002</v>
      </c>
      <c r="G827" s="48" t="s">
        <v>44</v>
      </c>
      <c r="H827" s="48" t="e">
        <v>#VALUE!</v>
      </c>
      <c r="I827" s="48" t="e">
        <v>#VALUE!</v>
      </c>
      <c r="J827" s="52" t="e">
        <v>#VALUE!</v>
      </c>
    </row>
    <row r="828" spans="1:17" x14ac:dyDescent="0.2">
      <c r="A828" s="87"/>
      <c r="B828" s="56" t="s">
        <v>22</v>
      </c>
      <c r="C828" s="90"/>
      <c r="D828" s="57"/>
      <c r="E828" s="57">
        <v>2.4409999999999998</v>
      </c>
      <c r="F828" s="57">
        <v>3.141</v>
      </c>
      <c r="G828" s="57">
        <v>5.1920000000000002</v>
      </c>
      <c r="H828" s="57">
        <v>0.12416428</v>
      </c>
      <c r="I828" s="57">
        <v>0</v>
      </c>
      <c r="J828" s="49" t="e">
        <v>#DIV/0!</v>
      </c>
    </row>
    <row r="829" spans="1:17" x14ac:dyDescent="0.2">
      <c r="A829" s="91" t="s">
        <v>11</v>
      </c>
      <c r="B829" s="53" t="s">
        <v>20</v>
      </c>
      <c r="C829" s="92">
        <v>10</v>
      </c>
      <c r="D829" s="48"/>
      <c r="E829" s="48">
        <v>2.427</v>
      </c>
      <c r="F829" s="48">
        <v>3.036</v>
      </c>
      <c r="G829" s="48">
        <v>5.0890000000000004</v>
      </c>
      <c r="H829" s="48">
        <v>0.12318841</v>
      </c>
      <c r="I829" s="48">
        <v>0</v>
      </c>
      <c r="J829" s="52">
        <v>0</v>
      </c>
      <c r="L829">
        <f>(G829+G830+G831)/3</f>
        <v>5.248333333333334</v>
      </c>
      <c r="M829">
        <f>(F829+F830+F831)/3</f>
        <v>3.202666666666667</v>
      </c>
      <c r="N829">
        <f>(L829-M829)/M829</f>
        <v>0.63873855120732725</v>
      </c>
      <c r="O829">
        <f>(D830/(1+N829))</f>
        <v>535.77796125754207</v>
      </c>
      <c r="P829">
        <f>PI()*$G$3^2*C829</f>
        <v>456.03673118774793</v>
      </c>
      <c r="Q829">
        <f>O829/P829</f>
        <v>1.1748570336913609</v>
      </c>
    </row>
    <row r="830" spans="1:17" x14ac:dyDescent="0.2">
      <c r="A830" s="85"/>
      <c r="B830" s="53" t="s">
        <v>21</v>
      </c>
      <c r="C830" s="89"/>
      <c r="D830" s="48">
        <v>878</v>
      </c>
      <c r="E830" s="48">
        <v>2.4540000000000002</v>
      </c>
      <c r="F830" s="48">
        <v>3.4510000000000001</v>
      </c>
      <c r="G830" s="48">
        <v>5.4820000000000002</v>
      </c>
      <c r="H830" s="48">
        <v>0.12257317</v>
      </c>
      <c r="I830" s="48">
        <v>770.38075920000006</v>
      </c>
      <c r="J830" s="52" t="e">
        <v>#DIV/0!</v>
      </c>
    </row>
    <row r="831" spans="1:17" x14ac:dyDescent="0.2">
      <c r="A831" s="87"/>
      <c r="B831" s="56" t="s">
        <v>22</v>
      </c>
      <c r="C831" s="90"/>
      <c r="D831" s="57"/>
      <c r="E831" s="57">
        <v>2.4420000000000002</v>
      </c>
      <c r="F831" s="57">
        <v>3.121</v>
      </c>
      <c r="G831" s="57">
        <v>5.1740000000000004</v>
      </c>
      <c r="H831" s="57">
        <v>0.12463953999999999</v>
      </c>
      <c r="I831" s="57">
        <v>0</v>
      </c>
      <c r="J831" s="49" t="e">
        <v>#DIV/0!</v>
      </c>
    </row>
    <row r="832" spans="1:17" x14ac:dyDescent="0.2">
      <c r="A832" s="91" t="s">
        <v>12</v>
      </c>
      <c r="B832" s="53" t="s">
        <v>20</v>
      </c>
      <c r="C832" s="92">
        <v>10</v>
      </c>
      <c r="D832" s="48"/>
      <c r="E832" s="48">
        <v>2.468</v>
      </c>
      <c r="F832" s="48">
        <v>3.3580000000000001</v>
      </c>
      <c r="G832" s="48">
        <v>5.4279999999999999</v>
      </c>
      <c r="H832" s="48">
        <v>0.11852293</v>
      </c>
      <c r="I832" s="48">
        <v>0</v>
      </c>
      <c r="J832" s="52">
        <v>0</v>
      </c>
      <c r="L832">
        <f>(G832+G833+G834)/3</f>
        <v>5.5460000000000003</v>
      </c>
      <c r="M832">
        <f>(F832+F833+F834)/3</f>
        <v>3.4816666666666669</v>
      </c>
      <c r="N832">
        <f>(L832-M832)/M832</f>
        <v>0.59291527046433701</v>
      </c>
      <c r="O832">
        <f>(D833/(1+N832))</f>
        <v>522.94055775934612</v>
      </c>
      <c r="P832">
        <f>PI()*$G$3^2*C832</f>
        <v>456.03673118774793</v>
      </c>
      <c r="Q832">
        <f>O832/P832</f>
        <v>1.1467071005384744</v>
      </c>
    </row>
    <row r="833" spans="1:17" x14ac:dyDescent="0.2">
      <c r="A833" s="85"/>
      <c r="B833" s="53" t="s">
        <v>21</v>
      </c>
      <c r="C833" s="89"/>
      <c r="D833" s="48">
        <v>833</v>
      </c>
      <c r="E833" s="48">
        <v>2.452</v>
      </c>
      <c r="F833" s="48">
        <v>3.4780000000000002</v>
      </c>
      <c r="G833" s="48">
        <v>5.57</v>
      </c>
      <c r="H833" s="48">
        <v>0.10350776</v>
      </c>
      <c r="I833" s="48">
        <v>746.77803340000003</v>
      </c>
      <c r="J833" s="52" t="e">
        <v>#DIV/0!</v>
      </c>
    </row>
    <row r="834" spans="1:17" x14ac:dyDescent="0.2">
      <c r="A834" s="87"/>
      <c r="B834" s="56" t="s">
        <v>22</v>
      </c>
      <c r="C834" s="90"/>
      <c r="D834" s="57"/>
      <c r="E834" s="57">
        <v>2.4529999999999998</v>
      </c>
      <c r="F834" s="57">
        <v>3.609</v>
      </c>
      <c r="G834" s="57">
        <v>5.64</v>
      </c>
      <c r="H834" s="57">
        <v>0.1169299</v>
      </c>
      <c r="I834" s="57">
        <v>0</v>
      </c>
      <c r="J834" s="49" t="e">
        <v>#DIV/0!</v>
      </c>
    </row>
    <row r="835" spans="1:17" x14ac:dyDescent="0.2">
      <c r="A835" s="91" t="s">
        <v>13</v>
      </c>
      <c r="B835" s="53" t="s">
        <v>20</v>
      </c>
      <c r="C835" s="92">
        <v>10</v>
      </c>
      <c r="D835" s="48"/>
      <c r="E835" s="48">
        <v>2.4609999999999999</v>
      </c>
      <c r="F835" s="48">
        <v>3.2639999999999998</v>
      </c>
      <c r="G835" s="48">
        <v>5.391</v>
      </c>
      <c r="H835" s="48">
        <v>0.10232843</v>
      </c>
      <c r="I835" s="48">
        <v>0</v>
      </c>
      <c r="J835" s="52">
        <v>0</v>
      </c>
      <c r="L835">
        <f>(G835+G836+G837)/3</f>
        <v>5.6926666666666668</v>
      </c>
      <c r="M835">
        <f>(F835+F836+F837)/3</f>
        <v>3.6196666666666659</v>
      </c>
      <c r="N835">
        <f>(L835-M835)/M835</f>
        <v>0.57270466893820826</v>
      </c>
      <c r="O835">
        <f>(D836/(1+N835))</f>
        <v>353.53109263379781</v>
      </c>
      <c r="P835">
        <f>PI()*$G$3^2*C835</f>
        <v>456.03673118774793</v>
      </c>
      <c r="Q835">
        <f>O835/P835</f>
        <v>0.77522503880997895</v>
      </c>
    </row>
    <row r="836" spans="1:17" x14ac:dyDescent="0.2">
      <c r="A836" s="85"/>
      <c r="B836" s="53" t="s">
        <v>21</v>
      </c>
      <c r="C836" s="89"/>
      <c r="D836" s="48">
        <v>556</v>
      </c>
      <c r="E836" s="48">
        <v>2.4550000000000001</v>
      </c>
      <c r="F836" s="48">
        <v>3.7149999999999999</v>
      </c>
      <c r="G836" s="48">
        <v>5.7939999999999996</v>
      </c>
      <c r="H836" s="48">
        <v>0.10121131</v>
      </c>
      <c r="I836" s="48">
        <v>499.72651409999997</v>
      </c>
      <c r="J836" s="52" t="e">
        <v>#DIV/0!</v>
      </c>
    </row>
    <row r="837" spans="1:17" x14ac:dyDescent="0.2">
      <c r="A837" s="87"/>
      <c r="B837" s="56" t="s">
        <v>22</v>
      </c>
      <c r="C837" s="90"/>
      <c r="D837" s="57"/>
      <c r="E837" s="57">
        <v>2.4430000000000001</v>
      </c>
      <c r="F837" s="57">
        <v>3.88</v>
      </c>
      <c r="G837" s="57">
        <v>5.8929999999999998</v>
      </c>
      <c r="H837" s="57">
        <v>0.11082474</v>
      </c>
      <c r="I837" s="57">
        <v>0</v>
      </c>
      <c r="J837" s="49" t="e">
        <v>#DIV/0!</v>
      </c>
    </row>
    <row r="838" spans="1:17" x14ac:dyDescent="0.2">
      <c r="A838" s="91" t="s">
        <v>14</v>
      </c>
      <c r="B838" s="53" t="s">
        <v>20</v>
      </c>
      <c r="C838" s="92">
        <v>10</v>
      </c>
      <c r="D838" s="48"/>
      <c r="E838" s="48"/>
      <c r="F838" s="48"/>
      <c r="G838" s="48"/>
      <c r="H838" s="48" t="e">
        <v>#DIV/0!</v>
      </c>
      <c r="I838" s="48" t="e">
        <v>#DIV/0!</v>
      </c>
      <c r="J838" s="52" t="e">
        <v>#DIV/0!</v>
      </c>
    </row>
    <row r="839" spans="1:17" x14ac:dyDescent="0.2">
      <c r="A839" s="85"/>
      <c r="B839" s="53" t="s">
        <v>21</v>
      </c>
      <c r="C839" s="89"/>
      <c r="D839" s="48"/>
      <c r="E839" s="48"/>
      <c r="F839" s="48"/>
      <c r="G839" s="48"/>
      <c r="H839" s="48" t="e">
        <v>#DIV/0!</v>
      </c>
      <c r="I839" s="48" t="e">
        <v>#DIV/0!</v>
      </c>
      <c r="J839" s="52" t="e">
        <v>#DIV/0!</v>
      </c>
    </row>
    <row r="840" spans="1:17" ht="16" thickBot="1" x14ac:dyDescent="0.25">
      <c r="A840" s="93"/>
      <c r="B840" s="58" t="s">
        <v>22</v>
      </c>
      <c r="C840" s="94"/>
      <c r="D840" s="59"/>
      <c r="E840" s="59"/>
      <c r="F840" s="59"/>
      <c r="G840" s="59"/>
      <c r="H840" s="59" t="e">
        <v>#DIV/0!</v>
      </c>
      <c r="I840" s="59" t="e">
        <v>#DIV/0!</v>
      </c>
      <c r="J840" s="50" t="e">
        <v>#DIV/0!</v>
      </c>
    </row>
    <row r="841" spans="1:17" ht="16" thickBot="1" x14ac:dyDescent="0.25">
      <c r="A841" s="60" t="s">
        <v>1</v>
      </c>
      <c r="B841" s="61"/>
      <c r="C841" s="62"/>
      <c r="D841" s="63" t="s">
        <v>43</v>
      </c>
      <c r="E841" s="64"/>
      <c r="F841" s="58" t="s">
        <v>0</v>
      </c>
      <c r="G841" s="18">
        <v>44159</v>
      </c>
      <c r="H841" s="65" t="s">
        <v>24</v>
      </c>
      <c r="I841" s="66"/>
      <c r="J841" s="49">
        <v>110</v>
      </c>
    </row>
    <row r="842" spans="1:17" ht="16" thickBot="1" x14ac:dyDescent="0.25">
      <c r="A842" s="67" t="s">
        <v>2</v>
      </c>
      <c r="B842" s="68"/>
      <c r="C842" s="69"/>
      <c r="D842" s="70"/>
      <c r="E842" s="71"/>
      <c r="F842" s="72"/>
      <c r="G842" s="73"/>
      <c r="H842" s="74" t="s">
        <v>25</v>
      </c>
      <c r="I842" s="75"/>
      <c r="J842" s="49">
        <v>27</v>
      </c>
    </row>
    <row r="843" spans="1:17" ht="16" thickBot="1" x14ac:dyDescent="0.25">
      <c r="A843" s="76" t="s">
        <v>27</v>
      </c>
      <c r="B843" s="77"/>
      <c r="C843" s="78"/>
      <c r="D843" s="79" t="s">
        <v>32</v>
      </c>
      <c r="E843" s="80"/>
      <c r="F843" s="48" t="s">
        <v>30</v>
      </c>
      <c r="G843" s="48">
        <v>3.81</v>
      </c>
      <c r="H843" s="81" t="s">
        <v>26</v>
      </c>
      <c r="I843" s="82"/>
      <c r="J843" s="50">
        <v>69</v>
      </c>
    </row>
    <row r="844" spans="1:17" x14ac:dyDescent="0.2">
      <c r="A844" s="83"/>
      <c r="B844" s="84"/>
      <c r="C844" s="51" t="s">
        <v>29</v>
      </c>
      <c r="D844" s="51" t="s">
        <v>19</v>
      </c>
      <c r="E844" s="51" t="s">
        <v>15</v>
      </c>
      <c r="F844" s="51" t="s">
        <v>18</v>
      </c>
      <c r="G844" s="51" t="s">
        <v>17</v>
      </c>
      <c r="H844" s="48" t="s">
        <v>28</v>
      </c>
      <c r="I844" s="48" t="s">
        <v>16</v>
      </c>
      <c r="J844" s="52" t="s">
        <v>23</v>
      </c>
    </row>
    <row r="845" spans="1:17" x14ac:dyDescent="0.2">
      <c r="A845" s="86" t="s">
        <v>3</v>
      </c>
      <c r="B845" s="53" t="s">
        <v>20</v>
      </c>
      <c r="C845" s="88">
        <v>10</v>
      </c>
      <c r="D845" s="54"/>
      <c r="E845" s="54">
        <v>2.4409999999999998</v>
      </c>
      <c r="F845" s="54">
        <v>3.4820000000000002</v>
      </c>
      <c r="G845" s="54">
        <v>5.3380000000000001</v>
      </c>
      <c r="H845" s="54">
        <v>0.16800688999999999</v>
      </c>
      <c r="I845" s="54">
        <v>0</v>
      </c>
      <c r="J845" s="55">
        <v>0</v>
      </c>
      <c r="L845">
        <f>(G845+G846+G847)/3</f>
        <v>5.3613333333333335</v>
      </c>
      <c r="M845">
        <f>(F845+F846+F847)/3</f>
        <v>3.52</v>
      </c>
      <c r="N845">
        <f>(L845-M845)/M845</f>
        <v>0.52310606060606069</v>
      </c>
      <c r="O845">
        <f>(D846/(1+N845))</f>
        <v>496.35414076100471</v>
      </c>
      <c r="P845">
        <f>PI()*$G$3^2*C845</f>
        <v>456.03673118774793</v>
      </c>
      <c r="Q845">
        <f>O845/P845</f>
        <v>1.0884082505114228</v>
      </c>
    </row>
    <row r="846" spans="1:17" x14ac:dyDescent="0.2">
      <c r="A846" s="85"/>
      <c r="B846" s="53" t="s">
        <v>21</v>
      </c>
      <c r="C846" s="89"/>
      <c r="D846" s="48">
        <v>756</v>
      </c>
      <c r="E846" s="48">
        <v>5.452</v>
      </c>
      <c r="F846" s="48">
        <v>3.7530000000000001</v>
      </c>
      <c r="G846" s="48">
        <v>5.5460000000000003</v>
      </c>
      <c r="H846" s="48">
        <v>0.97495337000000004</v>
      </c>
      <c r="I846" s="48">
        <v>18.9352518</v>
      </c>
      <c r="J846" s="52" t="e">
        <v>#DIV/0!</v>
      </c>
    </row>
    <row r="847" spans="1:17" x14ac:dyDescent="0.2">
      <c r="A847" s="87"/>
      <c r="B847" s="56" t="s">
        <v>22</v>
      </c>
      <c r="C847" s="90"/>
      <c r="D847" s="57"/>
      <c r="E847" s="57">
        <v>2.448</v>
      </c>
      <c r="F847" s="57">
        <v>3.3250000000000002</v>
      </c>
      <c r="G847" s="57">
        <v>5.2</v>
      </c>
      <c r="H847" s="57">
        <v>0.17233082999999999</v>
      </c>
      <c r="I847" s="57">
        <v>0</v>
      </c>
      <c r="J847" s="49" t="e">
        <v>#DIV/0!</v>
      </c>
    </row>
    <row r="848" spans="1:17" x14ac:dyDescent="0.2">
      <c r="A848" s="91" t="s">
        <v>4</v>
      </c>
      <c r="B848" s="53" t="s">
        <v>20</v>
      </c>
      <c r="C848" s="92">
        <v>10</v>
      </c>
      <c r="D848" s="48"/>
      <c r="E848" s="48">
        <v>2.4329999999999998</v>
      </c>
      <c r="F848" s="48">
        <v>3.528</v>
      </c>
      <c r="G848" s="48">
        <v>5.359</v>
      </c>
      <c r="H848" s="48">
        <v>0.17063492</v>
      </c>
      <c r="I848" s="48">
        <v>0</v>
      </c>
      <c r="J848" s="52">
        <v>0</v>
      </c>
      <c r="L848">
        <f>(G848+G849+G850)/3</f>
        <v>5.2443333333333326</v>
      </c>
      <c r="M848">
        <f>(F848+F849+F850)/3</f>
        <v>3.3786666666666663</v>
      </c>
      <c r="N848">
        <f>(L848-M848)/M848</f>
        <v>0.55219021310181526</v>
      </c>
      <c r="O848">
        <f>(D849/(1+N848))</f>
        <v>485.12095595245665</v>
      </c>
      <c r="P848">
        <f>PI()*$G$3^2*C848</f>
        <v>456.03673118774793</v>
      </c>
      <c r="Q848">
        <f>O848/P848</f>
        <v>1.0637760574437916</v>
      </c>
    </row>
    <row r="849" spans="1:17" x14ac:dyDescent="0.2">
      <c r="A849" s="85"/>
      <c r="B849" s="53" t="s">
        <v>21</v>
      </c>
      <c r="C849" s="89"/>
      <c r="D849" s="48">
        <v>753</v>
      </c>
      <c r="E849" s="48">
        <v>2.4350000000000001</v>
      </c>
      <c r="F849" s="48">
        <v>3.1629999999999998</v>
      </c>
      <c r="G849" s="48">
        <v>5.0789999999999997</v>
      </c>
      <c r="H849" s="48">
        <v>0.16408473000000001</v>
      </c>
      <c r="I849" s="48">
        <v>629.44419849999997</v>
      </c>
      <c r="J849" s="52" t="e">
        <v>#DIV/0!</v>
      </c>
    </row>
    <row r="850" spans="1:17" x14ac:dyDescent="0.2">
      <c r="A850" s="87"/>
      <c r="B850" s="56" t="s">
        <v>22</v>
      </c>
      <c r="C850" s="90"/>
      <c r="D850" s="57"/>
      <c r="E850" s="57">
        <v>2.431</v>
      </c>
      <c r="F850" s="57">
        <v>3.4449999999999998</v>
      </c>
      <c r="G850" s="57">
        <v>5.2949999999999999</v>
      </c>
      <c r="H850" s="57">
        <v>0.16865021999999999</v>
      </c>
      <c r="I850" s="57">
        <v>0</v>
      </c>
      <c r="J850" s="49" t="e">
        <v>#DIV/0!</v>
      </c>
    </row>
    <row r="851" spans="1:17" x14ac:dyDescent="0.2">
      <c r="A851" s="91" t="s">
        <v>5</v>
      </c>
      <c r="B851" s="53" t="s">
        <v>20</v>
      </c>
      <c r="C851" s="92">
        <v>10</v>
      </c>
      <c r="D851" s="48"/>
      <c r="E851" s="48">
        <v>2.4510000000000001</v>
      </c>
      <c r="F851" s="48">
        <v>3.2080000000000002</v>
      </c>
      <c r="G851" s="48">
        <v>5.19</v>
      </c>
      <c r="H851" s="48">
        <v>0.14619700999999999</v>
      </c>
      <c r="I851" s="48">
        <v>0</v>
      </c>
      <c r="J851" s="52">
        <v>0</v>
      </c>
      <c r="L851">
        <f>(G851+G852+G853)/3</f>
        <v>5.198666666666667</v>
      </c>
      <c r="M851">
        <f>(F851+F852+F853)/3</f>
        <v>3.2433333333333336</v>
      </c>
      <c r="N851">
        <f>(L851-M851)/M851</f>
        <v>0.60287769784172662</v>
      </c>
      <c r="O851">
        <f>(D852/(1+N851))</f>
        <v>477.89048473967688</v>
      </c>
      <c r="P851">
        <f>PI()*$G$3^2*C851</f>
        <v>456.03673118774793</v>
      </c>
      <c r="Q851">
        <f>O851/P851</f>
        <v>1.0479210380598309</v>
      </c>
    </row>
    <row r="852" spans="1:17" x14ac:dyDescent="0.2">
      <c r="A852" s="85"/>
      <c r="B852" s="53" t="s">
        <v>21</v>
      </c>
      <c r="C852" s="89"/>
      <c r="D852" s="48">
        <v>766</v>
      </c>
      <c r="E852" s="48">
        <v>2.4609999999999999</v>
      </c>
      <c r="F852" s="48">
        <v>3.206</v>
      </c>
      <c r="G852" s="48">
        <v>5.16</v>
      </c>
      <c r="H852" s="48">
        <v>0.15814099000000001</v>
      </c>
      <c r="I852" s="48">
        <v>644.86400500000002</v>
      </c>
      <c r="J852" s="52" t="e">
        <v>#DIV/0!</v>
      </c>
    </row>
    <row r="853" spans="1:17" x14ac:dyDescent="0.2">
      <c r="A853" s="87"/>
      <c r="B853" s="56" t="s">
        <v>22</v>
      </c>
      <c r="C853" s="90"/>
      <c r="D853" s="57"/>
      <c r="E853" s="57">
        <v>2.4500000000000002</v>
      </c>
      <c r="F853" s="57">
        <v>3.3159999999999998</v>
      </c>
      <c r="G853" s="57">
        <v>5.2460000000000004</v>
      </c>
      <c r="H853" s="57">
        <v>0.15681544</v>
      </c>
      <c r="I853" s="57">
        <v>0</v>
      </c>
      <c r="J853" s="49" t="e">
        <v>#DIV/0!</v>
      </c>
    </row>
    <row r="854" spans="1:17" x14ac:dyDescent="0.2">
      <c r="A854" s="91" t="s">
        <v>6</v>
      </c>
      <c r="B854" s="53" t="s">
        <v>20</v>
      </c>
      <c r="C854" s="92">
        <v>10</v>
      </c>
      <c r="D854" s="48"/>
      <c r="E854" s="48">
        <v>2.4489999999999998</v>
      </c>
      <c r="F854" s="48">
        <v>3.137</v>
      </c>
      <c r="G854" s="48">
        <v>2.1339999999999999</v>
      </c>
      <c r="H854" s="48">
        <v>1.10041441</v>
      </c>
      <c r="I854" s="48">
        <v>0</v>
      </c>
      <c r="J854" s="52">
        <v>0</v>
      </c>
      <c r="L854">
        <f>(G854+G855+G856)/3</f>
        <v>2.3346666666666667</v>
      </c>
      <c r="M854">
        <f>(F854+F855+F856)/3</f>
        <v>3.3893333333333331</v>
      </c>
      <c r="N854">
        <f>(L854-M854)/M854</f>
        <v>-0.31117230527143974</v>
      </c>
      <c r="O854">
        <f>(D855/(1+N854))</f>
        <v>1202.0422615648199</v>
      </c>
      <c r="P854">
        <f>PI()*$G$3^2*C854</f>
        <v>456.03673118774793</v>
      </c>
      <c r="Q854">
        <f>O854/P854</f>
        <v>2.6358452715729719</v>
      </c>
    </row>
    <row r="855" spans="1:17" x14ac:dyDescent="0.2">
      <c r="A855" s="85"/>
      <c r="B855" s="53" t="s">
        <v>21</v>
      </c>
      <c r="C855" s="89"/>
      <c r="D855" s="48">
        <v>828</v>
      </c>
      <c r="E855" s="48">
        <v>2.4369999999999998</v>
      </c>
      <c r="F855" s="48">
        <v>3.3</v>
      </c>
      <c r="G855" s="48">
        <v>2.2490000000000001</v>
      </c>
      <c r="H855" s="48">
        <v>1.0569697</v>
      </c>
      <c r="I855" s="48">
        <v>-47.170909090000002</v>
      </c>
      <c r="J855" s="52" t="e">
        <v>#DIV/0!</v>
      </c>
    </row>
    <row r="856" spans="1:17" x14ac:dyDescent="0.2">
      <c r="A856" s="87"/>
      <c r="B856" s="56" t="s">
        <v>22</v>
      </c>
      <c r="C856" s="90"/>
      <c r="D856" s="57"/>
      <c r="E856" s="57">
        <v>2.4359999999999999</v>
      </c>
      <c r="F856" s="57">
        <v>3.7309999999999999</v>
      </c>
      <c r="G856" s="57">
        <v>2.621</v>
      </c>
      <c r="H856" s="57">
        <v>0.95041544</v>
      </c>
      <c r="I856" s="57">
        <v>0</v>
      </c>
      <c r="J856" s="49" t="e">
        <v>#DIV/0!</v>
      </c>
    </row>
    <row r="857" spans="1:17" x14ac:dyDescent="0.2">
      <c r="A857" s="91" t="s">
        <v>7</v>
      </c>
      <c r="B857" s="53" t="s">
        <v>20</v>
      </c>
      <c r="C857" s="92">
        <v>10</v>
      </c>
      <c r="D857" s="48"/>
      <c r="E857" s="48">
        <v>2.4340000000000002</v>
      </c>
      <c r="F857" s="48">
        <v>3.0350000000000001</v>
      </c>
      <c r="G857" s="48">
        <v>2.0190000000000001</v>
      </c>
      <c r="H857" s="48">
        <v>1.1367380600000001</v>
      </c>
      <c r="I857" s="48">
        <v>0</v>
      </c>
      <c r="J857" s="52">
        <v>0</v>
      </c>
      <c r="L857">
        <f>(G857+G858+G859)/3</f>
        <v>3.4596666666666667</v>
      </c>
      <c r="M857">
        <f>(F857+F858+F859)/3</f>
        <v>3.1743333333333332</v>
      </c>
      <c r="N857">
        <f>(L857-M857)/M857</f>
        <v>8.9887640449438241E-2</v>
      </c>
      <c r="O857">
        <f>(D858/(1+N857))</f>
        <v>768.88659793814429</v>
      </c>
      <c r="P857">
        <f>PI()*$G$3^2*C857</f>
        <v>456.03673118774793</v>
      </c>
      <c r="Q857">
        <f>O857/P857</f>
        <v>1.6860190097748897</v>
      </c>
    </row>
    <row r="858" spans="1:17" x14ac:dyDescent="0.2">
      <c r="A858" s="85"/>
      <c r="B858" s="53" t="s">
        <v>21</v>
      </c>
      <c r="C858" s="89"/>
      <c r="D858" s="48">
        <v>838</v>
      </c>
      <c r="E858" s="48">
        <v>2.427</v>
      </c>
      <c r="F858" s="48">
        <v>3.024</v>
      </c>
      <c r="G858" s="48">
        <v>2.9780000000000002</v>
      </c>
      <c r="H858" s="48">
        <v>0.81779100999999998</v>
      </c>
      <c r="I858" s="48">
        <v>152.69113759999999</v>
      </c>
      <c r="J858" s="52" t="e">
        <v>#DIV/0!</v>
      </c>
    </row>
    <row r="859" spans="1:17" x14ac:dyDescent="0.2">
      <c r="A859" s="87"/>
      <c r="B859" s="56" t="s">
        <v>22</v>
      </c>
      <c r="C859" s="90"/>
      <c r="D859" s="57"/>
      <c r="E859" s="57">
        <v>2.4319999999999999</v>
      </c>
      <c r="F859" s="57">
        <v>3.464</v>
      </c>
      <c r="G859" s="57">
        <v>5.3819999999999997</v>
      </c>
      <c r="H859" s="57">
        <v>0.14838336999999999</v>
      </c>
      <c r="I859" s="57">
        <v>0</v>
      </c>
      <c r="J859" s="49" t="e">
        <v>#DIV/0!</v>
      </c>
    </row>
    <row r="860" spans="1:17" x14ac:dyDescent="0.2">
      <c r="A860" s="91" t="s">
        <v>8</v>
      </c>
      <c r="B860" s="53" t="s">
        <v>20</v>
      </c>
      <c r="C860" s="92">
        <v>10</v>
      </c>
      <c r="D860" s="48"/>
      <c r="E860" s="48">
        <v>2.4710000000000001</v>
      </c>
      <c r="F860" s="48">
        <v>3.4510000000000001</v>
      </c>
      <c r="G860" s="48">
        <v>5.3630000000000004</v>
      </c>
      <c r="H860" s="48">
        <v>0.16198203</v>
      </c>
      <c r="I860" s="48">
        <v>0</v>
      </c>
      <c r="J860" s="52">
        <v>0</v>
      </c>
      <c r="L860">
        <f>(G860+G861+G862)/3</f>
        <v>5.4639999999999995</v>
      </c>
      <c r="M860">
        <f>(F860+F861+F862)/3</f>
        <v>3.6029999999999998</v>
      </c>
      <c r="N860">
        <f>(L860-M860)/M860</f>
        <v>0.51651401609769632</v>
      </c>
      <c r="O860">
        <f>(D861/(1+N860))</f>
        <v>548.62664714494872</v>
      </c>
      <c r="P860">
        <f>PI()*$G$3^2*C860</f>
        <v>456.03673118774793</v>
      </c>
      <c r="Q860">
        <f>O860/P860</f>
        <v>1.2030317069330145</v>
      </c>
    </row>
    <row r="861" spans="1:17" x14ac:dyDescent="0.2">
      <c r="A861" s="85"/>
      <c r="B861" s="53" t="s">
        <v>21</v>
      </c>
      <c r="C861" s="89"/>
      <c r="D861" s="48">
        <v>832</v>
      </c>
      <c r="E861" s="48">
        <v>2.423</v>
      </c>
      <c r="F861" s="48">
        <v>3.4180000000000001</v>
      </c>
      <c r="G861" s="48">
        <v>5.29</v>
      </c>
      <c r="H861" s="48">
        <v>0.16120538000000001</v>
      </c>
      <c r="I861" s="48">
        <v>697.87712109999995</v>
      </c>
      <c r="J861" s="52" t="e">
        <v>#DIV/0!</v>
      </c>
    </row>
    <row r="862" spans="1:17" x14ac:dyDescent="0.2">
      <c r="A862" s="87"/>
      <c r="B862" s="56" t="s">
        <v>22</v>
      </c>
      <c r="C862" s="90"/>
      <c r="D862" s="57"/>
      <c r="E862" s="57">
        <v>2.4319999999999999</v>
      </c>
      <c r="F862" s="57">
        <v>3.94</v>
      </c>
      <c r="G862" s="57">
        <v>5.7389999999999999</v>
      </c>
      <c r="H862" s="57">
        <v>0.16065989999999999</v>
      </c>
      <c r="I862" s="57">
        <v>0</v>
      </c>
      <c r="J862" s="49" t="e">
        <v>#DIV/0!</v>
      </c>
    </row>
    <row r="863" spans="1:17" x14ac:dyDescent="0.2">
      <c r="A863" s="91" t="s">
        <v>9</v>
      </c>
      <c r="B863" s="53" t="s">
        <v>20</v>
      </c>
      <c r="C863" s="92">
        <v>10</v>
      </c>
      <c r="D863" s="48"/>
      <c r="E863" s="48">
        <v>2.4369999999999998</v>
      </c>
      <c r="F863" s="48">
        <v>3.569</v>
      </c>
      <c r="G863" s="48">
        <v>5.4370000000000003</v>
      </c>
      <c r="H863" s="48">
        <v>0.15942840999999999</v>
      </c>
      <c r="I863" s="48">
        <v>0</v>
      </c>
      <c r="J863" s="52">
        <v>0</v>
      </c>
      <c r="L863">
        <f>(G863+G864+G865)/3</f>
        <v>5.2530000000000001</v>
      </c>
      <c r="M863">
        <f>(F863+F864+F865)/3</f>
        <v>3.331</v>
      </c>
      <c r="N863">
        <f>(L863-M863)/M863</f>
        <v>0.57700390273191238</v>
      </c>
      <c r="O863">
        <f>(D864/(1+N863))</f>
        <v>547.8743575099943</v>
      </c>
      <c r="P863">
        <f>PI()*$G$3^2*C863</f>
        <v>456.03673118774793</v>
      </c>
      <c r="Q863">
        <f>O863/P863</f>
        <v>1.2013820818403271</v>
      </c>
    </row>
    <row r="864" spans="1:17" x14ac:dyDescent="0.2">
      <c r="A864" s="85"/>
      <c r="B864" s="53" t="s">
        <v>21</v>
      </c>
      <c r="C864" s="89"/>
      <c r="D864" s="48">
        <v>864</v>
      </c>
      <c r="E864" s="48">
        <v>2.4569999999999999</v>
      </c>
      <c r="F864" s="48">
        <v>3.2730000000000001</v>
      </c>
      <c r="G864" s="48">
        <v>5.1980000000000004</v>
      </c>
      <c r="H864" s="48">
        <v>0.16254200999999999</v>
      </c>
      <c r="I864" s="48">
        <v>723.56370300000003</v>
      </c>
      <c r="J864" s="52" t="e">
        <v>#DIV/0!</v>
      </c>
    </row>
    <row r="865" spans="1:17" x14ac:dyDescent="0.2">
      <c r="A865" s="87"/>
      <c r="B865" s="56" t="s">
        <v>22</v>
      </c>
      <c r="C865" s="90"/>
      <c r="D865" s="57"/>
      <c r="E865" s="57">
        <v>2.4790000000000001</v>
      </c>
      <c r="F865" s="57">
        <v>3.1509999999999998</v>
      </c>
      <c r="G865" s="57">
        <v>5.1239999999999997</v>
      </c>
      <c r="H865" s="57">
        <v>0.16058394000000001</v>
      </c>
      <c r="I865" s="57">
        <v>0</v>
      </c>
      <c r="J865" s="49" t="e">
        <v>#DIV/0!</v>
      </c>
    </row>
    <row r="866" spans="1:17" x14ac:dyDescent="0.2">
      <c r="A866" s="91" t="s">
        <v>10</v>
      </c>
      <c r="B866" s="53" t="s">
        <v>20</v>
      </c>
      <c r="C866" s="92">
        <v>10</v>
      </c>
      <c r="D866" s="48"/>
      <c r="E866" s="48">
        <v>2.4409999999999998</v>
      </c>
      <c r="F866" s="48">
        <v>3.2010000000000001</v>
      </c>
      <c r="G866" s="48">
        <v>5.1429999999999998</v>
      </c>
      <c r="H866" s="48">
        <v>0.15588878</v>
      </c>
      <c r="I866" s="48">
        <v>0</v>
      </c>
      <c r="J866" s="52">
        <v>0</v>
      </c>
      <c r="L866">
        <f>(G866+G867+G868)/3</f>
        <v>5.2883333333333331</v>
      </c>
      <c r="M866">
        <f>(F866+F867+F868)/3</f>
        <v>3.3813333333333335</v>
      </c>
      <c r="N866">
        <f>(L866-M866)/M866</f>
        <v>0.56397870662460547</v>
      </c>
      <c r="O866">
        <f>(D867/(1+N866))</f>
        <v>519.18865427040657</v>
      </c>
      <c r="P866">
        <f>PI()*$G$3^2*C866</f>
        <v>456.03673118774793</v>
      </c>
      <c r="Q866">
        <f>O866/P866</f>
        <v>1.1384799047177174</v>
      </c>
    </row>
    <row r="867" spans="1:17" x14ac:dyDescent="0.2">
      <c r="A867" s="85"/>
      <c r="B867" s="53" t="s">
        <v>21</v>
      </c>
      <c r="C867" s="89"/>
      <c r="D867" s="48">
        <v>812</v>
      </c>
      <c r="E867" s="48">
        <v>2.4590000000000001</v>
      </c>
      <c r="F867" s="48">
        <v>3.6059999999999999</v>
      </c>
      <c r="G867" s="48">
        <v>5.4790000000000001</v>
      </c>
      <c r="H867" s="48">
        <v>0.16250692999999999</v>
      </c>
      <c r="I867" s="48">
        <v>680.04437050000001</v>
      </c>
      <c r="J867" s="52" t="e">
        <v>#DIV/0!</v>
      </c>
    </row>
    <row r="868" spans="1:17" x14ac:dyDescent="0.2">
      <c r="A868" s="87"/>
      <c r="B868" s="56" t="s">
        <v>22</v>
      </c>
      <c r="C868" s="90"/>
      <c r="D868" s="57"/>
      <c r="E868" s="57">
        <v>2.444</v>
      </c>
      <c r="F868" s="57">
        <v>3.3370000000000002</v>
      </c>
      <c r="G868" s="57">
        <v>5.2430000000000003</v>
      </c>
      <c r="H868" s="57">
        <v>0.16122265999999999</v>
      </c>
      <c r="I868" s="57">
        <v>0</v>
      </c>
      <c r="J868" s="49" t="e">
        <v>#DIV/0!</v>
      </c>
    </row>
    <row r="869" spans="1:17" x14ac:dyDescent="0.2">
      <c r="A869" s="91" t="s">
        <v>11</v>
      </c>
      <c r="B869" s="53" t="s">
        <v>20</v>
      </c>
      <c r="C869" s="92">
        <v>10</v>
      </c>
      <c r="D869" s="48"/>
      <c r="E869" s="48">
        <v>2.4119999999999999</v>
      </c>
      <c r="F869" s="48">
        <v>3.1629999999999998</v>
      </c>
      <c r="G869" s="48">
        <v>5.14</v>
      </c>
      <c r="H869" s="48">
        <v>0.13752766</v>
      </c>
      <c r="I869" s="48">
        <v>0</v>
      </c>
      <c r="J869" s="52">
        <v>0</v>
      </c>
      <c r="L869">
        <f>(G869+G870+G871)/3</f>
        <v>5.2059999999999995</v>
      </c>
      <c r="M869">
        <f>(F869+F870+F871)/3</f>
        <v>3.1656666666666666</v>
      </c>
      <c r="N869">
        <f>(L869-M869)/M869</f>
        <v>0.64451932189112338</v>
      </c>
      <c r="O869">
        <f>(D870/(1+N869))</f>
        <v>472.47848636189019</v>
      </c>
      <c r="P869">
        <f>PI()*$G$3^2*C869</f>
        <v>456.03673118774793</v>
      </c>
      <c r="Q869">
        <f>O869/P869</f>
        <v>1.0360535764988046</v>
      </c>
    </row>
    <row r="870" spans="1:17" x14ac:dyDescent="0.2">
      <c r="A870" s="85"/>
      <c r="B870" s="53" t="s">
        <v>21</v>
      </c>
      <c r="C870" s="89"/>
      <c r="D870" s="48">
        <v>777</v>
      </c>
      <c r="E870" s="48">
        <v>2.472</v>
      </c>
      <c r="F870" s="48">
        <v>3.032</v>
      </c>
      <c r="G870" s="48">
        <v>5.1319999999999997</v>
      </c>
      <c r="H870" s="48">
        <v>0.12269128999999999</v>
      </c>
      <c r="I870" s="48">
        <v>681.66886539999996</v>
      </c>
      <c r="J870" s="52" t="e">
        <v>#DIV/0!</v>
      </c>
    </row>
    <row r="871" spans="1:17" x14ac:dyDescent="0.2">
      <c r="A871" s="87"/>
      <c r="B871" s="56" t="s">
        <v>22</v>
      </c>
      <c r="C871" s="90"/>
      <c r="D871" s="57"/>
      <c r="E871" s="57">
        <v>2.4620000000000002</v>
      </c>
      <c r="F871" s="57">
        <v>3.302</v>
      </c>
      <c r="G871" s="57">
        <v>5.3460000000000001</v>
      </c>
      <c r="H871" s="57">
        <v>0.12658995000000001</v>
      </c>
      <c r="I871" s="57">
        <v>0</v>
      </c>
      <c r="J871" s="49" t="e">
        <v>#DIV/0!</v>
      </c>
    </row>
    <row r="872" spans="1:17" x14ac:dyDescent="0.2">
      <c r="A872" s="91" t="s">
        <v>12</v>
      </c>
      <c r="B872" s="53" t="s">
        <v>20</v>
      </c>
      <c r="C872" s="92">
        <v>10</v>
      </c>
      <c r="D872" s="48"/>
      <c r="E872" s="48">
        <v>2.4620000000000002</v>
      </c>
      <c r="F872" s="48">
        <v>3.2240000000000002</v>
      </c>
      <c r="G872" s="48">
        <v>5.3449999999999998</v>
      </c>
      <c r="H872" s="48">
        <v>0.10576923000000001</v>
      </c>
      <c r="I872" s="48">
        <v>0</v>
      </c>
      <c r="J872" s="52">
        <v>0</v>
      </c>
      <c r="L872">
        <f>(G872+G873+G874)/3</f>
        <v>5.3953333333333333</v>
      </c>
      <c r="M872">
        <f>(F872+F873+F874)/3</f>
        <v>3.3006666666666669</v>
      </c>
      <c r="N872">
        <f>(L872-M872)/M872</f>
        <v>0.63461926883457875</v>
      </c>
      <c r="O872">
        <f>(D873/(1+N872))</f>
        <v>404.37550969974052</v>
      </c>
      <c r="P872">
        <f>PI()*$G$3^2*C872</f>
        <v>456.03673118774793</v>
      </c>
      <c r="Q872">
        <f>O872/P872</f>
        <v>0.88671697265819849</v>
      </c>
    </row>
    <row r="873" spans="1:17" x14ac:dyDescent="0.2">
      <c r="A873" s="85"/>
      <c r="B873" s="53" t="s">
        <v>21</v>
      </c>
      <c r="C873" s="89"/>
      <c r="D873" s="48">
        <v>661</v>
      </c>
      <c r="E873" s="48">
        <v>2.4049999999999998</v>
      </c>
      <c r="F873" s="48">
        <v>3.3860000000000001</v>
      </c>
      <c r="G873" s="48">
        <v>5.4269999999999996</v>
      </c>
      <c r="H873" s="48">
        <v>0.10750148</v>
      </c>
      <c r="I873" s="48">
        <v>589.94152389999999</v>
      </c>
      <c r="J873" s="52" t="e">
        <v>#DIV/0!</v>
      </c>
    </row>
    <row r="874" spans="1:17" x14ac:dyDescent="0.2">
      <c r="A874" s="87"/>
      <c r="B874" s="56" t="s">
        <v>22</v>
      </c>
      <c r="C874" s="90"/>
      <c r="D874" s="57"/>
      <c r="E874" s="57">
        <v>2.4750000000000001</v>
      </c>
      <c r="F874" s="57">
        <v>3.2919999999999998</v>
      </c>
      <c r="G874" s="57">
        <v>5.4139999999999997</v>
      </c>
      <c r="H874" s="57">
        <v>0.10722965</v>
      </c>
      <c r="I874" s="57">
        <v>0</v>
      </c>
      <c r="J874" s="49" t="e">
        <v>#DIV/0!</v>
      </c>
    </row>
    <row r="875" spans="1:17" x14ac:dyDescent="0.2">
      <c r="A875" s="91" t="s">
        <v>13</v>
      </c>
      <c r="B875" s="53" t="s">
        <v>20</v>
      </c>
      <c r="C875" s="92">
        <v>10</v>
      </c>
      <c r="D875" s="48"/>
      <c r="E875" s="48">
        <v>2.431</v>
      </c>
      <c r="F875" s="48">
        <v>3.6640000000000001</v>
      </c>
      <c r="G875" s="48">
        <v>5.734</v>
      </c>
      <c r="H875" s="48">
        <v>9.8526199999999994E-2</v>
      </c>
      <c r="I875" s="48">
        <v>0</v>
      </c>
      <c r="J875" s="52">
        <v>0</v>
      </c>
      <c r="L875">
        <f>(G875+G876+G877)/3</f>
        <v>5.5366666666666662</v>
      </c>
      <c r="M875">
        <f>(F875+F876+F877)/3</f>
        <v>3.4476666666666667</v>
      </c>
      <c r="N875">
        <f>(L875-M875)/M875</f>
        <v>0.60591704534467739</v>
      </c>
      <c r="O875">
        <f>(D876/(1+N875))</f>
        <v>472.00445514750157</v>
      </c>
      <c r="P875">
        <f>PI()*$G$3^2*C875</f>
        <v>456.03673118774793</v>
      </c>
      <c r="Q875">
        <f>O875/P875</f>
        <v>1.035014118091246</v>
      </c>
    </row>
    <row r="876" spans="1:17" x14ac:dyDescent="0.2">
      <c r="A876" s="85"/>
      <c r="B876" s="53" t="s">
        <v>21</v>
      </c>
      <c r="C876" s="89"/>
      <c r="D876" s="48">
        <v>758</v>
      </c>
      <c r="E876" s="48">
        <v>2.4500000000000002</v>
      </c>
      <c r="F876" s="48">
        <v>3.5430000000000001</v>
      </c>
      <c r="G876" s="48">
        <v>5.6079999999999997</v>
      </c>
      <c r="H876" s="48">
        <v>0.10866497</v>
      </c>
      <c r="I876" s="48">
        <v>675.63195029999997</v>
      </c>
      <c r="J876" s="52" t="e">
        <v>#DIV/0!</v>
      </c>
    </row>
    <row r="877" spans="1:17" x14ac:dyDescent="0.2">
      <c r="A877" s="87"/>
      <c r="B877" s="56" t="s">
        <v>22</v>
      </c>
      <c r="C877" s="90"/>
      <c r="D877" s="57"/>
      <c r="E877" s="57">
        <v>2.4460000000000002</v>
      </c>
      <c r="F877" s="57">
        <v>3.1360000000000001</v>
      </c>
      <c r="G877" s="57">
        <v>5.2679999999999998</v>
      </c>
      <c r="H877" s="57">
        <v>0.10012755</v>
      </c>
      <c r="I877" s="57">
        <v>0</v>
      </c>
      <c r="J877" s="49" t="e">
        <v>#DIV/0!</v>
      </c>
    </row>
    <row r="878" spans="1:17" x14ac:dyDescent="0.2">
      <c r="A878" s="91" t="s">
        <v>14</v>
      </c>
      <c r="B878" s="53" t="s">
        <v>20</v>
      </c>
      <c r="C878" s="92">
        <v>10</v>
      </c>
      <c r="D878" s="48"/>
      <c r="E878" s="48"/>
      <c r="F878" s="48"/>
      <c r="G878" s="48"/>
      <c r="H878" s="48" t="e">
        <v>#DIV/0!</v>
      </c>
      <c r="I878" s="48" t="e">
        <v>#DIV/0!</v>
      </c>
      <c r="J878" s="52" t="e">
        <v>#DIV/0!</v>
      </c>
    </row>
    <row r="879" spans="1:17" x14ac:dyDescent="0.2">
      <c r="A879" s="85"/>
      <c r="B879" s="53" t="s">
        <v>21</v>
      </c>
      <c r="C879" s="89"/>
      <c r="D879" s="48"/>
      <c r="E879" s="48"/>
      <c r="F879" s="48"/>
      <c r="G879" s="48"/>
      <c r="H879" s="48" t="e">
        <v>#DIV/0!</v>
      </c>
      <c r="I879" s="48" t="e">
        <v>#DIV/0!</v>
      </c>
      <c r="J879" s="52" t="e">
        <v>#DIV/0!</v>
      </c>
    </row>
    <row r="880" spans="1:17" ht="16" thickBot="1" x14ac:dyDescent="0.25">
      <c r="A880" s="93"/>
      <c r="B880" s="58" t="s">
        <v>22</v>
      </c>
      <c r="C880" s="94"/>
      <c r="D880" s="59"/>
      <c r="E880" s="59"/>
      <c r="F880" s="59"/>
      <c r="G880" s="59"/>
      <c r="H880" s="59" t="e">
        <v>#DIV/0!</v>
      </c>
      <c r="I880" s="59" t="e">
        <v>#DIV/0!</v>
      </c>
      <c r="J880" s="50" t="e">
        <v>#DIV/0!</v>
      </c>
    </row>
    <row r="881" spans="1:10" ht="16" thickBot="1" x14ac:dyDescent="0.25">
      <c r="A881" s="60" t="s">
        <v>1</v>
      </c>
      <c r="B881" s="61"/>
      <c r="C881" s="62"/>
      <c r="D881" s="63" t="s">
        <v>45</v>
      </c>
      <c r="E881" s="64"/>
      <c r="F881" s="58" t="s">
        <v>0</v>
      </c>
      <c r="G881" s="18">
        <v>44157</v>
      </c>
      <c r="H881" s="65" t="s">
        <v>24</v>
      </c>
      <c r="I881" s="66"/>
      <c r="J881" s="49">
        <v>110</v>
      </c>
    </row>
    <row r="882" spans="1:10" ht="16" thickBot="1" x14ac:dyDescent="0.25">
      <c r="A882" s="67" t="s">
        <v>2</v>
      </c>
      <c r="B882" s="68"/>
      <c r="C882" s="69"/>
      <c r="D882" s="70"/>
      <c r="E882" s="71"/>
      <c r="F882" s="72"/>
      <c r="G882" s="73"/>
      <c r="H882" s="74" t="s">
        <v>25</v>
      </c>
      <c r="I882" s="75"/>
      <c r="J882" s="49">
        <v>26</v>
      </c>
    </row>
    <row r="883" spans="1:10" ht="16" thickBot="1" x14ac:dyDescent="0.25">
      <c r="A883" s="76" t="s">
        <v>27</v>
      </c>
      <c r="B883" s="77"/>
      <c r="C883" s="78"/>
      <c r="D883" s="79" t="s">
        <v>33</v>
      </c>
      <c r="E883" s="80"/>
      <c r="F883" s="48" t="s">
        <v>30</v>
      </c>
      <c r="G883" s="48">
        <v>3.81</v>
      </c>
      <c r="H883" s="81" t="s">
        <v>26</v>
      </c>
      <c r="I883" s="82"/>
      <c r="J883" s="50">
        <v>52</v>
      </c>
    </row>
    <row r="884" spans="1:10" x14ac:dyDescent="0.2">
      <c r="A884" s="83"/>
      <c r="B884" s="84"/>
      <c r="C884" s="51" t="s">
        <v>29</v>
      </c>
      <c r="D884" s="51" t="s">
        <v>19</v>
      </c>
      <c r="E884" s="51" t="s">
        <v>15</v>
      </c>
      <c r="F884" s="51" t="s">
        <v>18</v>
      </c>
      <c r="G884" s="51" t="s">
        <v>17</v>
      </c>
      <c r="H884" s="48" t="s">
        <v>28</v>
      </c>
      <c r="I884" s="48" t="s">
        <v>16</v>
      </c>
      <c r="J884" s="52" t="s">
        <v>23</v>
      </c>
    </row>
    <row r="885" spans="1:10" x14ac:dyDescent="0.2">
      <c r="A885" s="86" t="s">
        <v>3</v>
      </c>
      <c r="B885" s="53" t="s">
        <v>20</v>
      </c>
      <c r="C885" s="88">
        <v>10</v>
      </c>
      <c r="D885" s="54"/>
      <c r="E885" s="54">
        <v>2.4660000000000002</v>
      </c>
      <c r="F885" s="54">
        <v>3.472</v>
      </c>
      <c r="G885" s="54">
        <v>5.4210000000000003</v>
      </c>
      <c r="H885" s="54">
        <v>0.14890553000000001</v>
      </c>
      <c r="I885" s="54">
        <v>0</v>
      </c>
      <c r="J885" s="55">
        <v>0</v>
      </c>
    </row>
    <row r="886" spans="1:10" x14ac:dyDescent="0.2">
      <c r="A886" s="85"/>
      <c r="B886" s="53" t="s">
        <v>21</v>
      </c>
      <c r="C886" s="89"/>
      <c r="D886" s="48">
        <v>775</v>
      </c>
      <c r="E886" s="48">
        <v>2.4529999999999998</v>
      </c>
      <c r="F886" s="48">
        <v>3.194</v>
      </c>
      <c r="G886" s="48">
        <v>5.1779999999999999</v>
      </c>
      <c r="H886" s="48">
        <v>0.14683782000000001</v>
      </c>
      <c r="I886" s="48">
        <v>661.20068879999997</v>
      </c>
      <c r="J886" s="52" t="e">
        <v>#DIV/0!</v>
      </c>
    </row>
    <row r="887" spans="1:10" x14ac:dyDescent="0.2">
      <c r="A887" s="87"/>
      <c r="B887" s="56" t="s">
        <v>22</v>
      </c>
      <c r="C887" s="90"/>
      <c r="D887" s="57"/>
      <c r="E887" s="57">
        <v>2.4319999999999999</v>
      </c>
      <c r="F887" s="57">
        <v>3.3540000000000001</v>
      </c>
      <c r="G887" s="57">
        <v>5.2480000000000002</v>
      </c>
      <c r="H887" s="57">
        <v>0.16040549000000001</v>
      </c>
      <c r="I887" s="57">
        <v>0</v>
      </c>
      <c r="J887" s="49" t="e">
        <v>#DIV/0!</v>
      </c>
    </row>
    <row r="888" spans="1:10" x14ac:dyDescent="0.2">
      <c r="A888" s="91" t="s">
        <v>4</v>
      </c>
      <c r="B888" s="53" t="s">
        <v>20</v>
      </c>
      <c r="C888" s="92">
        <v>10</v>
      </c>
      <c r="D888" s="48"/>
      <c r="E888" s="48">
        <v>2.4089999999999998</v>
      </c>
      <c r="F888" s="48">
        <v>3.3479999999999999</v>
      </c>
      <c r="G888" s="48">
        <v>5.1980000000000004</v>
      </c>
      <c r="H888" s="48">
        <v>0.16696535000000001</v>
      </c>
      <c r="I888" s="48">
        <v>0</v>
      </c>
      <c r="J888" s="52">
        <v>0</v>
      </c>
    </row>
    <row r="889" spans="1:10" x14ac:dyDescent="0.2">
      <c r="A889" s="85"/>
      <c r="B889" s="53" t="s">
        <v>21</v>
      </c>
      <c r="C889" s="89"/>
      <c r="D889" s="48">
        <v>821</v>
      </c>
      <c r="E889" s="48">
        <v>2.4470000000000001</v>
      </c>
      <c r="F889" s="48">
        <v>3.282</v>
      </c>
      <c r="G889" s="48">
        <v>5.1520000000000001</v>
      </c>
      <c r="H889" s="48">
        <v>0.17580742999999999</v>
      </c>
      <c r="I889" s="48">
        <v>676.66209630000003</v>
      </c>
      <c r="J889" s="52" t="e">
        <v>#DIV/0!</v>
      </c>
    </row>
    <row r="890" spans="1:10" x14ac:dyDescent="0.2">
      <c r="A890" s="87"/>
      <c r="B890" s="56" t="s">
        <v>22</v>
      </c>
      <c r="C890" s="90"/>
      <c r="D890" s="57"/>
      <c r="E890" s="57">
        <v>2.415</v>
      </c>
      <c r="F890" s="57">
        <v>3.173</v>
      </c>
      <c r="G890" s="57">
        <v>4.9729999999999999</v>
      </c>
      <c r="H890" s="57">
        <v>0.19382288</v>
      </c>
      <c r="I890" s="57">
        <v>0</v>
      </c>
      <c r="J890" s="49" t="e">
        <v>#DIV/0!</v>
      </c>
    </row>
    <row r="891" spans="1:10" x14ac:dyDescent="0.2">
      <c r="A891" s="91" t="s">
        <v>5</v>
      </c>
      <c r="B891" s="53" t="s">
        <v>20</v>
      </c>
      <c r="C891" s="92">
        <v>10</v>
      </c>
      <c r="D891" s="48"/>
      <c r="E891" s="48">
        <v>2.4340000000000002</v>
      </c>
      <c r="F891" s="48">
        <v>3.4990000000000001</v>
      </c>
      <c r="G891" s="48">
        <v>5.4459999999999997</v>
      </c>
      <c r="H891" s="48">
        <v>0.13918262000000001</v>
      </c>
      <c r="I891" s="48">
        <v>0</v>
      </c>
      <c r="J891" s="52">
        <v>0</v>
      </c>
    </row>
    <row r="892" spans="1:10" x14ac:dyDescent="0.2">
      <c r="A892" s="85"/>
      <c r="B892" s="53" t="s">
        <v>21</v>
      </c>
      <c r="C892" s="89"/>
      <c r="D892" s="48">
        <v>782</v>
      </c>
      <c r="E892" s="48">
        <v>2.4319999999999999</v>
      </c>
      <c r="F892" s="48">
        <v>3.1314000000000002</v>
      </c>
      <c r="G892" s="48">
        <v>5.141</v>
      </c>
      <c r="H892" s="48">
        <v>0.13489174000000001</v>
      </c>
      <c r="I892" s="48">
        <v>676.51465800000005</v>
      </c>
      <c r="J892" s="52" t="e">
        <v>#DIV/0!</v>
      </c>
    </row>
    <row r="893" spans="1:10" x14ac:dyDescent="0.2">
      <c r="A893" s="87"/>
      <c r="B893" s="56" t="s">
        <v>22</v>
      </c>
      <c r="C893" s="90"/>
      <c r="D893" s="57"/>
      <c r="E893" s="57">
        <v>2.4340000000000002</v>
      </c>
      <c r="F893" s="57">
        <v>3.24</v>
      </c>
      <c r="G893" s="57">
        <v>5.2229999999999999</v>
      </c>
      <c r="H893" s="57">
        <v>0.13919753000000001</v>
      </c>
      <c r="I893" s="57">
        <v>0</v>
      </c>
      <c r="J893" s="49" t="e">
        <v>#DIV/0!</v>
      </c>
    </row>
    <row r="894" spans="1:10" x14ac:dyDescent="0.2">
      <c r="A894" s="91" t="s">
        <v>6</v>
      </c>
      <c r="B894" s="53" t="s">
        <v>20</v>
      </c>
      <c r="C894" s="92">
        <v>10</v>
      </c>
      <c r="D894" s="48"/>
      <c r="E894" s="48">
        <v>2.4390000000000001</v>
      </c>
      <c r="F894" s="48">
        <v>3.8119999999999998</v>
      </c>
      <c r="G894" s="48">
        <v>5.7130000000000001</v>
      </c>
      <c r="H894" s="48">
        <v>0.14113326000000001</v>
      </c>
      <c r="I894" s="48">
        <v>0</v>
      </c>
      <c r="J894" s="52">
        <v>0</v>
      </c>
    </row>
    <row r="895" spans="1:10" x14ac:dyDescent="0.2">
      <c r="A895" s="85"/>
      <c r="B895" s="53" t="s">
        <v>21</v>
      </c>
      <c r="C895" s="89"/>
      <c r="D895" s="48">
        <v>822</v>
      </c>
      <c r="E895" s="48">
        <v>2.4540000000000002</v>
      </c>
      <c r="F895" s="48">
        <v>3.4580000000000002</v>
      </c>
      <c r="G895" s="48">
        <v>5.3319999999999999</v>
      </c>
      <c r="H895" s="48">
        <v>0.16772701000000001</v>
      </c>
      <c r="I895" s="48">
        <v>684.12839789999998</v>
      </c>
      <c r="J895" s="52" t="e">
        <v>#DIV/0!</v>
      </c>
    </row>
    <row r="896" spans="1:10" x14ac:dyDescent="0.2">
      <c r="A896" s="87"/>
      <c r="B896" s="56" t="s">
        <v>22</v>
      </c>
      <c r="C896" s="90"/>
      <c r="D896" s="57"/>
      <c r="E896" s="57">
        <v>2.4620000000000002</v>
      </c>
      <c r="F896" s="57">
        <v>3.2650000000000001</v>
      </c>
      <c r="G896" s="57">
        <v>5.2489999999999997</v>
      </c>
      <c r="H896" s="57">
        <v>0.14640122999999999</v>
      </c>
      <c r="I896" s="57">
        <v>0</v>
      </c>
      <c r="J896" s="49" t="e">
        <v>#DIV/0!</v>
      </c>
    </row>
    <row r="897" spans="1:10" x14ac:dyDescent="0.2">
      <c r="A897" s="91" t="s">
        <v>7</v>
      </c>
      <c r="B897" s="53" t="s">
        <v>20</v>
      </c>
      <c r="C897" s="92">
        <v>10</v>
      </c>
      <c r="D897" s="48"/>
      <c r="E897" s="48">
        <v>2.4409999999999998</v>
      </c>
      <c r="F897" s="48">
        <v>3.125</v>
      </c>
      <c r="G897" s="48">
        <v>5.0970000000000004</v>
      </c>
      <c r="H897" s="48">
        <v>0.15007999999999999</v>
      </c>
      <c r="I897" s="48">
        <v>0</v>
      </c>
      <c r="J897" s="52">
        <v>0</v>
      </c>
    </row>
    <row r="898" spans="1:10" x14ac:dyDescent="0.2">
      <c r="A898" s="85"/>
      <c r="B898" s="53" t="s">
        <v>21</v>
      </c>
      <c r="C898" s="89"/>
      <c r="D898" s="48">
        <v>841</v>
      </c>
      <c r="E898" s="48">
        <v>2.4129999999999998</v>
      </c>
      <c r="F898" s="48">
        <v>3.4340000000000002</v>
      </c>
      <c r="G898" s="48">
        <v>5.3280000000000003</v>
      </c>
      <c r="H898" s="48">
        <v>0.15113570000000001</v>
      </c>
      <c r="I898" s="48">
        <v>713.89487480000003</v>
      </c>
      <c r="J898" s="52" t="e">
        <v>#DIV/0!</v>
      </c>
    </row>
    <row r="899" spans="1:10" x14ac:dyDescent="0.2">
      <c r="A899" s="87"/>
      <c r="B899" s="56" t="s">
        <v>22</v>
      </c>
      <c r="C899" s="90"/>
      <c r="D899" s="57"/>
      <c r="E899" s="57">
        <v>2.4489999999999998</v>
      </c>
      <c r="F899" s="57">
        <v>3.7410000000000001</v>
      </c>
      <c r="G899" s="57">
        <v>5.6219999999999999</v>
      </c>
      <c r="H899" s="57">
        <v>0.15183105999999999</v>
      </c>
      <c r="I899" s="57">
        <v>0</v>
      </c>
      <c r="J899" s="49" t="e">
        <v>#DIV/0!</v>
      </c>
    </row>
    <row r="900" spans="1:10" x14ac:dyDescent="0.2">
      <c r="A900" s="91" t="s">
        <v>8</v>
      </c>
      <c r="B900" s="53" t="s">
        <v>20</v>
      </c>
      <c r="C900" s="92">
        <v>10</v>
      </c>
      <c r="D900" s="48"/>
      <c r="E900" s="48">
        <v>2.444</v>
      </c>
      <c r="F900" s="48">
        <v>3.7450000000000001</v>
      </c>
      <c r="G900" s="48">
        <v>5.6379999999999999</v>
      </c>
      <c r="H900" s="48">
        <v>0.14712950999999999</v>
      </c>
      <c r="I900" s="48">
        <v>0</v>
      </c>
      <c r="J900" s="52">
        <v>0</v>
      </c>
    </row>
    <row r="901" spans="1:10" x14ac:dyDescent="0.2">
      <c r="A901" s="85"/>
      <c r="B901" s="53" t="s">
        <v>21</v>
      </c>
      <c r="C901" s="89"/>
      <c r="D901" s="48">
        <v>826</v>
      </c>
      <c r="E901" s="48">
        <v>2.4590000000000001</v>
      </c>
      <c r="F901" s="48">
        <v>3.6829999999999998</v>
      </c>
      <c r="G901" s="48">
        <v>5.5919999999999996</v>
      </c>
      <c r="H901" s="48">
        <v>0.14933478</v>
      </c>
      <c r="I901" s="48">
        <v>702.64947050000001</v>
      </c>
      <c r="J901" s="52" t="e">
        <v>#DIV/0!</v>
      </c>
    </row>
    <row r="902" spans="1:10" x14ac:dyDescent="0.2">
      <c r="A902" s="87"/>
      <c r="B902" s="56" t="s">
        <v>22</v>
      </c>
      <c r="C902" s="90"/>
      <c r="D902" s="57"/>
      <c r="E902" s="57">
        <v>2.4489999999999998</v>
      </c>
      <c r="F902" s="57">
        <v>3.37</v>
      </c>
      <c r="G902" s="57">
        <v>5.3179999999999996</v>
      </c>
      <c r="H902" s="57">
        <v>0.14866468999999999</v>
      </c>
      <c r="I902" s="57">
        <v>0</v>
      </c>
      <c r="J902" s="49" t="e">
        <v>#DIV/0!</v>
      </c>
    </row>
    <row r="903" spans="1:10" x14ac:dyDescent="0.2">
      <c r="A903" s="91" t="s">
        <v>9</v>
      </c>
      <c r="B903" s="53" t="s">
        <v>20</v>
      </c>
      <c r="C903" s="92">
        <v>10</v>
      </c>
      <c r="D903" s="48"/>
      <c r="E903" s="48">
        <v>2.4289999999999998</v>
      </c>
      <c r="F903" s="48">
        <v>3.194</v>
      </c>
      <c r="G903" s="48">
        <v>5.319</v>
      </c>
      <c r="H903" s="48">
        <v>9.5178460000000006E-2</v>
      </c>
      <c r="I903" s="48">
        <v>0</v>
      </c>
      <c r="J903" s="52">
        <v>0</v>
      </c>
    </row>
    <row r="904" spans="1:10" x14ac:dyDescent="0.2">
      <c r="A904" s="85"/>
      <c r="B904" s="53" t="s">
        <v>21</v>
      </c>
      <c r="C904" s="89"/>
      <c r="D904" s="48">
        <v>734</v>
      </c>
      <c r="E904" s="48">
        <v>2.407</v>
      </c>
      <c r="F904" s="48">
        <v>3.4249999999999998</v>
      </c>
      <c r="G904" s="48">
        <v>5.4009999999999998</v>
      </c>
      <c r="H904" s="48">
        <v>0.12583942000000001</v>
      </c>
      <c r="I904" s="48">
        <v>641.63386860000003</v>
      </c>
      <c r="J904" s="52" t="e">
        <v>#DIV/0!</v>
      </c>
    </row>
    <row r="905" spans="1:10" x14ac:dyDescent="0.2">
      <c r="A905" s="87"/>
      <c r="B905" s="56" t="s">
        <v>22</v>
      </c>
      <c r="C905" s="90"/>
      <c r="D905" s="57"/>
      <c r="E905" s="57">
        <v>2.4769999999999999</v>
      </c>
      <c r="F905" s="57">
        <v>3.3980000000000001</v>
      </c>
      <c r="G905" s="57">
        <v>5.4969999999999999</v>
      </c>
      <c r="H905" s="57">
        <v>0.11124191</v>
      </c>
      <c r="I905" s="57">
        <v>0</v>
      </c>
      <c r="J905" s="49" t="e">
        <v>#DIV/0!</v>
      </c>
    </row>
    <row r="906" spans="1:10" x14ac:dyDescent="0.2">
      <c r="A906" s="91" t="s">
        <v>10</v>
      </c>
      <c r="B906" s="53" t="s">
        <v>20</v>
      </c>
      <c r="C906" s="92">
        <v>10</v>
      </c>
      <c r="D906" s="48"/>
      <c r="E906" s="48">
        <v>2.4279999999999999</v>
      </c>
      <c r="F906" s="48">
        <v>3.4350000000000001</v>
      </c>
      <c r="G906" s="48">
        <v>5.5890000000000004</v>
      </c>
      <c r="H906" s="48">
        <v>7.9767099999999994E-2</v>
      </c>
      <c r="I906" s="48">
        <v>0</v>
      </c>
      <c r="J906" s="52">
        <v>0</v>
      </c>
    </row>
    <row r="907" spans="1:10" x14ac:dyDescent="0.2">
      <c r="A907" s="85"/>
      <c r="B907" s="53" t="s">
        <v>21</v>
      </c>
      <c r="C907" s="89"/>
      <c r="D907" s="48">
        <v>793</v>
      </c>
      <c r="E907" s="48">
        <v>2.4409999999999998</v>
      </c>
      <c r="F907" s="48">
        <v>3.5289999999999999</v>
      </c>
      <c r="G907" s="48">
        <v>5.6779999999999999</v>
      </c>
      <c r="H907" s="48">
        <v>8.2742990000000002E-2</v>
      </c>
      <c r="I907" s="48">
        <v>727.38481160000003</v>
      </c>
      <c r="J907" s="52" t="e">
        <v>#DIV/0!</v>
      </c>
    </row>
    <row r="908" spans="1:10" x14ac:dyDescent="0.2">
      <c r="A908" s="87"/>
      <c r="B908" s="56" t="s">
        <v>22</v>
      </c>
      <c r="C908" s="90"/>
      <c r="D908" s="57"/>
      <c r="E908" s="57">
        <v>2.4540000000000002</v>
      </c>
      <c r="F908" s="57">
        <v>3.2909999999999999</v>
      </c>
      <c r="G908" s="57">
        <v>5.4690000000000003</v>
      </c>
      <c r="H908" s="57">
        <v>8.3865090000000003E-2</v>
      </c>
      <c r="I908" s="57">
        <v>0</v>
      </c>
      <c r="J908" s="49" t="e">
        <v>#DIV/0!</v>
      </c>
    </row>
    <row r="909" spans="1:10" x14ac:dyDescent="0.2">
      <c r="A909" s="91" t="s">
        <v>11</v>
      </c>
      <c r="B909" s="53" t="s">
        <v>20</v>
      </c>
      <c r="C909" s="92">
        <v>10</v>
      </c>
      <c r="D909" s="48"/>
      <c r="E909" s="48">
        <v>2.4249999999999998</v>
      </c>
      <c r="F909" s="48">
        <v>3.1680000000000001</v>
      </c>
      <c r="G909" s="48">
        <v>5.335</v>
      </c>
      <c r="H909" s="48">
        <v>8.143939E-2</v>
      </c>
      <c r="I909" s="48">
        <v>0</v>
      </c>
      <c r="J909" s="52">
        <v>0</v>
      </c>
    </row>
    <row r="910" spans="1:10" x14ac:dyDescent="0.2">
      <c r="A910" s="85"/>
      <c r="B910" s="53" t="s">
        <v>21</v>
      </c>
      <c r="C910" s="89"/>
      <c r="D910" s="48">
        <v>844</v>
      </c>
      <c r="E910" s="48">
        <v>2.4329999999999998</v>
      </c>
      <c r="F910" s="48">
        <v>3.2130000000000001</v>
      </c>
      <c r="G910" s="48">
        <v>5.3890000000000002</v>
      </c>
      <c r="H910" s="48">
        <v>7.9987550000000004E-2</v>
      </c>
      <c r="I910" s="48">
        <v>776.49050729999999</v>
      </c>
      <c r="J910" s="52" t="e">
        <v>#DIV/0!</v>
      </c>
    </row>
    <row r="911" spans="1:10" x14ac:dyDescent="0.2">
      <c r="A911" s="87"/>
      <c r="B911" s="56" t="s">
        <v>22</v>
      </c>
      <c r="C911" s="90"/>
      <c r="D911" s="57"/>
      <c r="E911" s="57">
        <v>2454</v>
      </c>
      <c r="F911" s="57">
        <v>3.7850000000000001</v>
      </c>
      <c r="G911" s="57">
        <v>5.9260000000000002</v>
      </c>
      <c r="H911" s="57">
        <v>647.78309100000001</v>
      </c>
      <c r="I911" s="57">
        <v>0</v>
      </c>
      <c r="J911" s="49" t="e">
        <v>#DIV/0!</v>
      </c>
    </row>
    <row r="912" spans="1:10" x14ac:dyDescent="0.2">
      <c r="A912" s="91" t="s">
        <v>12</v>
      </c>
      <c r="B912" s="53" t="s">
        <v>20</v>
      </c>
      <c r="C912" s="92">
        <v>10</v>
      </c>
      <c r="D912" s="48"/>
      <c r="E912" s="48">
        <v>2.4329999999999998</v>
      </c>
      <c r="F912" s="48">
        <v>3.34</v>
      </c>
      <c r="G912" s="48">
        <v>5.423</v>
      </c>
      <c r="H912" s="48">
        <v>0.10479042</v>
      </c>
      <c r="I912" s="48">
        <v>0</v>
      </c>
      <c r="J912" s="52">
        <v>0</v>
      </c>
    </row>
    <row r="913" spans="1:10" x14ac:dyDescent="0.2">
      <c r="A913" s="85"/>
      <c r="B913" s="53" t="s">
        <v>21</v>
      </c>
      <c r="C913" s="89"/>
      <c r="D913" s="48">
        <v>959</v>
      </c>
      <c r="E913" s="48">
        <v>2.4390000000000001</v>
      </c>
      <c r="F913" s="48">
        <v>3.734</v>
      </c>
      <c r="G913" s="48">
        <v>5.7619999999999996</v>
      </c>
      <c r="H913" s="48">
        <v>0.11006963</v>
      </c>
      <c r="I913" s="48">
        <v>853.44322439999996</v>
      </c>
      <c r="J913" s="52" t="e">
        <v>#DIV/0!</v>
      </c>
    </row>
    <row r="914" spans="1:10" x14ac:dyDescent="0.2">
      <c r="A914" s="87"/>
      <c r="B914" s="56" t="s">
        <v>22</v>
      </c>
      <c r="C914" s="90"/>
      <c r="D914" s="57"/>
      <c r="E914" s="57">
        <v>2.4369999999999998</v>
      </c>
      <c r="F914" s="57">
        <v>3.0289999999999999</v>
      </c>
      <c r="G914" s="57">
        <v>5.1219999999999999</v>
      </c>
      <c r="H914" s="57">
        <v>0.11356883</v>
      </c>
      <c r="I914" s="57">
        <v>0</v>
      </c>
      <c r="J914" s="49" t="e">
        <v>#DIV/0!</v>
      </c>
    </row>
    <row r="915" spans="1:10" x14ac:dyDescent="0.2">
      <c r="A915" s="91" t="s">
        <v>13</v>
      </c>
      <c r="B915" s="53" t="s">
        <v>20</v>
      </c>
      <c r="C915" s="92">
        <v>10</v>
      </c>
      <c r="D915" s="48"/>
      <c r="E915" s="48"/>
      <c r="F915" s="48"/>
      <c r="G915" s="48"/>
      <c r="H915" s="48" t="e">
        <v>#DIV/0!</v>
      </c>
      <c r="I915" s="48" t="e">
        <v>#DIV/0!</v>
      </c>
      <c r="J915" s="52" t="e">
        <v>#DIV/0!</v>
      </c>
    </row>
    <row r="916" spans="1:10" x14ac:dyDescent="0.2">
      <c r="A916" s="85"/>
      <c r="B916" s="53" t="s">
        <v>21</v>
      </c>
      <c r="C916" s="89"/>
      <c r="D916" s="48"/>
      <c r="E916" s="48"/>
      <c r="F916" s="48"/>
      <c r="G916" s="48"/>
      <c r="H916" s="48" t="e">
        <v>#DIV/0!</v>
      </c>
      <c r="I916" s="48" t="e">
        <v>#DIV/0!</v>
      </c>
      <c r="J916" s="52" t="e">
        <v>#DIV/0!</v>
      </c>
    </row>
    <row r="917" spans="1:10" x14ac:dyDescent="0.2">
      <c r="A917" s="87"/>
      <c r="B917" s="56" t="s">
        <v>22</v>
      </c>
      <c r="C917" s="90"/>
      <c r="D917" s="57"/>
      <c r="E917" s="57"/>
      <c r="F917" s="57"/>
      <c r="G917" s="57"/>
      <c r="H917" s="57" t="e">
        <v>#DIV/0!</v>
      </c>
      <c r="I917" s="57" t="e">
        <v>#DIV/0!</v>
      </c>
      <c r="J917" s="49" t="e">
        <v>#DIV/0!</v>
      </c>
    </row>
    <row r="918" spans="1:10" x14ac:dyDescent="0.2">
      <c r="A918" s="91" t="s">
        <v>14</v>
      </c>
      <c r="B918" s="53" t="s">
        <v>20</v>
      </c>
      <c r="C918" s="92">
        <v>10</v>
      </c>
      <c r="D918" s="48"/>
      <c r="E918" s="48"/>
      <c r="F918" s="48"/>
      <c r="G918" s="48"/>
      <c r="H918" s="48" t="e">
        <v>#DIV/0!</v>
      </c>
      <c r="I918" s="48" t="e">
        <v>#DIV/0!</v>
      </c>
      <c r="J918" s="52" t="e">
        <v>#DIV/0!</v>
      </c>
    </row>
    <row r="919" spans="1:10" x14ac:dyDescent="0.2">
      <c r="A919" s="85"/>
      <c r="B919" s="53" t="s">
        <v>21</v>
      </c>
      <c r="C919" s="89"/>
      <c r="D919" s="48"/>
      <c r="E919" s="48"/>
      <c r="F919" s="48"/>
      <c r="G919" s="48"/>
      <c r="H919" s="48" t="e">
        <v>#DIV/0!</v>
      </c>
      <c r="I919" s="48" t="e">
        <v>#DIV/0!</v>
      </c>
      <c r="J919" s="52" t="e">
        <v>#DIV/0!</v>
      </c>
    </row>
    <row r="920" spans="1:10" ht="16" thickBot="1" x14ac:dyDescent="0.25">
      <c r="A920" s="93"/>
      <c r="B920" s="58" t="s">
        <v>22</v>
      </c>
      <c r="C920" s="94"/>
      <c r="D920" s="59"/>
      <c r="E920" s="59"/>
      <c r="F920" s="59"/>
      <c r="G920" s="59"/>
      <c r="H920" s="59" t="e">
        <v>#DIV/0!</v>
      </c>
      <c r="I920" s="59" t="e">
        <v>#DIV/0!</v>
      </c>
      <c r="J920" s="50" t="e">
        <v>#DIV/0!</v>
      </c>
    </row>
    <row r="921" spans="1:10" ht="16" thickBot="1" x14ac:dyDescent="0.25">
      <c r="A921" s="60" t="s">
        <v>1</v>
      </c>
      <c r="B921" s="61"/>
      <c r="C921" s="62"/>
      <c r="D921" s="63" t="s">
        <v>40</v>
      </c>
      <c r="E921" s="64"/>
      <c r="F921" s="58" t="s">
        <v>0</v>
      </c>
      <c r="G921" s="18">
        <v>44159</v>
      </c>
      <c r="H921" s="65" t="s">
        <v>24</v>
      </c>
      <c r="I921" s="66"/>
      <c r="J921" s="49">
        <v>110</v>
      </c>
    </row>
    <row r="922" spans="1:10" ht="16" thickBot="1" x14ac:dyDescent="0.25">
      <c r="A922" s="67" t="s">
        <v>2</v>
      </c>
      <c r="B922" s="68"/>
      <c r="C922" s="69"/>
      <c r="D922" s="70"/>
      <c r="E922" s="71"/>
      <c r="F922" s="72"/>
      <c r="G922" s="73"/>
      <c r="H922" s="74" t="s">
        <v>25</v>
      </c>
      <c r="I922" s="75"/>
      <c r="J922" s="49">
        <v>23</v>
      </c>
    </row>
    <row r="923" spans="1:10" ht="16" thickBot="1" x14ac:dyDescent="0.25">
      <c r="A923" s="76" t="s">
        <v>27</v>
      </c>
      <c r="B923" s="77"/>
      <c r="C923" s="78"/>
      <c r="D923" s="79" t="s">
        <v>32</v>
      </c>
      <c r="E923" s="80"/>
      <c r="F923" s="48" t="s">
        <v>30</v>
      </c>
      <c r="G923" s="48">
        <v>3.81</v>
      </c>
      <c r="H923" s="81" t="s">
        <v>26</v>
      </c>
      <c r="I923" s="82"/>
      <c r="J923" s="50">
        <v>50</v>
      </c>
    </row>
    <row r="924" spans="1:10" x14ac:dyDescent="0.2">
      <c r="A924" s="83"/>
      <c r="B924" s="84"/>
      <c r="C924" s="51" t="s">
        <v>29</v>
      </c>
      <c r="D924" s="51" t="s">
        <v>19</v>
      </c>
      <c r="E924" s="51" t="s">
        <v>15</v>
      </c>
      <c r="F924" s="51" t="s">
        <v>18</v>
      </c>
      <c r="G924" s="51" t="s">
        <v>17</v>
      </c>
      <c r="H924" s="48" t="s">
        <v>28</v>
      </c>
      <c r="I924" s="48" t="s">
        <v>16</v>
      </c>
      <c r="J924" s="52" t="s">
        <v>23</v>
      </c>
    </row>
    <row r="925" spans="1:10" x14ac:dyDescent="0.2">
      <c r="A925" s="86" t="s">
        <v>3</v>
      </c>
      <c r="B925" s="53" t="s">
        <v>20</v>
      </c>
      <c r="C925" s="88">
        <v>10</v>
      </c>
      <c r="D925" s="54"/>
      <c r="E925" s="54">
        <v>2.496</v>
      </c>
      <c r="F925" s="54">
        <v>3.2250000000000001</v>
      </c>
      <c r="G925" s="54">
        <v>5.0919999999999996</v>
      </c>
      <c r="H925" s="54">
        <v>0.19503876000000001</v>
      </c>
      <c r="I925" s="54">
        <v>0</v>
      </c>
      <c r="J925" s="55">
        <v>0</v>
      </c>
    </row>
    <row r="926" spans="1:10" x14ac:dyDescent="0.2">
      <c r="A926" s="85"/>
      <c r="B926" s="53" t="s">
        <v>21</v>
      </c>
      <c r="C926" s="89"/>
      <c r="D926" s="48">
        <v>823</v>
      </c>
      <c r="E926" s="48">
        <v>2.4700000000000002</v>
      </c>
      <c r="F926" s="48">
        <v>3.22</v>
      </c>
      <c r="G926" s="48">
        <v>5.0739999999999998</v>
      </c>
      <c r="H926" s="48">
        <v>0.19130435000000001</v>
      </c>
      <c r="I926" s="48">
        <v>665.55652169999996</v>
      </c>
      <c r="J926" s="52" t="e">
        <v>#DIV/0!</v>
      </c>
    </row>
    <row r="927" spans="1:10" x14ac:dyDescent="0.2">
      <c r="A927" s="87"/>
      <c r="B927" s="56" t="s">
        <v>22</v>
      </c>
      <c r="C927" s="90"/>
      <c r="D927" s="57"/>
      <c r="E927" s="57">
        <v>2.5</v>
      </c>
      <c r="F927" s="57">
        <v>3.641</v>
      </c>
      <c r="G927" s="57">
        <v>5.4980000000000002</v>
      </c>
      <c r="H927" s="57">
        <v>0.17659984000000001</v>
      </c>
      <c r="I927" s="57">
        <v>0</v>
      </c>
      <c r="J927" s="49" t="e">
        <v>#DIV/0!</v>
      </c>
    </row>
    <row r="928" spans="1:10" x14ac:dyDescent="0.2">
      <c r="A928" s="91" t="s">
        <v>4</v>
      </c>
      <c r="B928" s="53" t="s">
        <v>20</v>
      </c>
      <c r="C928" s="92">
        <v>10</v>
      </c>
      <c r="D928" s="48"/>
      <c r="E928" s="48">
        <v>2.4369999999999998</v>
      </c>
      <c r="F928" s="48">
        <v>3.5129999999999999</v>
      </c>
      <c r="G928" s="48">
        <v>5.3289999999999997</v>
      </c>
      <c r="H928" s="48">
        <v>0.17677198999999999</v>
      </c>
      <c r="I928" s="48">
        <v>0</v>
      </c>
      <c r="J928" s="52">
        <v>0</v>
      </c>
    </row>
    <row r="929" spans="1:10" x14ac:dyDescent="0.2">
      <c r="A929" s="85"/>
      <c r="B929" s="53" t="s">
        <v>21</v>
      </c>
      <c r="C929" s="89"/>
      <c r="D929" s="48">
        <v>799</v>
      </c>
      <c r="E929" s="48">
        <v>2.4580000000000002</v>
      </c>
      <c r="F929" s="48">
        <v>3.464</v>
      </c>
      <c r="G929" s="48">
        <v>5.298</v>
      </c>
      <c r="H929" s="48">
        <v>0.18013857</v>
      </c>
      <c r="I929" s="48">
        <v>655.0692841</v>
      </c>
      <c r="J929" s="52" t="e">
        <v>#DIV/0!</v>
      </c>
    </row>
    <row r="930" spans="1:10" x14ac:dyDescent="0.2">
      <c r="A930" s="87"/>
      <c r="B930" s="56" t="s">
        <v>22</v>
      </c>
      <c r="C930" s="90"/>
      <c r="D930" s="57"/>
      <c r="E930" s="57">
        <v>2.456</v>
      </c>
      <c r="F930" s="57">
        <v>3.0070000000000001</v>
      </c>
      <c r="G930" s="57">
        <v>4.923</v>
      </c>
      <c r="H930" s="57">
        <v>0.17958098</v>
      </c>
      <c r="I930" s="57">
        <v>0</v>
      </c>
      <c r="J930" s="49" t="e">
        <v>#DIV/0!</v>
      </c>
    </row>
    <row r="931" spans="1:10" x14ac:dyDescent="0.2">
      <c r="A931" s="91" t="s">
        <v>5</v>
      </c>
      <c r="B931" s="53" t="s">
        <v>20</v>
      </c>
      <c r="C931" s="92">
        <v>10</v>
      </c>
      <c r="D931" s="48"/>
      <c r="E931" s="48">
        <v>2.42</v>
      </c>
      <c r="F931" s="48">
        <v>3.17</v>
      </c>
      <c r="G931" s="48">
        <v>5.0789999999999997</v>
      </c>
      <c r="H931" s="48">
        <v>0.16119874000000001</v>
      </c>
      <c r="I931" s="48">
        <v>0</v>
      </c>
      <c r="J931" s="52">
        <v>0</v>
      </c>
    </row>
    <row r="932" spans="1:10" x14ac:dyDescent="0.2">
      <c r="A932" s="85"/>
      <c r="B932" s="53" t="s">
        <v>21</v>
      </c>
      <c r="C932" s="89"/>
      <c r="D932" s="48">
        <v>824</v>
      </c>
      <c r="E932" s="48">
        <v>2.4430000000000001</v>
      </c>
      <c r="F932" s="48">
        <v>3.2709999999999999</v>
      </c>
      <c r="G932" s="48">
        <v>5.1749999999999998</v>
      </c>
      <c r="H932" s="48">
        <v>0.16478140999999999</v>
      </c>
      <c r="I932" s="48">
        <v>688.22011620000001</v>
      </c>
      <c r="J932" s="52" t="e">
        <v>#DIV/0!</v>
      </c>
    </row>
    <row r="933" spans="1:10" x14ac:dyDescent="0.2">
      <c r="A933" s="87"/>
      <c r="B933" s="56" t="s">
        <v>22</v>
      </c>
      <c r="C933" s="90"/>
      <c r="D933" s="57"/>
      <c r="E933" s="57">
        <v>2.4380000000000002</v>
      </c>
      <c r="F933" s="57">
        <v>3.2749999999999999</v>
      </c>
      <c r="G933" s="57">
        <v>5.1779999999999999</v>
      </c>
      <c r="H933" s="57">
        <v>0.16335878000000001</v>
      </c>
      <c r="I933" s="57">
        <v>0</v>
      </c>
      <c r="J933" s="49" t="e">
        <v>#DIV/0!</v>
      </c>
    </row>
    <row r="934" spans="1:10" x14ac:dyDescent="0.2">
      <c r="A934" s="91" t="s">
        <v>6</v>
      </c>
      <c r="B934" s="53" t="s">
        <v>20</v>
      </c>
      <c r="C934" s="92">
        <v>10</v>
      </c>
      <c r="D934" s="48"/>
      <c r="E934" s="48">
        <v>2.4550000000000001</v>
      </c>
      <c r="F934" s="48">
        <v>3.3690000000000002</v>
      </c>
      <c r="G934" s="48">
        <v>5.3390000000000004</v>
      </c>
      <c r="H934" s="48">
        <v>0.14395963000000001</v>
      </c>
      <c r="I934" s="48">
        <v>0</v>
      </c>
      <c r="J934" s="52">
        <v>0</v>
      </c>
    </row>
    <row r="935" spans="1:10" x14ac:dyDescent="0.2">
      <c r="A935" s="85"/>
      <c r="B935" s="53" t="s">
        <v>21</v>
      </c>
      <c r="C935" s="89"/>
      <c r="D935" s="48">
        <v>888</v>
      </c>
      <c r="E935" s="48">
        <v>2.4060000000000001</v>
      </c>
      <c r="F935" s="48">
        <v>3.3010000000000002</v>
      </c>
      <c r="G935" s="48">
        <v>5.2709999999999999</v>
      </c>
      <c r="H935" s="48">
        <v>0.13208118999999999</v>
      </c>
      <c r="I935" s="48">
        <v>770.71190549999994</v>
      </c>
      <c r="J935" s="52" t="e">
        <v>#DIV/0!</v>
      </c>
    </row>
    <row r="936" spans="1:10" x14ac:dyDescent="0.2">
      <c r="A936" s="87"/>
      <c r="B936" s="56" t="s">
        <v>22</v>
      </c>
      <c r="C936" s="90"/>
      <c r="D936" s="57"/>
      <c r="E936" s="57">
        <v>2.4180000000000001</v>
      </c>
      <c r="F936" s="57">
        <v>3.1309999999999998</v>
      </c>
      <c r="G936" s="57">
        <v>5.1109999999999998</v>
      </c>
      <c r="H936" s="57">
        <v>0.13989140999999999</v>
      </c>
      <c r="I936" s="57">
        <v>0</v>
      </c>
      <c r="J936" s="49" t="e">
        <v>#DIV/0!</v>
      </c>
    </row>
    <row r="937" spans="1:10" x14ac:dyDescent="0.2">
      <c r="A937" s="91" t="s">
        <v>7</v>
      </c>
      <c r="B937" s="53" t="s">
        <v>20</v>
      </c>
      <c r="C937" s="92">
        <v>10</v>
      </c>
      <c r="D937" s="48"/>
      <c r="E937" s="48">
        <v>2.4380000000000002</v>
      </c>
      <c r="F937" s="48">
        <v>3.2170000000000001</v>
      </c>
      <c r="G937" s="48">
        <v>5.202</v>
      </c>
      <c r="H937" s="48">
        <v>0.14081442</v>
      </c>
      <c r="I937" s="48">
        <v>0</v>
      </c>
      <c r="J937" s="52">
        <v>0</v>
      </c>
    </row>
    <row r="938" spans="1:10" x14ac:dyDescent="0.2">
      <c r="A938" s="85"/>
      <c r="B938" s="53" t="s">
        <v>21</v>
      </c>
      <c r="C938" s="89"/>
      <c r="D938" s="48">
        <v>961</v>
      </c>
      <c r="E938" s="48">
        <v>2.4750000000000001</v>
      </c>
      <c r="F938" s="48">
        <v>3.0419999999999998</v>
      </c>
      <c r="G938" s="48">
        <v>5.093</v>
      </c>
      <c r="H938" s="48">
        <v>0.13938199000000001</v>
      </c>
      <c r="I938" s="48">
        <v>827.0539119</v>
      </c>
      <c r="J938" s="52" t="e">
        <v>#DIV/0!</v>
      </c>
    </row>
    <row r="939" spans="1:10" x14ac:dyDescent="0.2">
      <c r="A939" s="87"/>
      <c r="B939" s="56" t="s">
        <v>22</v>
      </c>
      <c r="C939" s="90"/>
      <c r="D939" s="57"/>
      <c r="E939" s="57">
        <v>2.4500000000000002</v>
      </c>
      <c r="F939" s="57">
        <v>3.238</v>
      </c>
      <c r="G939" s="57">
        <v>5.2249999999999996</v>
      </c>
      <c r="H939" s="57">
        <v>0.14298949999999999</v>
      </c>
      <c r="I939" s="57">
        <v>0</v>
      </c>
      <c r="J939" s="49" t="e">
        <v>#DIV/0!</v>
      </c>
    </row>
    <row r="940" spans="1:10" x14ac:dyDescent="0.2">
      <c r="A940" s="91" t="s">
        <v>8</v>
      </c>
      <c r="B940" s="53" t="s">
        <v>20</v>
      </c>
      <c r="C940" s="92">
        <v>10</v>
      </c>
      <c r="D940" s="48"/>
      <c r="E940" s="48">
        <v>2.4489999999999998</v>
      </c>
      <c r="F940" s="48">
        <v>3.2730000000000001</v>
      </c>
      <c r="G940" s="48">
        <v>5.23</v>
      </c>
      <c r="H940" s="48">
        <v>0.15032081</v>
      </c>
      <c r="I940" s="48">
        <v>0</v>
      </c>
      <c r="J940" s="52">
        <v>0</v>
      </c>
    </row>
    <row r="941" spans="1:10" x14ac:dyDescent="0.2">
      <c r="A941" s="85"/>
      <c r="B941" s="53" t="s">
        <v>21</v>
      </c>
      <c r="C941" s="89"/>
      <c r="D941" s="48">
        <v>957</v>
      </c>
      <c r="E941" s="48">
        <v>2.3940000000000001</v>
      </c>
      <c r="F941" s="48">
        <v>3.528</v>
      </c>
      <c r="G941" s="48">
        <v>5.4029999999999996</v>
      </c>
      <c r="H941" s="48">
        <v>0.14710883999999999</v>
      </c>
      <c r="I941" s="48">
        <v>816.21683670000004</v>
      </c>
      <c r="J941" s="52" t="e">
        <v>#DIV/0!</v>
      </c>
    </row>
    <row r="942" spans="1:10" x14ac:dyDescent="0.2">
      <c r="A942" s="87"/>
      <c r="B942" s="56" t="s">
        <v>22</v>
      </c>
      <c r="C942" s="90"/>
      <c r="D942" s="57"/>
      <c r="E942" s="57">
        <v>2.4180000000000001</v>
      </c>
      <c r="F942" s="57">
        <v>3.1549999999999998</v>
      </c>
      <c r="G942" s="57">
        <v>5.0960000000000001</v>
      </c>
      <c r="H942" s="57">
        <v>0.15118859000000001</v>
      </c>
      <c r="I942" s="57">
        <v>0</v>
      </c>
      <c r="J942" s="49" t="e">
        <v>#DIV/0!</v>
      </c>
    </row>
    <row r="943" spans="1:10" x14ac:dyDescent="0.2">
      <c r="A943" s="91" t="s">
        <v>9</v>
      </c>
      <c r="B943" s="53" t="s">
        <v>20</v>
      </c>
      <c r="C943" s="92">
        <v>10</v>
      </c>
      <c r="D943" s="48"/>
      <c r="E943" s="48">
        <v>2.419</v>
      </c>
      <c r="F943" s="48">
        <v>3.52</v>
      </c>
      <c r="G943" s="48">
        <v>5.319</v>
      </c>
      <c r="H943" s="48">
        <v>0.17613635999999999</v>
      </c>
      <c r="I943" s="48">
        <v>0</v>
      </c>
      <c r="J943" s="52">
        <v>0</v>
      </c>
    </row>
    <row r="944" spans="1:10" x14ac:dyDescent="0.2">
      <c r="A944" s="85"/>
      <c r="B944" s="53" t="s">
        <v>21</v>
      </c>
      <c r="C944" s="89"/>
      <c r="D944" s="48">
        <v>970</v>
      </c>
      <c r="E944" s="48">
        <v>2.4550000000000001</v>
      </c>
      <c r="F944" s="48">
        <v>3.1869999999999998</v>
      </c>
      <c r="G944" s="48">
        <v>5.1340000000000003</v>
      </c>
      <c r="H944" s="48">
        <v>0.15939755</v>
      </c>
      <c r="I944" s="48">
        <v>815.38437399999998</v>
      </c>
      <c r="J944" s="52" t="e">
        <v>#DIV/0!</v>
      </c>
    </row>
    <row r="945" spans="1:10" x14ac:dyDescent="0.2">
      <c r="A945" s="87"/>
      <c r="B945" s="56" t="s">
        <v>22</v>
      </c>
      <c r="C945" s="90"/>
      <c r="D945" s="57"/>
      <c r="E945" s="57">
        <v>2.403</v>
      </c>
      <c r="F945" s="57">
        <v>3.24</v>
      </c>
      <c r="G945" s="57">
        <v>5.0810000000000004</v>
      </c>
      <c r="H945" s="57">
        <v>0.17345679</v>
      </c>
      <c r="I945" s="57">
        <v>0</v>
      </c>
      <c r="J945" s="49" t="e">
        <v>#DIV/0!</v>
      </c>
    </row>
    <row r="946" spans="1:10" x14ac:dyDescent="0.2">
      <c r="A946" s="91" t="s">
        <v>10</v>
      </c>
      <c r="B946" s="53" t="s">
        <v>20</v>
      </c>
      <c r="C946" s="92">
        <v>10</v>
      </c>
      <c r="D946" s="48"/>
      <c r="E946" s="48">
        <v>2.411</v>
      </c>
      <c r="F946" s="48">
        <v>3.0590000000000002</v>
      </c>
      <c r="G946" s="48">
        <v>4.4939999999999998</v>
      </c>
      <c r="H946" s="48">
        <v>0.31905852000000001</v>
      </c>
      <c r="I946" s="48">
        <v>0</v>
      </c>
      <c r="J946" s="52">
        <v>0</v>
      </c>
    </row>
    <row r="947" spans="1:10" x14ac:dyDescent="0.2">
      <c r="A947" s="85"/>
      <c r="B947" s="53" t="s">
        <v>21</v>
      </c>
      <c r="C947" s="89"/>
      <c r="D947" s="48">
        <v>925</v>
      </c>
      <c r="E947" s="48">
        <v>2.4220000000000002</v>
      </c>
      <c r="F947" s="48">
        <v>3.3420000000000001</v>
      </c>
      <c r="G947" s="48">
        <v>5.2149999999999999</v>
      </c>
      <c r="H947" s="48">
        <v>0.16427289</v>
      </c>
      <c r="I947" s="48">
        <v>773.04757629999995</v>
      </c>
      <c r="J947" s="52" t="e">
        <v>#DIV/0!</v>
      </c>
    </row>
    <row r="948" spans="1:10" x14ac:dyDescent="0.2">
      <c r="A948" s="87"/>
      <c r="B948" s="56" t="s">
        <v>22</v>
      </c>
      <c r="C948" s="90"/>
      <c r="D948" s="57"/>
      <c r="E948" s="57">
        <v>2.4159999999999999</v>
      </c>
      <c r="F948" s="57">
        <v>3.1339999999999999</v>
      </c>
      <c r="G948" s="57">
        <v>5.016</v>
      </c>
      <c r="H948" s="57">
        <v>0.17038928</v>
      </c>
      <c r="I948" s="57">
        <v>0</v>
      </c>
      <c r="J948" s="49" t="e">
        <v>#DIV/0!</v>
      </c>
    </row>
    <row r="949" spans="1:10" x14ac:dyDescent="0.2">
      <c r="A949" s="91" t="s">
        <v>11</v>
      </c>
      <c r="B949" s="53" t="s">
        <v>20</v>
      </c>
      <c r="C949" s="92">
        <v>10</v>
      </c>
      <c r="D949" s="48"/>
      <c r="E949" s="48">
        <v>2.4409999999999998</v>
      </c>
      <c r="F949" s="48">
        <v>3.399</v>
      </c>
      <c r="G949" s="48">
        <v>5.2060000000000004</v>
      </c>
      <c r="H949" s="48">
        <v>0.18652545000000001</v>
      </c>
      <c r="I949" s="48">
        <v>0</v>
      </c>
      <c r="J949" s="52">
        <v>0</v>
      </c>
    </row>
    <row r="950" spans="1:10" x14ac:dyDescent="0.2">
      <c r="A950" s="85"/>
      <c r="B950" s="53" t="s">
        <v>21</v>
      </c>
      <c r="C950" s="89"/>
      <c r="D950" s="48">
        <v>781</v>
      </c>
      <c r="E950" s="48">
        <v>2.448</v>
      </c>
      <c r="F950" s="48">
        <v>3.1230000000000002</v>
      </c>
      <c r="G950" s="48">
        <v>5.0179999999999998</v>
      </c>
      <c r="H950" s="48">
        <v>0.17707333</v>
      </c>
      <c r="I950" s="48">
        <v>642.7057317</v>
      </c>
      <c r="J950" s="52" t="e">
        <v>#DIV/0!</v>
      </c>
    </row>
    <row r="951" spans="1:10" x14ac:dyDescent="0.2">
      <c r="A951" s="87"/>
      <c r="B951" s="56" t="s">
        <v>22</v>
      </c>
      <c r="C951" s="90"/>
      <c r="D951" s="57"/>
      <c r="E951" s="57">
        <v>2.4790000000000001</v>
      </c>
      <c r="F951" s="57">
        <v>3.1859999999999999</v>
      </c>
      <c r="G951" s="57">
        <v>5.048</v>
      </c>
      <c r="H951" s="57">
        <v>0.19365975999999999</v>
      </c>
      <c r="I951" s="57">
        <v>0</v>
      </c>
      <c r="J951" s="49" t="e">
        <v>#DIV/0!</v>
      </c>
    </row>
    <row r="952" spans="1:10" x14ac:dyDescent="0.2">
      <c r="A952" s="91" t="s">
        <v>12</v>
      </c>
      <c r="B952" s="53" t="s">
        <v>20</v>
      </c>
      <c r="C952" s="92">
        <v>10</v>
      </c>
      <c r="D952" s="48"/>
      <c r="E952" s="48">
        <v>2.4409999999999998</v>
      </c>
      <c r="F952" s="48">
        <v>3.508</v>
      </c>
      <c r="G952" s="48">
        <v>5.2919999999999998</v>
      </c>
      <c r="H952" s="48">
        <v>0.18728620000000001</v>
      </c>
      <c r="I952" s="48">
        <v>0</v>
      </c>
      <c r="J952" s="52">
        <v>0</v>
      </c>
    </row>
    <row r="953" spans="1:10" x14ac:dyDescent="0.2">
      <c r="A953" s="85"/>
      <c r="B953" s="53" t="s">
        <v>21</v>
      </c>
      <c r="C953" s="89"/>
      <c r="D953" s="48">
        <v>701</v>
      </c>
      <c r="E953" s="48">
        <v>2.4390000000000001</v>
      </c>
      <c r="F953" s="48">
        <v>3.7269999999999999</v>
      </c>
      <c r="G953" s="48">
        <v>5.468</v>
      </c>
      <c r="H953" s="48">
        <v>0.187282</v>
      </c>
      <c r="I953" s="48">
        <v>569.71532060000004</v>
      </c>
      <c r="J953" s="52" t="e">
        <v>#DIV/0!</v>
      </c>
    </row>
    <row r="954" spans="1:10" x14ac:dyDescent="0.2">
      <c r="A954" s="87"/>
      <c r="B954" s="56" t="s">
        <v>22</v>
      </c>
      <c r="C954" s="90"/>
      <c r="D954" s="57"/>
      <c r="E954" s="57">
        <v>2.4470000000000001</v>
      </c>
      <c r="F954" s="57">
        <v>3.1619999999999999</v>
      </c>
      <c r="G954" s="57">
        <v>5.0190000000000001</v>
      </c>
      <c r="H954" s="57">
        <v>0.18659076999999999</v>
      </c>
      <c r="I954" s="57">
        <v>0</v>
      </c>
      <c r="J954" s="49" t="e">
        <v>#DIV/0!</v>
      </c>
    </row>
    <row r="955" spans="1:10" x14ac:dyDescent="0.2">
      <c r="A955" s="91" t="s">
        <v>13</v>
      </c>
      <c r="B955" s="53" t="s">
        <v>20</v>
      </c>
      <c r="C955" s="92">
        <v>10</v>
      </c>
      <c r="D955" s="48"/>
      <c r="E955" s="48"/>
      <c r="F955" s="48"/>
      <c r="G955" s="48"/>
      <c r="H955" s="48" t="e">
        <v>#DIV/0!</v>
      </c>
      <c r="I955" s="48" t="e">
        <v>#DIV/0!</v>
      </c>
      <c r="J955" s="52" t="e">
        <v>#DIV/0!</v>
      </c>
    </row>
    <row r="956" spans="1:10" x14ac:dyDescent="0.2">
      <c r="A956" s="85"/>
      <c r="B956" s="53" t="s">
        <v>21</v>
      </c>
      <c r="C956" s="89"/>
      <c r="D956" s="48"/>
      <c r="E956" s="48"/>
      <c r="F956" s="48"/>
      <c r="G956" s="48"/>
      <c r="H956" s="48" t="e">
        <v>#DIV/0!</v>
      </c>
      <c r="I956" s="48" t="e">
        <v>#DIV/0!</v>
      </c>
      <c r="J956" s="52" t="e">
        <v>#DIV/0!</v>
      </c>
    </row>
    <row r="957" spans="1:10" x14ac:dyDescent="0.2">
      <c r="A957" s="87"/>
      <c r="B957" s="56" t="s">
        <v>22</v>
      </c>
      <c r="C957" s="90"/>
      <c r="D957" s="57"/>
      <c r="E957" s="57"/>
      <c r="F957" s="57"/>
      <c r="G957" s="57"/>
      <c r="H957" s="57" t="e">
        <v>#DIV/0!</v>
      </c>
      <c r="I957" s="57" t="e">
        <v>#DIV/0!</v>
      </c>
      <c r="J957" s="49" t="e">
        <v>#DIV/0!</v>
      </c>
    </row>
    <row r="958" spans="1:10" x14ac:dyDescent="0.2">
      <c r="A958" s="91" t="s">
        <v>14</v>
      </c>
      <c r="B958" s="53" t="s">
        <v>20</v>
      </c>
      <c r="C958" s="92">
        <v>10</v>
      </c>
      <c r="D958" s="48"/>
      <c r="E958" s="48"/>
      <c r="F958" s="48"/>
      <c r="G958" s="48"/>
      <c r="H958" s="48" t="e">
        <v>#DIV/0!</v>
      </c>
      <c r="I958" s="48" t="e">
        <v>#DIV/0!</v>
      </c>
      <c r="J958" s="52" t="e">
        <v>#DIV/0!</v>
      </c>
    </row>
    <row r="959" spans="1:10" x14ac:dyDescent="0.2">
      <c r="A959" s="85"/>
      <c r="B959" s="53" t="s">
        <v>21</v>
      </c>
      <c r="C959" s="89"/>
      <c r="D959" s="48"/>
      <c r="E959" s="48"/>
      <c r="F959" s="48"/>
      <c r="G959" s="48"/>
      <c r="H959" s="48" t="e">
        <v>#DIV/0!</v>
      </c>
      <c r="I959" s="48" t="e">
        <v>#DIV/0!</v>
      </c>
      <c r="J959" s="52" t="e">
        <v>#DIV/0!</v>
      </c>
    </row>
    <row r="960" spans="1:10" ht="16" thickBot="1" x14ac:dyDescent="0.25">
      <c r="A960" s="93"/>
      <c r="B960" s="58" t="s">
        <v>22</v>
      </c>
      <c r="C960" s="94"/>
      <c r="D960" s="59"/>
      <c r="E960" s="59"/>
      <c r="F960" s="59"/>
      <c r="G960" s="59"/>
      <c r="H960" s="59" t="e">
        <v>#DIV/0!</v>
      </c>
      <c r="I960" s="59" t="e">
        <v>#DIV/0!</v>
      </c>
      <c r="J960" s="50" t="e">
        <v>#DIV/0!</v>
      </c>
    </row>
    <row r="961" spans="1:10" ht="16" thickBot="1" x14ac:dyDescent="0.25">
      <c r="A961" s="60" t="s">
        <v>1</v>
      </c>
      <c r="B961" s="61"/>
      <c r="C961" s="62"/>
      <c r="D961" s="63" t="s">
        <v>46</v>
      </c>
      <c r="E961" s="64"/>
      <c r="F961" s="58" t="s">
        <v>0</v>
      </c>
      <c r="G961" s="18">
        <v>44157</v>
      </c>
      <c r="H961" s="65" t="s">
        <v>24</v>
      </c>
      <c r="I961" s="66"/>
      <c r="J961" s="49">
        <v>90</v>
      </c>
    </row>
    <row r="962" spans="1:10" ht="16" thickBot="1" x14ac:dyDescent="0.25">
      <c r="A962" s="67" t="s">
        <v>2</v>
      </c>
      <c r="B962" s="68"/>
      <c r="C962" s="69"/>
      <c r="D962" s="70"/>
      <c r="E962" s="71"/>
      <c r="F962" s="72"/>
      <c r="G962" s="73"/>
      <c r="H962" s="74" t="s">
        <v>25</v>
      </c>
      <c r="I962" s="75"/>
      <c r="J962" s="49">
        <v>20</v>
      </c>
    </row>
    <row r="963" spans="1:10" ht="16" thickBot="1" x14ac:dyDescent="0.25">
      <c r="A963" s="76" t="s">
        <v>27</v>
      </c>
      <c r="B963" s="77"/>
      <c r="C963" s="78"/>
      <c r="D963" s="79" t="s">
        <v>33</v>
      </c>
      <c r="E963" s="80"/>
      <c r="F963" s="48" t="s">
        <v>30</v>
      </c>
      <c r="G963" s="48">
        <v>3.81</v>
      </c>
      <c r="H963" s="81" t="s">
        <v>26</v>
      </c>
      <c r="I963" s="82"/>
      <c r="J963" s="50">
        <v>40</v>
      </c>
    </row>
    <row r="964" spans="1:10" x14ac:dyDescent="0.2">
      <c r="A964" s="83"/>
      <c r="B964" s="84"/>
      <c r="C964" s="51" t="s">
        <v>29</v>
      </c>
      <c r="D964" s="51" t="s">
        <v>19</v>
      </c>
      <c r="E964" s="51" t="s">
        <v>15</v>
      </c>
      <c r="F964" s="51" t="s">
        <v>18</v>
      </c>
      <c r="G964" s="51" t="s">
        <v>17</v>
      </c>
      <c r="H964" s="48" t="s">
        <v>28</v>
      </c>
      <c r="I964" s="48" t="s">
        <v>16</v>
      </c>
      <c r="J964" s="52" t="s">
        <v>23</v>
      </c>
    </row>
    <row r="965" spans="1:10" x14ac:dyDescent="0.2">
      <c r="A965" s="86" t="s">
        <v>3</v>
      </c>
      <c r="B965" s="53" t="s">
        <v>20</v>
      </c>
      <c r="C965" s="88">
        <v>10</v>
      </c>
      <c r="D965" s="54"/>
      <c r="E965" s="54">
        <v>2.484</v>
      </c>
      <c r="F965" s="54">
        <v>3.0529999999999999</v>
      </c>
      <c r="G965" s="54">
        <v>4.8970000000000002</v>
      </c>
      <c r="H965" s="54">
        <v>0.20962987</v>
      </c>
      <c r="I965" s="54">
        <v>0</v>
      </c>
      <c r="J965" s="55">
        <v>0</v>
      </c>
    </row>
    <row r="966" spans="1:10" x14ac:dyDescent="0.2">
      <c r="A966" s="85"/>
      <c r="B966" s="53" t="s">
        <v>21</v>
      </c>
      <c r="C966" s="89"/>
      <c r="D966" s="48">
        <v>620</v>
      </c>
      <c r="E966" s="48">
        <v>2.4860000000000002</v>
      </c>
      <c r="F966" s="48">
        <v>3.4809999999999999</v>
      </c>
      <c r="G966" s="48">
        <v>5.2329999999999997</v>
      </c>
      <c r="H966" s="48">
        <v>0.21085894999999999</v>
      </c>
      <c r="I966" s="48">
        <v>489.26745190000003</v>
      </c>
      <c r="J966" s="52" t="e">
        <v>#DIV/0!</v>
      </c>
    </row>
    <row r="967" spans="1:10" x14ac:dyDescent="0.2">
      <c r="A967" s="87"/>
      <c r="B967" s="56" t="s">
        <v>22</v>
      </c>
      <c r="C967" s="90"/>
      <c r="D967" s="57"/>
      <c r="E967" s="57">
        <v>2.448</v>
      </c>
      <c r="F967" s="57">
        <v>3.6709999999999998</v>
      </c>
      <c r="G967" s="57">
        <v>5.3339999999999996</v>
      </c>
      <c r="H967" s="57">
        <v>0.21383819000000001</v>
      </c>
      <c r="I967" s="57">
        <v>0</v>
      </c>
      <c r="J967" s="49" t="e">
        <v>#DIV/0!</v>
      </c>
    </row>
    <row r="968" spans="1:10" x14ac:dyDescent="0.2">
      <c r="A968" s="91" t="s">
        <v>4</v>
      </c>
      <c r="B968" s="53" t="s">
        <v>20</v>
      </c>
      <c r="C968" s="92">
        <v>10</v>
      </c>
      <c r="D968" s="48"/>
      <c r="E968" s="48">
        <v>2.444</v>
      </c>
      <c r="F968" s="48">
        <v>3.0430000000000001</v>
      </c>
      <c r="G968" s="48">
        <v>4.8600000000000003</v>
      </c>
      <c r="H968" s="48">
        <v>0.20604665999999999</v>
      </c>
      <c r="I968" s="48">
        <v>0</v>
      </c>
      <c r="J968" s="52">
        <v>0</v>
      </c>
    </row>
    <row r="969" spans="1:10" x14ac:dyDescent="0.2">
      <c r="A969" s="85"/>
      <c r="B969" s="53" t="s">
        <v>21</v>
      </c>
      <c r="C969" s="89"/>
      <c r="D969" s="48">
        <v>741</v>
      </c>
      <c r="E969" s="48">
        <v>2.4289999999999998</v>
      </c>
      <c r="F969" s="48">
        <v>3.23</v>
      </c>
      <c r="G969" s="48">
        <v>4.9349999999999996</v>
      </c>
      <c r="H969" s="48">
        <v>0.22414861</v>
      </c>
      <c r="I969" s="48">
        <v>574.9058824</v>
      </c>
      <c r="J969" s="52" t="e">
        <v>#DIV/0!</v>
      </c>
    </row>
    <row r="970" spans="1:10" x14ac:dyDescent="0.2">
      <c r="A970" s="87"/>
      <c r="B970" s="56" t="s">
        <v>22</v>
      </c>
      <c r="C970" s="90"/>
      <c r="D970" s="57"/>
      <c r="E970" s="57">
        <v>2.4140000000000001</v>
      </c>
      <c r="F970" s="57">
        <v>3.2010000000000001</v>
      </c>
      <c r="G970" s="57">
        <v>4.8949999999999996</v>
      </c>
      <c r="H970" s="57">
        <v>0.22492971</v>
      </c>
      <c r="I970" s="57">
        <v>0</v>
      </c>
      <c r="J970" s="49" t="e">
        <v>#DIV/0!</v>
      </c>
    </row>
    <row r="971" spans="1:10" x14ac:dyDescent="0.2">
      <c r="A971" s="91" t="s">
        <v>5</v>
      </c>
      <c r="B971" s="53" t="s">
        <v>20</v>
      </c>
      <c r="C971" s="92">
        <v>10</v>
      </c>
      <c r="D971" s="48"/>
      <c r="E971" s="48">
        <v>2.415</v>
      </c>
      <c r="F971" s="48">
        <v>3.468</v>
      </c>
      <c r="G971" s="48">
        <v>5.1260000000000003</v>
      </c>
      <c r="H971" s="48">
        <v>0.21828143</v>
      </c>
      <c r="I971" s="48">
        <v>0</v>
      </c>
      <c r="J971" s="52">
        <v>0</v>
      </c>
    </row>
    <row r="972" spans="1:10" x14ac:dyDescent="0.2">
      <c r="A972" s="85"/>
      <c r="B972" s="53" t="s">
        <v>21</v>
      </c>
      <c r="C972" s="89"/>
      <c r="D972" s="48">
        <v>790</v>
      </c>
      <c r="E972" s="48">
        <v>2.4670000000000001</v>
      </c>
      <c r="F972" s="48">
        <v>3.1269999999999998</v>
      </c>
      <c r="G972" s="48">
        <v>4.9630000000000001</v>
      </c>
      <c r="H972" s="48">
        <v>0.20179084999999999</v>
      </c>
      <c r="I972" s="48">
        <v>630.58522549999998</v>
      </c>
      <c r="J972" s="52" t="e">
        <v>#DIV/0!</v>
      </c>
    </row>
    <row r="973" spans="1:10" x14ac:dyDescent="0.2">
      <c r="A973" s="87"/>
      <c r="B973" s="56" t="s">
        <v>22</v>
      </c>
      <c r="C973" s="90"/>
      <c r="D973" s="57"/>
      <c r="E973" s="57">
        <v>2.4209999999999998</v>
      </c>
      <c r="F973" s="57">
        <v>3.0649999999999999</v>
      </c>
      <c r="G973" s="57">
        <v>4.84</v>
      </c>
      <c r="H973" s="57">
        <v>0.21076671999999999</v>
      </c>
      <c r="I973" s="57">
        <v>0</v>
      </c>
      <c r="J973" s="49" t="e">
        <v>#DIV/0!</v>
      </c>
    </row>
    <row r="974" spans="1:10" x14ac:dyDescent="0.2">
      <c r="A974" s="91" t="s">
        <v>6</v>
      </c>
      <c r="B974" s="53" t="s">
        <v>20</v>
      </c>
      <c r="C974" s="92">
        <v>10</v>
      </c>
      <c r="D974" s="48"/>
      <c r="E974" s="48">
        <v>2.427</v>
      </c>
      <c r="F974" s="48">
        <v>3.2320000000000002</v>
      </c>
      <c r="G974" s="48">
        <v>5.0039999999999996</v>
      </c>
      <c r="H974" s="48">
        <v>0.20266089000000001</v>
      </c>
      <c r="I974" s="48">
        <v>0</v>
      </c>
      <c r="J974" s="52">
        <v>0</v>
      </c>
    </row>
    <row r="975" spans="1:10" x14ac:dyDescent="0.2">
      <c r="A975" s="85"/>
      <c r="B975" s="53" t="s">
        <v>21</v>
      </c>
      <c r="C975" s="89"/>
      <c r="D975" s="48">
        <v>758</v>
      </c>
      <c r="E975" s="48">
        <v>2.4529999999999998</v>
      </c>
      <c r="F975" s="48">
        <v>3.2309999999999999</v>
      </c>
      <c r="G975" s="48">
        <v>4.9939999999999998</v>
      </c>
      <c r="H975" s="48">
        <v>0.21355616999999999</v>
      </c>
      <c r="I975" s="48">
        <v>596.12441969999998</v>
      </c>
      <c r="J975" s="52" t="e">
        <v>#DIV/0!</v>
      </c>
    </row>
    <row r="976" spans="1:10" x14ac:dyDescent="0.2">
      <c r="A976" s="87"/>
      <c r="B976" s="56" t="s">
        <v>22</v>
      </c>
      <c r="C976" s="90"/>
      <c r="D976" s="57"/>
      <c r="E976" s="57">
        <v>2.4340000000000002</v>
      </c>
      <c r="F976" s="57">
        <v>3.4129999999999998</v>
      </c>
      <c r="G976" s="57">
        <v>5.1159999999999997</v>
      </c>
      <c r="H976" s="57">
        <v>0.21418107</v>
      </c>
      <c r="I976" s="57">
        <v>0</v>
      </c>
      <c r="J976" s="49" t="e">
        <v>#DIV/0!</v>
      </c>
    </row>
    <row r="977" spans="1:10" x14ac:dyDescent="0.2">
      <c r="A977" s="91" t="s">
        <v>7</v>
      </c>
      <c r="B977" s="53" t="s">
        <v>20</v>
      </c>
      <c r="C977" s="92">
        <v>10</v>
      </c>
      <c r="D977" s="48"/>
      <c r="E977" s="48">
        <v>2.4449999999999998</v>
      </c>
      <c r="F977" s="48">
        <v>3.0960000000000001</v>
      </c>
      <c r="G977" s="48">
        <v>4.9279999999999999</v>
      </c>
      <c r="H977" s="48">
        <v>0.19799742000000001</v>
      </c>
      <c r="I977" s="48">
        <v>0</v>
      </c>
      <c r="J977" s="52">
        <v>0</v>
      </c>
    </row>
    <row r="978" spans="1:10" x14ac:dyDescent="0.2">
      <c r="A978" s="85"/>
      <c r="B978" s="53" t="s">
        <v>21</v>
      </c>
      <c r="C978" s="89"/>
      <c r="D978" s="48">
        <v>803</v>
      </c>
      <c r="E978" s="48">
        <v>2.4129999999999998</v>
      </c>
      <c r="F978" s="48">
        <v>3.4039999999999999</v>
      </c>
      <c r="G978" s="48">
        <v>5.1020000000000003</v>
      </c>
      <c r="H978" s="48">
        <v>0.21004700000000001</v>
      </c>
      <c r="I978" s="48">
        <v>634.33225619999996</v>
      </c>
      <c r="J978" s="52" t="e">
        <v>#DIV/0!</v>
      </c>
    </row>
    <row r="979" spans="1:10" x14ac:dyDescent="0.2">
      <c r="A979" s="87"/>
      <c r="B979" s="56" t="s">
        <v>22</v>
      </c>
      <c r="C979" s="90"/>
      <c r="D979" s="57"/>
      <c r="E979" s="57">
        <v>2.4359999999999999</v>
      </c>
      <c r="F979" s="57">
        <v>3.089</v>
      </c>
      <c r="G979" s="57">
        <v>4.8680000000000003</v>
      </c>
      <c r="H979" s="57">
        <v>0.21269019</v>
      </c>
      <c r="I979" s="57">
        <v>0</v>
      </c>
      <c r="J979" s="49" t="e">
        <v>#DIV/0!</v>
      </c>
    </row>
    <row r="980" spans="1:10" x14ac:dyDescent="0.2">
      <c r="A980" s="91" t="s">
        <v>8</v>
      </c>
      <c r="B980" s="53" t="s">
        <v>20</v>
      </c>
      <c r="C980" s="92">
        <v>10</v>
      </c>
      <c r="D980" s="48"/>
      <c r="E980" s="48">
        <v>2.4239999999999999</v>
      </c>
      <c r="F980" s="48">
        <v>3.0579999999999998</v>
      </c>
      <c r="G980" s="48">
        <v>4.9770000000000003</v>
      </c>
      <c r="H980" s="48">
        <v>0.16514060999999999</v>
      </c>
      <c r="I980" s="48">
        <v>0</v>
      </c>
      <c r="J980" s="52">
        <v>0</v>
      </c>
    </row>
    <row r="981" spans="1:10" x14ac:dyDescent="0.2">
      <c r="A981" s="85"/>
      <c r="B981" s="53" t="s">
        <v>21</v>
      </c>
      <c r="C981" s="89"/>
      <c r="D981" s="48">
        <v>802</v>
      </c>
      <c r="E981" s="48">
        <v>2.4430000000000001</v>
      </c>
      <c r="F981" s="48">
        <v>3.0920000000000001</v>
      </c>
      <c r="G981" s="48">
        <v>4.9969999999999999</v>
      </c>
      <c r="H981" s="48">
        <v>0.17399740999999999</v>
      </c>
      <c r="I981" s="48">
        <v>662.45407499999999</v>
      </c>
      <c r="J981" s="52" t="e">
        <v>#DIV/0!</v>
      </c>
    </row>
    <row r="982" spans="1:10" x14ac:dyDescent="0.2">
      <c r="A982" s="87"/>
      <c r="B982" s="56" t="s">
        <v>22</v>
      </c>
      <c r="C982" s="90"/>
      <c r="D982" s="57"/>
      <c r="E982" s="57">
        <v>2.4049999999999998</v>
      </c>
      <c r="F982" s="57">
        <v>3.2589999999999999</v>
      </c>
      <c r="G982" s="57">
        <v>5.093</v>
      </c>
      <c r="H982" s="57">
        <v>0.17520711999999999</v>
      </c>
      <c r="I982" s="57">
        <v>0</v>
      </c>
      <c r="J982" s="49" t="e">
        <v>#DIV/0!</v>
      </c>
    </row>
    <row r="983" spans="1:10" x14ac:dyDescent="0.2">
      <c r="A983" s="91" t="s">
        <v>9</v>
      </c>
      <c r="B983" s="53" t="s">
        <v>20</v>
      </c>
      <c r="C983" s="92">
        <v>10</v>
      </c>
      <c r="D983" s="48"/>
      <c r="E983" s="48">
        <v>2.4340000000000002</v>
      </c>
      <c r="F983" s="48">
        <v>3.194</v>
      </c>
      <c r="G983" s="48">
        <v>5</v>
      </c>
      <c r="H983" s="48">
        <v>0.19661866</v>
      </c>
      <c r="I983" s="48">
        <v>0</v>
      </c>
      <c r="J983" s="52">
        <v>0</v>
      </c>
    </row>
    <row r="984" spans="1:10" x14ac:dyDescent="0.2">
      <c r="A984" s="85"/>
      <c r="B984" s="53" t="s">
        <v>21</v>
      </c>
      <c r="C984" s="89"/>
      <c r="D984" s="48">
        <v>768</v>
      </c>
      <c r="E984" s="48">
        <v>2.4319999999999999</v>
      </c>
      <c r="F984" s="48">
        <v>3.0990000000000002</v>
      </c>
      <c r="G984" s="48">
        <v>4.92</v>
      </c>
      <c r="H984" s="48">
        <v>0.19716037</v>
      </c>
      <c r="I984" s="48">
        <v>616.58083250000004</v>
      </c>
      <c r="J984" s="52" t="e">
        <v>#DIV/0!</v>
      </c>
    </row>
    <row r="985" spans="1:10" x14ac:dyDescent="0.2">
      <c r="A985" s="87"/>
      <c r="B985" s="56" t="s">
        <v>22</v>
      </c>
      <c r="C985" s="90"/>
      <c r="D985" s="57"/>
      <c r="E985" s="57">
        <v>2.4420000000000002</v>
      </c>
      <c r="F985" s="57">
        <v>3.0350000000000001</v>
      </c>
      <c r="G985" s="57">
        <v>4.8689999999999998</v>
      </c>
      <c r="H985" s="57">
        <v>0.20032949</v>
      </c>
      <c r="I985" s="57">
        <v>0</v>
      </c>
      <c r="J985" s="49" t="e">
        <v>#DIV/0!</v>
      </c>
    </row>
    <row r="986" spans="1:10" x14ac:dyDescent="0.2">
      <c r="A986" s="91" t="s">
        <v>10</v>
      </c>
      <c r="B986" s="53" t="s">
        <v>20</v>
      </c>
      <c r="C986" s="92">
        <v>10</v>
      </c>
      <c r="D986" s="48"/>
      <c r="E986" s="48">
        <v>2.431</v>
      </c>
      <c r="F986" s="48">
        <v>3.016</v>
      </c>
      <c r="G986" s="48">
        <v>4.9660000000000002</v>
      </c>
      <c r="H986" s="48">
        <v>0.15948276</v>
      </c>
      <c r="I986" s="48">
        <v>0</v>
      </c>
      <c r="J986" s="52">
        <v>0</v>
      </c>
    </row>
    <row r="987" spans="1:10" x14ac:dyDescent="0.2">
      <c r="A987" s="85"/>
      <c r="B987" s="53" t="s">
        <v>21</v>
      </c>
      <c r="C987" s="89"/>
      <c r="D987" s="48">
        <v>906</v>
      </c>
      <c r="E987" s="48">
        <v>2.4609999999999999</v>
      </c>
      <c r="F987" s="48">
        <v>3.2040000000000002</v>
      </c>
      <c r="G987" s="48">
        <v>5.0229999999999997</v>
      </c>
      <c r="H987" s="48">
        <v>0.20037453</v>
      </c>
      <c r="I987" s="48">
        <v>724.46067419999997</v>
      </c>
      <c r="J987" s="52" t="e">
        <v>#DIV/0!</v>
      </c>
    </row>
    <row r="988" spans="1:10" x14ac:dyDescent="0.2">
      <c r="A988" s="87"/>
      <c r="B988" s="56" t="s">
        <v>22</v>
      </c>
      <c r="C988" s="90"/>
      <c r="D988" s="57"/>
      <c r="E988" s="57">
        <v>2.4500000000000002</v>
      </c>
      <c r="F988" s="57">
        <v>3.0830000000000002</v>
      </c>
      <c r="G988" s="57">
        <v>4.9589999999999996</v>
      </c>
      <c r="H988" s="57">
        <v>0.18618229</v>
      </c>
      <c r="I988" s="57">
        <v>0</v>
      </c>
      <c r="J988" s="49" t="e">
        <v>#DIV/0!</v>
      </c>
    </row>
    <row r="989" spans="1:10" x14ac:dyDescent="0.2">
      <c r="A989" s="91" t="s">
        <v>11</v>
      </c>
      <c r="B989" s="53" t="s">
        <v>20</v>
      </c>
      <c r="C989" s="92">
        <v>10</v>
      </c>
      <c r="D989" s="48"/>
      <c r="E989" s="48">
        <v>2.4350000000000001</v>
      </c>
      <c r="F989" s="48">
        <v>3.0289999999999999</v>
      </c>
      <c r="G989" s="48">
        <v>4.8659999999999997</v>
      </c>
      <c r="H989" s="48">
        <v>0.19742488999999999</v>
      </c>
      <c r="I989" s="48">
        <v>0</v>
      </c>
      <c r="J989" s="52">
        <v>0</v>
      </c>
    </row>
    <row r="990" spans="1:10" x14ac:dyDescent="0.2">
      <c r="A990" s="85"/>
      <c r="B990" s="53" t="s">
        <v>21</v>
      </c>
      <c r="C990" s="89"/>
      <c r="D990" s="48">
        <v>841</v>
      </c>
      <c r="E990" s="48">
        <v>2.4420000000000002</v>
      </c>
      <c r="F990" s="48">
        <v>3.0859999999999999</v>
      </c>
      <c r="G990" s="48">
        <v>4.9029999999999996</v>
      </c>
      <c r="H990" s="48">
        <v>0.20252754000000001</v>
      </c>
      <c r="I990" s="48">
        <v>670.67433570000003</v>
      </c>
      <c r="J990" s="52" t="e">
        <v>#DIV/0!</v>
      </c>
    </row>
    <row r="991" spans="1:10" x14ac:dyDescent="0.2">
      <c r="A991" s="87"/>
      <c r="B991" s="56" t="s">
        <v>22</v>
      </c>
      <c r="C991" s="90"/>
      <c r="D991" s="57"/>
      <c r="E991" s="57">
        <v>2.4119999999999999</v>
      </c>
      <c r="F991" s="57">
        <v>3.13</v>
      </c>
      <c r="G991" s="57">
        <v>4.97</v>
      </c>
      <c r="H991" s="57">
        <v>0.18274760000000001</v>
      </c>
      <c r="I991" s="57">
        <v>0</v>
      </c>
      <c r="J991" s="49" t="e">
        <v>#DIV/0!</v>
      </c>
    </row>
    <row r="992" spans="1:10" x14ac:dyDescent="0.2">
      <c r="A992" s="91" t="s">
        <v>12</v>
      </c>
      <c r="B992" s="53" t="s">
        <v>20</v>
      </c>
      <c r="C992" s="92">
        <v>10</v>
      </c>
      <c r="D992" s="48"/>
      <c r="E992" s="48"/>
      <c r="F992" s="48"/>
      <c r="G992" s="48"/>
      <c r="H992" s="48" t="e">
        <v>#DIV/0!</v>
      </c>
      <c r="I992" s="48" t="e">
        <v>#DIV/0!</v>
      </c>
      <c r="J992" s="52" t="e">
        <v>#DIV/0!</v>
      </c>
    </row>
    <row r="993" spans="1:10" x14ac:dyDescent="0.2">
      <c r="A993" s="85"/>
      <c r="B993" s="53" t="s">
        <v>21</v>
      </c>
      <c r="C993" s="89"/>
      <c r="D993" s="48"/>
      <c r="E993" s="48"/>
      <c r="F993" s="48"/>
      <c r="G993" s="48"/>
      <c r="H993" s="48" t="e">
        <v>#DIV/0!</v>
      </c>
      <c r="I993" s="48" t="e">
        <v>#DIV/0!</v>
      </c>
      <c r="J993" s="52" t="e">
        <v>#DIV/0!</v>
      </c>
    </row>
    <row r="994" spans="1:10" x14ac:dyDescent="0.2">
      <c r="A994" s="87"/>
      <c r="B994" s="56" t="s">
        <v>22</v>
      </c>
      <c r="C994" s="90"/>
      <c r="D994" s="57"/>
      <c r="E994" s="57"/>
      <c r="F994" s="57"/>
      <c r="G994" s="57"/>
      <c r="H994" s="57" t="e">
        <v>#DIV/0!</v>
      </c>
      <c r="I994" s="57" t="e">
        <v>#DIV/0!</v>
      </c>
      <c r="J994" s="49" t="e">
        <v>#DIV/0!</v>
      </c>
    </row>
    <row r="995" spans="1:10" x14ac:dyDescent="0.2">
      <c r="A995" s="91" t="s">
        <v>13</v>
      </c>
      <c r="B995" s="53" t="s">
        <v>20</v>
      </c>
      <c r="C995" s="92">
        <v>10</v>
      </c>
      <c r="D995" s="48"/>
      <c r="E995" s="48"/>
      <c r="F995" s="48"/>
      <c r="G995" s="48"/>
      <c r="H995" s="48" t="e">
        <v>#DIV/0!</v>
      </c>
      <c r="I995" s="48" t="e">
        <v>#DIV/0!</v>
      </c>
      <c r="J995" s="52" t="e">
        <v>#DIV/0!</v>
      </c>
    </row>
    <row r="996" spans="1:10" x14ac:dyDescent="0.2">
      <c r="A996" s="85"/>
      <c r="B996" s="53" t="s">
        <v>21</v>
      </c>
      <c r="C996" s="89"/>
      <c r="D996" s="48"/>
      <c r="E996" s="48"/>
      <c r="F996" s="48"/>
      <c r="G996" s="48"/>
      <c r="H996" s="48" t="e">
        <v>#DIV/0!</v>
      </c>
      <c r="I996" s="48" t="e">
        <v>#DIV/0!</v>
      </c>
      <c r="J996" s="52" t="e">
        <v>#DIV/0!</v>
      </c>
    </row>
    <row r="997" spans="1:10" x14ac:dyDescent="0.2">
      <c r="A997" s="87"/>
      <c r="B997" s="56" t="s">
        <v>22</v>
      </c>
      <c r="C997" s="90"/>
      <c r="D997" s="57"/>
      <c r="E997" s="57"/>
      <c r="F997" s="57"/>
      <c r="G997" s="57"/>
      <c r="H997" s="57" t="e">
        <v>#DIV/0!</v>
      </c>
      <c r="I997" s="57" t="e">
        <v>#DIV/0!</v>
      </c>
      <c r="J997" s="49" t="e">
        <v>#DIV/0!</v>
      </c>
    </row>
    <row r="998" spans="1:10" x14ac:dyDescent="0.2">
      <c r="A998" s="91" t="s">
        <v>14</v>
      </c>
      <c r="B998" s="53" t="s">
        <v>20</v>
      </c>
      <c r="C998" s="92">
        <v>10</v>
      </c>
      <c r="D998" s="48"/>
      <c r="E998" s="48"/>
      <c r="F998" s="48"/>
      <c r="G998" s="48"/>
      <c r="H998" s="48" t="e">
        <v>#DIV/0!</v>
      </c>
      <c r="I998" s="48" t="e">
        <v>#DIV/0!</v>
      </c>
      <c r="J998" s="52" t="e">
        <v>#DIV/0!</v>
      </c>
    </row>
    <row r="999" spans="1:10" x14ac:dyDescent="0.2">
      <c r="A999" s="85"/>
      <c r="B999" s="53" t="s">
        <v>21</v>
      </c>
      <c r="C999" s="89"/>
      <c r="D999" s="48"/>
      <c r="E999" s="48"/>
      <c r="F999" s="48"/>
      <c r="G999" s="48"/>
      <c r="H999" s="48" t="e">
        <v>#DIV/0!</v>
      </c>
      <c r="I999" s="48" t="e">
        <v>#DIV/0!</v>
      </c>
      <c r="J999" s="52" t="e">
        <v>#DIV/0!</v>
      </c>
    </row>
    <row r="1000" spans="1:10" ht="16" thickBot="1" x14ac:dyDescent="0.25">
      <c r="A1000" s="93"/>
      <c r="B1000" s="58" t="s">
        <v>22</v>
      </c>
      <c r="C1000" s="94"/>
      <c r="D1000" s="59"/>
      <c r="E1000" s="59"/>
      <c r="F1000" s="59"/>
      <c r="G1000" s="59"/>
      <c r="H1000" s="59" t="e">
        <v>#DIV/0!</v>
      </c>
      <c r="I1000" s="59" t="e">
        <v>#DIV/0!</v>
      </c>
      <c r="J1000" s="50" t="e">
        <v>#DIV/0!</v>
      </c>
    </row>
    <row r="1001" spans="1:10" ht="16" thickBot="1" x14ac:dyDescent="0.25">
      <c r="A1001" s="60" t="s">
        <v>1</v>
      </c>
      <c r="B1001" s="61"/>
      <c r="C1001" s="62"/>
      <c r="D1001" s="63" t="s">
        <v>47</v>
      </c>
      <c r="E1001" s="64"/>
      <c r="F1001" s="58" t="s">
        <v>0</v>
      </c>
      <c r="G1001" s="18">
        <v>44156</v>
      </c>
      <c r="H1001" s="65" t="s">
        <v>24</v>
      </c>
      <c r="I1001" s="66"/>
      <c r="J1001" s="49">
        <v>120</v>
      </c>
    </row>
    <row r="1002" spans="1:10" ht="16" thickBot="1" x14ac:dyDescent="0.25">
      <c r="A1002" s="67" t="s">
        <v>2</v>
      </c>
      <c r="B1002" s="68"/>
      <c r="C1002" s="69"/>
      <c r="D1002" s="70"/>
      <c r="E1002" s="71"/>
      <c r="F1002" s="72"/>
      <c r="G1002" s="73"/>
      <c r="H1002" s="74" t="s">
        <v>25</v>
      </c>
      <c r="I1002" s="75"/>
      <c r="J1002" s="49">
        <v>30</v>
      </c>
    </row>
    <row r="1003" spans="1:10" ht="16" thickBot="1" x14ac:dyDescent="0.25">
      <c r="A1003" s="76" t="s">
        <v>27</v>
      </c>
      <c r="B1003" s="77"/>
      <c r="C1003" s="78"/>
      <c r="D1003" s="79" t="s">
        <v>36</v>
      </c>
      <c r="E1003" s="80"/>
      <c r="F1003" s="48" t="s">
        <v>30</v>
      </c>
      <c r="G1003" s="48">
        <v>3.81</v>
      </c>
      <c r="H1003" s="81" t="s">
        <v>26</v>
      </c>
      <c r="I1003" s="82"/>
      <c r="J1003" s="50">
        <v>70</v>
      </c>
    </row>
    <row r="1004" spans="1:10" x14ac:dyDescent="0.2">
      <c r="A1004" s="83"/>
      <c r="B1004" s="84"/>
      <c r="C1004" s="51" t="s">
        <v>29</v>
      </c>
      <c r="D1004" s="51" t="s">
        <v>19</v>
      </c>
      <c r="E1004" s="51" t="s">
        <v>15</v>
      </c>
      <c r="F1004" s="51" t="s">
        <v>18</v>
      </c>
      <c r="G1004" s="51" t="s">
        <v>17</v>
      </c>
      <c r="H1004" s="48" t="s">
        <v>28</v>
      </c>
      <c r="I1004" s="48" t="s">
        <v>16</v>
      </c>
      <c r="J1004" s="52" t="s">
        <v>23</v>
      </c>
    </row>
    <row r="1005" spans="1:10" x14ac:dyDescent="0.2">
      <c r="A1005" s="86" t="s">
        <v>3</v>
      </c>
      <c r="B1005" s="53" t="s">
        <v>20</v>
      </c>
      <c r="C1005" s="88">
        <v>10</v>
      </c>
      <c r="D1005" s="54"/>
      <c r="E1005" s="54">
        <v>1.7370000000000001</v>
      </c>
      <c r="F1005" s="54">
        <v>3.0950000000000002</v>
      </c>
      <c r="G1005" s="54">
        <v>4.3099999999999996</v>
      </c>
      <c r="H1005" s="54">
        <v>0.16865912999999999</v>
      </c>
      <c r="I1005" s="54">
        <v>0</v>
      </c>
      <c r="J1005" s="55">
        <v>0</v>
      </c>
    </row>
    <row r="1006" spans="1:10" x14ac:dyDescent="0.2">
      <c r="A1006" s="85"/>
      <c r="B1006" s="53" t="s">
        <v>21</v>
      </c>
      <c r="C1006" s="89"/>
      <c r="D1006" s="48">
        <v>681</v>
      </c>
      <c r="E1006" s="48">
        <v>1.7330000000000001</v>
      </c>
      <c r="F1006" s="48">
        <v>3.32</v>
      </c>
      <c r="G1006" s="48">
        <v>4.5060000000000002</v>
      </c>
      <c r="H1006" s="48">
        <v>0.16475904</v>
      </c>
      <c r="I1006" s="48">
        <v>568.79909640000005</v>
      </c>
      <c r="J1006" s="52" t="e">
        <v>#DIV/0!</v>
      </c>
    </row>
    <row r="1007" spans="1:10" x14ac:dyDescent="0.2">
      <c r="A1007" s="87"/>
      <c r="B1007" s="56" t="s">
        <v>22</v>
      </c>
      <c r="C1007" s="90"/>
      <c r="D1007" s="57"/>
      <c r="E1007" s="57">
        <v>1.726</v>
      </c>
      <c r="F1007" s="57">
        <v>3.0619999999999998</v>
      </c>
      <c r="G1007" s="57">
        <v>4.2770000000000001</v>
      </c>
      <c r="H1007" s="57">
        <v>0.16688438999999999</v>
      </c>
      <c r="I1007" s="57">
        <v>0</v>
      </c>
      <c r="J1007" s="49" t="e">
        <v>#DIV/0!</v>
      </c>
    </row>
    <row r="1008" spans="1:10" x14ac:dyDescent="0.2">
      <c r="A1008" s="91" t="s">
        <v>4</v>
      </c>
      <c r="B1008" s="53" t="s">
        <v>20</v>
      </c>
      <c r="C1008" s="92">
        <v>10</v>
      </c>
      <c r="D1008" s="48"/>
      <c r="E1008" s="48">
        <v>1.73</v>
      </c>
      <c r="F1008" s="48">
        <v>3.0640000000000001</v>
      </c>
      <c r="G1008" s="48">
        <v>4.2779999999999996</v>
      </c>
      <c r="H1008" s="48">
        <v>0.16840731</v>
      </c>
      <c r="I1008" s="48">
        <v>0</v>
      </c>
      <c r="J1008" s="52">
        <v>0</v>
      </c>
    </row>
    <row r="1009" spans="1:10" x14ac:dyDescent="0.2">
      <c r="A1009" s="85"/>
      <c r="B1009" s="53" t="s">
        <v>21</v>
      </c>
      <c r="C1009" s="89"/>
      <c r="D1009" s="48">
        <v>679</v>
      </c>
      <c r="E1009" s="48">
        <v>1.7110000000000001</v>
      </c>
      <c r="F1009" s="48">
        <v>3.4460000000000002</v>
      </c>
      <c r="G1009" s="48">
        <v>4.5789999999999997</v>
      </c>
      <c r="H1009" s="48">
        <v>0.16773070000000001</v>
      </c>
      <c r="I1009" s="48">
        <v>565.11085319999995</v>
      </c>
      <c r="J1009" s="52" t="e">
        <v>#DIV/0!</v>
      </c>
    </row>
    <row r="1010" spans="1:10" x14ac:dyDescent="0.2">
      <c r="A1010" s="87"/>
      <c r="B1010" s="56" t="s">
        <v>22</v>
      </c>
      <c r="C1010" s="90"/>
      <c r="D1010" s="57"/>
      <c r="E1010" s="57">
        <v>1.734</v>
      </c>
      <c r="F1010" s="57">
        <v>3.1509999999999998</v>
      </c>
      <c r="G1010" s="57">
        <v>4.359</v>
      </c>
      <c r="H1010" s="57">
        <v>0.16693113000000001</v>
      </c>
      <c r="I1010" s="57">
        <v>0</v>
      </c>
      <c r="J1010" s="49" t="e">
        <v>#DIV/0!</v>
      </c>
    </row>
    <row r="1011" spans="1:10" x14ac:dyDescent="0.2">
      <c r="A1011" s="91" t="s">
        <v>5</v>
      </c>
      <c r="B1011" s="53" t="s">
        <v>20</v>
      </c>
      <c r="C1011" s="92">
        <v>10</v>
      </c>
      <c r="D1011" s="48"/>
      <c r="E1011" s="48">
        <v>1.7090000000000001</v>
      </c>
      <c r="F1011" s="48">
        <v>3.1720000000000002</v>
      </c>
      <c r="G1011" s="48">
        <v>4.3860000000000001</v>
      </c>
      <c r="H1011" s="48">
        <v>0.15605295999999999</v>
      </c>
      <c r="I1011" s="48">
        <v>0</v>
      </c>
      <c r="J1011" s="52">
        <v>0</v>
      </c>
    </row>
    <row r="1012" spans="1:10" x14ac:dyDescent="0.2">
      <c r="A1012" s="85"/>
      <c r="B1012" s="53" t="s">
        <v>21</v>
      </c>
      <c r="C1012" s="89"/>
      <c r="D1012" s="48">
        <v>721</v>
      </c>
      <c r="E1012" s="48">
        <v>1.7410000000000001</v>
      </c>
      <c r="F1012" s="48">
        <v>3.133</v>
      </c>
      <c r="G1012" s="48">
        <v>4.3849999999999998</v>
      </c>
      <c r="H1012" s="48">
        <v>0.15608042999999999</v>
      </c>
      <c r="I1012" s="48">
        <v>608.46600699999999</v>
      </c>
      <c r="J1012" s="52" t="e">
        <v>#DIV/0!</v>
      </c>
    </row>
    <row r="1013" spans="1:10" x14ac:dyDescent="0.2">
      <c r="A1013" s="87"/>
      <c r="B1013" s="56" t="s">
        <v>22</v>
      </c>
      <c r="C1013" s="90"/>
      <c r="D1013" s="57"/>
      <c r="E1013" s="57">
        <v>1.7250000000000001</v>
      </c>
      <c r="F1013" s="57">
        <v>3.27</v>
      </c>
      <c r="G1013" s="57">
        <v>4.4729999999999999</v>
      </c>
      <c r="H1013" s="57">
        <v>0.15963303000000001</v>
      </c>
      <c r="I1013" s="57">
        <v>0</v>
      </c>
      <c r="J1013" s="49" t="e">
        <v>#DIV/0!</v>
      </c>
    </row>
    <row r="1014" spans="1:10" x14ac:dyDescent="0.2">
      <c r="A1014" s="91" t="s">
        <v>6</v>
      </c>
      <c r="B1014" s="53" t="s">
        <v>20</v>
      </c>
      <c r="C1014" s="92">
        <v>10</v>
      </c>
      <c r="D1014" s="48"/>
      <c r="E1014" s="48">
        <v>1.726</v>
      </c>
      <c r="F1014" s="48">
        <v>3.08</v>
      </c>
      <c r="G1014" s="48">
        <v>4.3440000000000003</v>
      </c>
      <c r="H1014" s="48">
        <v>0.15</v>
      </c>
      <c r="I1014" s="48">
        <v>0</v>
      </c>
      <c r="J1014" s="52">
        <v>0</v>
      </c>
    </row>
    <row r="1015" spans="1:10" x14ac:dyDescent="0.2">
      <c r="A1015" s="85"/>
      <c r="B1015" s="53" t="s">
        <v>21</v>
      </c>
      <c r="C1015" s="89"/>
      <c r="D1015" s="48">
        <v>696</v>
      </c>
      <c r="E1015" s="48">
        <v>1.718</v>
      </c>
      <c r="F1015" s="48">
        <v>3.0590000000000002</v>
      </c>
      <c r="G1015" s="48">
        <v>4.3159999999999998</v>
      </c>
      <c r="H1015" s="48">
        <v>0.15070284</v>
      </c>
      <c r="I1015" s="48">
        <v>591.11082050000005</v>
      </c>
      <c r="J1015" s="52" t="e">
        <v>#DIV/0!</v>
      </c>
    </row>
    <row r="1016" spans="1:10" x14ac:dyDescent="0.2">
      <c r="A1016" s="87"/>
      <c r="B1016" s="56" t="s">
        <v>22</v>
      </c>
      <c r="C1016" s="90"/>
      <c r="D1016" s="57"/>
      <c r="E1016" s="57">
        <v>1.71</v>
      </c>
      <c r="F1016" s="57">
        <v>3.0070000000000001</v>
      </c>
      <c r="G1016" s="57">
        <v>4.274</v>
      </c>
      <c r="H1016" s="57">
        <v>0.14732291</v>
      </c>
      <c r="I1016" s="57">
        <v>0</v>
      </c>
      <c r="J1016" s="49" t="e">
        <v>#DIV/0!</v>
      </c>
    </row>
    <row r="1017" spans="1:10" x14ac:dyDescent="0.2">
      <c r="A1017" s="91" t="s">
        <v>7</v>
      </c>
      <c r="B1017" s="53" t="s">
        <v>20</v>
      </c>
      <c r="C1017" s="92">
        <v>10</v>
      </c>
      <c r="D1017" s="48"/>
      <c r="E1017" s="48">
        <v>1.7210000000000001</v>
      </c>
      <c r="F1017" s="48">
        <v>3.0259999999999998</v>
      </c>
      <c r="G1017" s="48">
        <v>4.2949999999999999</v>
      </c>
      <c r="H1017" s="48">
        <v>0.14937211</v>
      </c>
      <c r="I1017" s="48">
        <v>0</v>
      </c>
      <c r="J1017" s="52">
        <v>0</v>
      </c>
    </row>
    <row r="1018" spans="1:10" x14ac:dyDescent="0.2">
      <c r="A1018" s="85"/>
      <c r="B1018" s="53" t="s">
        <v>21</v>
      </c>
      <c r="C1018" s="89"/>
      <c r="D1018" s="48">
        <v>647</v>
      </c>
      <c r="E1018" s="48">
        <v>1.732</v>
      </c>
      <c r="F1018" s="48">
        <v>3.411</v>
      </c>
      <c r="G1018" s="48">
        <v>4.6260000000000003</v>
      </c>
      <c r="H1018" s="48">
        <v>0.15156844999999999</v>
      </c>
      <c r="I1018" s="48">
        <v>548.93520960000001</v>
      </c>
      <c r="J1018" s="52" t="e">
        <v>#DIV/0!</v>
      </c>
    </row>
    <row r="1019" spans="1:10" x14ac:dyDescent="0.2">
      <c r="A1019" s="87"/>
      <c r="B1019" s="56" t="s">
        <v>22</v>
      </c>
      <c r="C1019" s="90"/>
      <c r="D1019" s="57"/>
      <c r="E1019" s="57">
        <v>1.718</v>
      </c>
      <c r="F1019" s="57">
        <v>3.0979999999999999</v>
      </c>
      <c r="G1019" s="57">
        <v>4.3559999999999999</v>
      </c>
      <c r="H1019" s="57">
        <v>0.14848289000000001</v>
      </c>
      <c r="I1019" s="57">
        <v>0</v>
      </c>
      <c r="J1019" s="49" t="e">
        <v>#DIV/0!</v>
      </c>
    </row>
    <row r="1020" spans="1:10" x14ac:dyDescent="0.2">
      <c r="A1020" s="91" t="s">
        <v>8</v>
      </c>
      <c r="B1020" s="53" t="s">
        <v>20</v>
      </c>
      <c r="C1020" s="92">
        <v>10</v>
      </c>
      <c r="D1020" s="48"/>
      <c r="E1020" s="48">
        <v>1.724</v>
      </c>
      <c r="F1020" s="48">
        <v>3.0259999999999998</v>
      </c>
      <c r="G1020" s="48">
        <v>4.2629999999999999</v>
      </c>
      <c r="H1020" s="48">
        <v>0.16093853</v>
      </c>
      <c r="I1020" s="48">
        <v>0</v>
      </c>
      <c r="J1020" s="52">
        <v>0</v>
      </c>
    </row>
    <row r="1021" spans="1:10" x14ac:dyDescent="0.2">
      <c r="A1021" s="85"/>
      <c r="B1021" s="53" t="s">
        <v>21</v>
      </c>
      <c r="C1021" s="89"/>
      <c r="D1021" s="48">
        <v>730</v>
      </c>
      <c r="E1021" s="48">
        <v>1.706</v>
      </c>
      <c r="F1021" s="48">
        <v>3.081</v>
      </c>
      <c r="G1021" s="48">
        <v>4.2880000000000003</v>
      </c>
      <c r="H1021" s="48">
        <v>0.1619604</v>
      </c>
      <c r="I1021" s="48">
        <v>611.76890619999995</v>
      </c>
      <c r="J1021" s="52" t="e">
        <v>#DIV/0!</v>
      </c>
    </row>
    <row r="1022" spans="1:10" x14ac:dyDescent="0.2">
      <c r="A1022" s="87"/>
      <c r="B1022" s="56" t="s">
        <v>22</v>
      </c>
      <c r="C1022" s="90"/>
      <c r="D1022" s="57"/>
      <c r="E1022" s="57">
        <v>1.7110000000000001</v>
      </c>
      <c r="F1022" s="57">
        <v>3.0369999999999999</v>
      </c>
      <c r="G1022" s="57">
        <v>4.266</v>
      </c>
      <c r="H1022" s="57">
        <v>0.15870925</v>
      </c>
      <c r="I1022" s="57">
        <v>0</v>
      </c>
      <c r="J1022" s="49" t="e">
        <v>#DIV/0!</v>
      </c>
    </row>
    <row r="1023" spans="1:10" x14ac:dyDescent="0.2">
      <c r="A1023" s="91" t="s">
        <v>9</v>
      </c>
      <c r="B1023" s="53" t="s">
        <v>20</v>
      </c>
      <c r="C1023" s="92">
        <v>10</v>
      </c>
      <c r="D1023" s="48"/>
      <c r="E1023" s="48">
        <v>1.7350000000000001</v>
      </c>
      <c r="F1023" s="48">
        <v>3.0950000000000002</v>
      </c>
      <c r="G1023" s="48">
        <v>4.298</v>
      </c>
      <c r="H1023" s="48">
        <v>0.17189014999999999</v>
      </c>
      <c r="I1023" s="48">
        <v>0</v>
      </c>
      <c r="J1023" s="52">
        <v>0</v>
      </c>
    </row>
    <row r="1024" spans="1:10" x14ac:dyDescent="0.2">
      <c r="A1024" s="85"/>
      <c r="B1024" s="53" t="s">
        <v>21</v>
      </c>
      <c r="C1024" s="89"/>
      <c r="D1024" s="48">
        <v>787</v>
      </c>
      <c r="E1024" s="48">
        <v>1.7130000000000001</v>
      </c>
      <c r="F1024" s="48">
        <v>3.1160000000000001</v>
      </c>
      <c r="G1024" s="48">
        <v>4.2880000000000003</v>
      </c>
      <c r="H1024" s="48">
        <v>0.17362003000000001</v>
      </c>
      <c r="I1024" s="48">
        <v>650.36103979999996</v>
      </c>
      <c r="J1024" s="52" t="e">
        <v>#DIV/0!</v>
      </c>
    </row>
    <row r="1025" spans="1:10" x14ac:dyDescent="0.2">
      <c r="A1025" s="87"/>
      <c r="B1025" s="56" t="s">
        <v>22</v>
      </c>
      <c r="C1025" s="90"/>
      <c r="D1025" s="57"/>
      <c r="E1025" s="57">
        <v>1.7330000000000001</v>
      </c>
      <c r="F1025" s="57">
        <v>3.0840000000000001</v>
      </c>
      <c r="G1025" s="57">
        <v>4.282</v>
      </c>
      <c r="H1025" s="57">
        <v>0.17347601000000001</v>
      </c>
      <c r="I1025" s="57">
        <v>0</v>
      </c>
      <c r="J1025" s="49" t="e">
        <v>#DIV/0!</v>
      </c>
    </row>
    <row r="1026" spans="1:10" x14ac:dyDescent="0.2">
      <c r="A1026" s="91" t="s">
        <v>10</v>
      </c>
      <c r="B1026" s="53" t="s">
        <v>20</v>
      </c>
      <c r="C1026" s="92">
        <v>10</v>
      </c>
      <c r="D1026" s="48"/>
      <c r="E1026" s="48">
        <v>1.728</v>
      </c>
      <c r="F1026" s="48">
        <v>3.0569999999999999</v>
      </c>
      <c r="G1026" s="48">
        <v>4.5439999999999996</v>
      </c>
      <c r="H1026" s="48">
        <v>7.8835459999999996E-2</v>
      </c>
      <c r="I1026" s="48">
        <v>0</v>
      </c>
      <c r="J1026" s="52">
        <v>0</v>
      </c>
    </row>
    <row r="1027" spans="1:10" x14ac:dyDescent="0.2">
      <c r="A1027" s="85"/>
      <c r="B1027" s="53" t="s">
        <v>21</v>
      </c>
      <c r="C1027" s="89"/>
      <c r="D1027" s="48">
        <v>676</v>
      </c>
      <c r="E1027" s="48">
        <v>1.732</v>
      </c>
      <c r="F1027" s="48">
        <v>3.0739999999999998</v>
      </c>
      <c r="G1027" s="48">
        <v>4.57</v>
      </c>
      <c r="H1027" s="48">
        <v>7.6772930000000003E-2</v>
      </c>
      <c r="I1027" s="48">
        <v>624.10149639999997</v>
      </c>
      <c r="J1027" s="52" t="e">
        <v>#DIV/0!</v>
      </c>
    </row>
    <row r="1028" spans="1:10" x14ac:dyDescent="0.2">
      <c r="A1028" s="87"/>
      <c r="B1028" s="56" t="s">
        <v>22</v>
      </c>
      <c r="C1028" s="90"/>
      <c r="D1028" s="57"/>
      <c r="E1028" s="57">
        <v>1.73</v>
      </c>
      <c r="F1028" s="57">
        <v>3.0270000000000001</v>
      </c>
      <c r="G1028" s="57">
        <v>4.516</v>
      </c>
      <c r="H1028" s="57">
        <v>7.9616779999999998E-2</v>
      </c>
      <c r="I1028" s="57">
        <v>0</v>
      </c>
      <c r="J1028" s="49" t="e">
        <v>#DIV/0!</v>
      </c>
    </row>
    <row r="1029" spans="1:10" x14ac:dyDescent="0.2">
      <c r="A1029" s="91" t="s">
        <v>11</v>
      </c>
      <c r="B1029" s="53" t="s">
        <v>20</v>
      </c>
      <c r="C1029" s="92">
        <v>10</v>
      </c>
      <c r="D1029" s="48"/>
      <c r="E1029" s="48">
        <v>1.7270000000000001</v>
      </c>
      <c r="F1029" s="48">
        <v>2.9260000000000002</v>
      </c>
      <c r="G1029" s="48">
        <v>4.4539999999999997</v>
      </c>
      <c r="H1029" s="48">
        <v>6.8010940000000006E-2</v>
      </c>
      <c r="I1029" s="48">
        <v>0</v>
      </c>
      <c r="J1029" s="52">
        <v>0</v>
      </c>
    </row>
    <row r="1030" spans="1:10" x14ac:dyDescent="0.2">
      <c r="A1030" s="85"/>
      <c r="B1030" s="53" t="s">
        <v>21</v>
      </c>
      <c r="C1030" s="89"/>
      <c r="D1030" s="48">
        <v>751</v>
      </c>
      <c r="E1030" s="48">
        <v>1.7190000000000001</v>
      </c>
      <c r="F1030" s="48">
        <v>3.13</v>
      </c>
      <c r="G1030" s="48">
        <v>4.625</v>
      </c>
      <c r="H1030" s="48">
        <v>7.1565500000000004E-2</v>
      </c>
      <c r="I1030" s="48">
        <v>697.25431309999999</v>
      </c>
      <c r="J1030" s="52" t="e">
        <v>#DIV/0!</v>
      </c>
    </row>
    <row r="1031" spans="1:10" x14ac:dyDescent="0.2">
      <c r="A1031" s="87"/>
      <c r="B1031" s="56" t="s">
        <v>22</v>
      </c>
      <c r="C1031" s="90"/>
      <c r="D1031" s="57"/>
      <c r="E1031" s="57">
        <v>1.7310000000000001</v>
      </c>
      <c r="F1031" s="57">
        <v>2.968</v>
      </c>
      <c r="G1031" s="57">
        <v>4.4950000000000001</v>
      </c>
      <c r="H1031" s="57">
        <v>6.8733150000000007E-2</v>
      </c>
      <c r="I1031" s="57">
        <v>0</v>
      </c>
      <c r="J1031" s="49" t="e">
        <v>#DIV/0!</v>
      </c>
    </row>
    <row r="1032" spans="1:10" x14ac:dyDescent="0.2">
      <c r="A1032" s="91" t="s">
        <v>12</v>
      </c>
      <c r="B1032" s="53" t="s">
        <v>20</v>
      </c>
      <c r="C1032" s="92">
        <v>10</v>
      </c>
      <c r="D1032" s="48"/>
      <c r="E1032" s="48">
        <v>1.7070000000000001</v>
      </c>
      <c r="F1032" s="48">
        <v>3.008</v>
      </c>
      <c r="G1032" s="48">
        <v>4.4539999999999997</v>
      </c>
      <c r="H1032" s="48">
        <v>8.6768620000000005E-2</v>
      </c>
      <c r="I1032" s="48">
        <v>0</v>
      </c>
      <c r="J1032" s="52">
        <v>0</v>
      </c>
    </row>
    <row r="1033" spans="1:10" x14ac:dyDescent="0.2">
      <c r="A1033" s="85"/>
      <c r="B1033" s="53" t="s">
        <v>21</v>
      </c>
      <c r="C1033" s="89"/>
      <c r="D1033" s="48">
        <v>683</v>
      </c>
      <c r="E1033" s="48">
        <v>1.7210000000000001</v>
      </c>
      <c r="F1033" s="48">
        <v>3.0569999999999999</v>
      </c>
      <c r="G1033" s="48">
        <v>4.5220000000000002</v>
      </c>
      <c r="H1033" s="48">
        <v>8.3742230000000001E-2</v>
      </c>
      <c r="I1033" s="48">
        <v>625.80405629999996</v>
      </c>
      <c r="J1033" s="52" t="e">
        <v>#DIV/0!</v>
      </c>
    </row>
    <row r="1034" spans="1:10" x14ac:dyDescent="0.2">
      <c r="A1034" s="87"/>
      <c r="B1034" s="56" t="s">
        <v>22</v>
      </c>
      <c r="C1034" s="90"/>
      <c r="D1034" s="57"/>
      <c r="E1034" s="57">
        <v>1.732</v>
      </c>
      <c r="F1034" s="57">
        <v>3.085</v>
      </c>
      <c r="G1034" s="57">
        <v>4.556</v>
      </c>
      <c r="H1034" s="57">
        <v>8.4602919999999998E-2</v>
      </c>
      <c r="I1034" s="57">
        <v>0</v>
      </c>
      <c r="J1034" s="49" t="e">
        <v>#DIV/0!</v>
      </c>
    </row>
    <row r="1035" spans="1:10" x14ac:dyDescent="0.2">
      <c r="A1035" s="91" t="s">
        <v>13</v>
      </c>
      <c r="B1035" s="53" t="s">
        <v>20</v>
      </c>
      <c r="C1035" s="92">
        <v>10</v>
      </c>
      <c r="D1035" s="48"/>
      <c r="E1035" s="48">
        <v>1.73</v>
      </c>
      <c r="F1035" s="48">
        <v>3.093</v>
      </c>
      <c r="G1035" s="48">
        <v>4.4630000000000001</v>
      </c>
      <c r="H1035" s="48">
        <v>0.11639185000000001</v>
      </c>
      <c r="I1035" s="48">
        <v>0</v>
      </c>
      <c r="J1035" s="52">
        <v>0</v>
      </c>
    </row>
    <row r="1036" spans="1:10" x14ac:dyDescent="0.2">
      <c r="A1036" s="85"/>
      <c r="B1036" s="53" t="s">
        <v>21</v>
      </c>
      <c r="C1036" s="89"/>
      <c r="D1036" s="48">
        <v>744</v>
      </c>
      <c r="E1036" s="48">
        <v>1.728</v>
      </c>
      <c r="F1036" s="48">
        <v>3.0710000000000002</v>
      </c>
      <c r="G1036" s="48">
        <v>4.4660000000000002</v>
      </c>
      <c r="H1036" s="48">
        <v>0.10843373000000001</v>
      </c>
      <c r="I1036" s="48">
        <v>663.32530120000001</v>
      </c>
      <c r="J1036" s="52" t="e">
        <v>#DIV/0!</v>
      </c>
    </row>
    <row r="1037" spans="1:10" x14ac:dyDescent="0.2">
      <c r="A1037" s="87"/>
      <c r="B1037" s="56" t="s">
        <v>22</v>
      </c>
      <c r="C1037" s="90"/>
      <c r="D1037" s="57"/>
      <c r="E1037" s="57">
        <v>1.724</v>
      </c>
      <c r="F1037" s="57">
        <v>3.0369999999999999</v>
      </c>
      <c r="G1037" s="57">
        <v>4.4320000000000004</v>
      </c>
      <c r="H1037" s="57">
        <v>0.10833059</v>
      </c>
      <c r="I1037" s="57">
        <v>0</v>
      </c>
      <c r="J1037" s="49" t="e">
        <v>#DIV/0!</v>
      </c>
    </row>
    <row r="1038" spans="1:10" x14ac:dyDescent="0.2">
      <c r="A1038" s="91" t="s">
        <v>14</v>
      </c>
      <c r="B1038" s="53" t="s">
        <v>20</v>
      </c>
      <c r="C1038" s="92">
        <v>10</v>
      </c>
      <c r="D1038" s="48"/>
      <c r="E1038" s="48">
        <v>1.734</v>
      </c>
      <c r="F1038" s="48">
        <v>3.069</v>
      </c>
      <c r="G1038" s="48">
        <v>4.4390000000000001</v>
      </c>
      <c r="H1038" s="48">
        <v>0.11860540999999999</v>
      </c>
      <c r="I1038" s="48">
        <v>0</v>
      </c>
      <c r="J1038" s="52">
        <v>0</v>
      </c>
    </row>
    <row r="1039" spans="1:10" x14ac:dyDescent="0.2">
      <c r="A1039" s="85"/>
      <c r="B1039" s="53" t="s">
        <v>21</v>
      </c>
      <c r="C1039" s="89"/>
      <c r="D1039" s="48">
        <v>595</v>
      </c>
      <c r="E1039" s="48">
        <v>1.706</v>
      </c>
      <c r="F1039" s="48">
        <v>3.0459999999999998</v>
      </c>
      <c r="G1039" s="48">
        <v>4.5110000000000001</v>
      </c>
      <c r="H1039" s="48">
        <v>7.9120159999999995E-2</v>
      </c>
      <c r="I1039" s="48">
        <v>547.92350620000002</v>
      </c>
      <c r="J1039" s="52" t="e">
        <v>#DIV/0!</v>
      </c>
    </row>
    <row r="1040" spans="1:10" ht="16" thickBot="1" x14ac:dyDescent="0.25">
      <c r="A1040" s="93"/>
      <c r="B1040" s="58" t="s">
        <v>22</v>
      </c>
      <c r="C1040" s="94"/>
      <c r="D1040" s="59"/>
      <c r="E1040" s="59">
        <v>1.736</v>
      </c>
      <c r="F1040" s="59">
        <v>3.133</v>
      </c>
      <c r="G1040" s="59">
        <v>4.5410000000000004</v>
      </c>
      <c r="H1040" s="59">
        <v>0.10469199</v>
      </c>
      <c r="I1040" s="59">
        <v>0</v>
      </c>
      <c r="J1040" s="50" t="e">
        <v>#DIV/0!</v>
      </c>
    </row>
    <row r="1041" spans="1:10" ht="16" thickBot="1" x14ac:dyDescent="0.25">
      <c r="A1041" s="60" t="s">
        <v>1</v>
      </c>
      <c r="B1041" s="61"/>
      <c r="C1041" s="62"/>
      <c r="D1041" s="63" t="s">
        <v>47</v>
      </c>
      <c r="E1041" s="64"/>
      <c r="F1041" s="58" t="s">
        <v>0</v>
      </c>
      <c r="G1041" s="18">
        <v>44156</v>
      </c>
      <c r="H1041" s="65" t="s">
        <v>24</v>
      </c>
      <c r="I1041" s="66"/>
      <c r="J1041" s="49">
        <v>110</v>
      </c>
    </row>
    <row r="1042" spans="1:10" ht="16" thickBot="1" x14ac:dyDescent="0.25">
      <c r="A1042" s="67" t="s">
        <v>2</v>
      </c>
      <c r="B1042" s="68"/>
      <c r="C1042" s="69"/>
      <c r="D1042" s="70"/>
      <c r="E1042" s="71"/>
      <c r="F1042" s="72"/>
      <c r="G1042" s="73"/>
      <c r="H1042" s="74" t="s">
        <v>25</v>
      </c>
      <c r="I1042" s="75"/>
      <c r="J1042" s="49">
        <v>30</v>
      </c>
    </row>
    <row r="1043" spans="1:10" ht="16" thickBot="1" x14ac:dyDescent="0.25">
      <c r="A1043" s="76" t="s">
        <v>27</v>
      </c>
      <c r="B1043" s="77"/>
      <c r="C1043" s="78"/>
      <c r="D1043" s="79" t="s">
        <v>32</v>
      </c>
      <c r="E1043" s="80"/>
      <c r="F1043" s="48" t="s">
        <v>30</v>
      </c>
      <c r="G1043" s="48">
        <v>3.81</v>
      </c>
      <c r="H1043" s="81" t="s">
        <v>26</v>
      </c>
      <c r="I1043" s="82"/>
      <c r="J1043" s="50">
        <v>60</v>
      </c>
    </row>
    <row r="1044" spans="1:10" x14ac:dyDescent="0.2">
      <c r="A1044" s="83"/>
      <c r="B1044" s="84"/>
      <c r="C1044" s="51" t="s">
        <v>29</v>
      </c>
      <c r="D1044" s="51" t="s">
        <v>19</v>
      </c>
      <c r="E1044" s="51" t="s">
        <v>15</v>
      </c>
      <c r="F1044" s="51" t="s">
        <v>18</v>
      </c>
      <c r="G1044" s="51" t="s">
        <v>17</v>
      </c>
      <c r="H1044" s="48" t="s">
        <v>28</v>
      </c>
      <c r="I1044" s="48" t="s">
        <v>16</v>
      </c>
      <c r="J1044" s="52" t="s">
        <v>23</v>
      </c>
    </row>
    <row r="1045" spans="1:10" x14ac:dyDescent="0.2">
      <c r="A1045" s="86" t="s">
        <v>3</v>
      </c>
      <c r="B1045" s="53" t="s">
        <v>20</v>
      </c>
      <c r="C1045" s="88">
        <v>10</v>
      </c>
      <c r="D1045" s="54"/>
      <c r="E1045" s="54">
        <v>1.7270000000000001</v>
      </c>
      <c r="F1045" s="54">
        <v>3.4140000000000001</v>
      </c>
      <c r="G1045" s="54">
        <v>4.3369999999999997</v>
      </c>
      <c r="H1045" s="54">
        <v>0.23550088</v>
      </c>
      <c r="I1045" s="54">
        <v>0</v>
      </c>
      <c r="J1045" s="55">
        <v>0</v>
      </c>
    </row>
    <row r="1046" spans="1:10" x14ac:dyDescent="0.2">
      <c r="A1046" s="85"/>
      <c r="B1046" s="53" t="s">
        <v>21</v>
      </c>
      <c r="C1046" s="89"/>
      <c r="D1046" s="48">
        <v>539</v>
      </c>
      <c r="E1046" s="48">
        <v>1.724</v>
      </c>
      <c r="F1046" s="48">
        <v>3.1549999999999998</v>
      </c>
      <c r="G1046" s="48">
        <v>4.3410000000000002</v>
      </c>
      <c r="H1046" s="48">
        <v>0.17052297999999999</v>
      </c>
      <c r="I1046" s="48">
        <v>447.08811409999998</v>
      </c>
      <c r="J1046" s="52" t="e">
        <v>#DIV/0!</v>
      </c>
    </row>
    <row r="1047" spans="1:10" x14ac:dyDescent="0.2">
      <c r="A1047" s="87"/>
      <c r="B1047" s="56" t="s">
        <v>22</v>
      </c>
      <c r="C1047" s="90"/>
      <c r="D1047" s="57"/>
      <c r="E1047" s="57">
        <v>1.732</v>
      </c>
      <c r="F1047" s="57">
        <v>3.0190000000000001</v>
      </c>
      <c r="G1047" s="57">
        <v>4.2089999999999996</v>
      </c>
      <c r="H1047" s="57">
        <v>0.17952965000000001</v>
      </c>
      <c r="I1047" s="57">
        <v>0</v>
      </c>
      <c r="J1047" s="49" t="e">
        <v>#DIV/0!</v>
      </c>
    </row>
    <row r="1048" spans="1:10" x14ac:dyDescent="0.2">
      <c r="A1048" s="91" t="s">
        <v>4</v>
      </c>
      <c r="B1048" s="53" t="s">
        <v>20</v>
      </c>
      <c r="C1048" s="92">
        <v>10</v>
      </c>
      <c r="D1048" s="48"/>
      <c r="E1048" s="48">
        <v>1.7250000000000001</v>
      </c>
      <c r="F1048" s="48">
        <v>3.0710000000000002</v>
      </c>
      <c r="G1048" s="48">
        <v>4.3010000000000002</v>
      </c>
      <c r="H1048" s="48">
        <v>0.16118527999999999</v>
      </c>
      <c r="I1048" s="48">
        <v>0</v>
      </c>
      <c r="J1048" s="52">
        <v>0</v>
      </c>
    </row>
    <row r="1049" spans="1:10" x14ac:dyDescent="0.2">
      <c r="A1049" s="85"/>
      <c r="B1049" s="53" t="s">
        <v>21</v>
      </c>
      <c r="C1049" s="89"/>
      <c r="D1049" s="48">
        <v>642</v>
      </c>
      <c r="E1049" s="48">
        <v>1.7330000000000001</v>
      </c>
      <c r="F1049" s="48">
        <v>3.363</v>
      </c>
      <c r="G1049" s="48">
        <v>4.548</v>
      </c>
      <c r="H1049" s="48">
        <v>0.16294975</v>
      </c>
      <c r="I1049" s="48">
        <v>537.3862623</v>
      </c>
      <c r="J1049" s="52" t="e">
        <v>#DIV/0!</v>
      </c>
    </row>
    <row r="1050" spans="1:10" x14ac:dyDescent="0.2">
      <c r="A1050" s="87"/>
      <c r="B1050" s="56" t="s">
        <v>22</v>
      </c>
      <c r="C1050" s="90"/>
      <c r="D1050" s="57"/>
      <c r="E1050" s="57">
        <v>1.7430000000000001</v>
      </c>
      <c r="F1050" s="57">
        <v>3.1819999999999999</v>
      </c>
      <c r="G1050" s="57">
        <v>4.4089999999999998</v>
      </c>
      <c r="H1050" s="57">
        <v>0.16216216</v>
      </c>
      <c r="I1050" s="57">
        <v>0</v>
      </c>
      <c r="J1050" s="49" t="e">
        <v>#DIV/0!</v>
      </c>
    </row>
    <row r="1051" spans="1:10" x14ac:dyDescent="0.2">
      <c r="A1051" s="91" t="s">
        <v>5</v>
      </c>
      <c r="B1051" s="53" t="s">
        <v>20</v>
      </c>
      <c r="C1051" s="92">
        <v>10</v>
      </c>
      <c r="D1051" s="48"/>
      <c r="E1051" s="48">
        <v>1.7350000000000001</v>
      </c>
      <c r="F1051" s="48">
        <v>3.2879999999999998</v>
      </c>
      <c r="G1051" s="48">
        <v>4.5339999999999998</v>
      </c>
      <c r="H1051" s="48">
        <v>0.14872262999999999</v>
      </c>
      <c r="I1051" s="48">
        <v>0</v>
      </c>
      <c r="J1051" s="52">
        <v>0</v>
      </c>
    </row>
    <row r="1052" spans="1:10" x14ac:dyDescent="0.2">
      <c r="A1052" s="85"/>
      <c r="B1052" s="53" t="s">
        <v>21</v>
      </c>
      <c r="C1052" s="89"/>
      <c r="D1052" s="48">
        <v>690</v>
      </c>
      <c r="E1052" s="48">
        <v>1.738</v>
      </c>
      <c r="F1052" s="48">
        <v>3.0270000000000001</v>
      </c>
      <c r="G1052" s="48">
        <v>4.3079999999999998</v>
      </c>
      <c r="H1052" s="48">
        <v>0.15097456000000001</v>
      </c>
      <c r="I1052" s="48">
        <v>585.82755199999997</v>
      </c>
      <c r="J1052" s="52" t="e">
        <v>#DIV/0!</v>
      </c>
    </row>
    <row r="1053" spans="1:10" x14ac:dyDescent="0.2">
      <c r="A1053" s="87"/>
      <c r="B1053" s="56" t="s">
        <v>22</v>
      </c>
      <c r="C1053" s="90"/>
      <c r="D1053" s="57"/>
      <c r="E1053" s="57">
        <v>1.7350000000000001</v>
      </c>
      <c r="F1053" s="57">
        <v>3.133</v>
      </c>
      <c r="G1053" s="57">
        <v>4.4059999999999997</v>
      </c>
      <c r="H1053" s="57">
        <v>0.1474625</v>
      </c>
      <c r="I1053" s="57">
        <v>0</v>
      </c>
      <c r="J1053" s="49" t="e">
        <v>#DIV/0!</v>
      </c>
    </row>
    <row r="1054" spans="1:10" x14ac:dyDescent="0.2">
      <c r="A1054" s="91" t="s">
        <v>6</v>
      </c>
      <c r="B1054" s="53" t="s">
        <v>20</v>
      </c>
      <c r="C1054" s="92">
        <v>10</v>
      </c>
      <c r="D1054" s="48"/>
      <c r="E1054" s="48">
        <v>1.7410000000000001</v>
      </c>
      <c r="F1054" s="48">
        <v>3.1070000000000002</v>
      </c>
      <c r="G1054" s="48">
        <v>4.4059999999999997</v>
      </c>
      <c r="H1054" s="48">
        <v>0.14225941</v>
      </c>
      <c r="I1054" s="48">
        <v>0</v>
      </c>
      <c r="J1054" s="52">
        <v>0</v>
      </c>
    </row>
    <row r="1055" spans="1:10" x14ac:dyDescent="0.2">
      <c r="A1055" s="85"/>
      <c r="B1055" s="53" t="s">
        <v>21</v>
      </c>
      <c r="C1055" s="89"/>
      <c r="D1055" s="48">
        <v>719</v>
      </c>
      <c r="E1055" s="48">
        <v>1.73</v>
      </c>
      <c r="F1055" s="48">
        <v>3.0459999999999998</v>
      </c>
      <c r="G1055" s="48">
        <v>4.3419999999999996</v>
      </c>
      <c r="H1055" s="48">
        <v>0.14248194</v>
      </c>
      <c r="I1055" s="48">
        <v>616.5554826</v>
      </c>
      <c r="J1055" s="52" t="e">
        <v>#DIV/0!</v>
      </c>
    </row>
    <row r="1056" spans="1:10" x14ac:dyDescent="0.2">
      <c r="A1056" s="87"/>
      <c r="B1056" s="56" t="s">
        <v>22</v>
      </c>
      <c r="C1056" s="90"/>
      <c r="D1056" s="57"/>
      <c r="E1056" s="57">
        <v>1.732</v>
      </c>
      <c r="F1056" s="57">
        <v>3.24</v>
      </c>
      <c r="G1056" s="57">
        <v>4.5119999999999996</v>
      </c>
      <c r="H1056" s="57">
        <v>0.14197530999999999</v>
      </c>
      <c r="I1056" s="57">
        <v>0</v>
      </c>
      <c r="J1056" s="49" t="e">
        <v>#DIV/0!</v>
      </c>
    </row>
    <row r="1057" spans="1:10" x14ac:dyDescent="0.2">
      <c r="A1057" s="91" t="s">
        <v>7</v>
      </c>
      <c r="B1057" s="53" t="s">
        <v>20</v>
      </c>
      <c r="C1057" s="92">
        <v>10</v>
      </c>
      <c r="D1057" s="48"/>
      <c r="E1057" s="48">
        <v>1.722</v>
      </c>
      <c r="F1057" s="48">
        <v>3.5529999999999999</v>
      </c>
      <c r="G1057" s="48">
        <v>4.7709999999999999</v>
      </c>
      <c r="H1057" s="48">
        <v>0.14185196</v>
      </c>
      <c r="I1057" s="48">
        <v>0</v>
      </c>
      <c r="J1057" s="52">
        <v>0</v>
      </c>
    </row>
    <row r="1058" spans="1:10" x14ac:dyDescent="0.2">
      <c r="A1058" s="85"/>
      <c r="B1058" s="53" t="s">
        <v>21</v>
      </c>
      <c r="C1058" s="89"/>
      <c r="D1058" s="48">
        <v>674</v>
      </c>
      <c r="E1058" s="48">
        <v>1.7290000000000001</v>
      </c>
      <c r="F1058" s="48">
        <v>3.1480000000000001</v>
      </c>
      <c r="G1058" s="48">
        <v>4.4329999999999998</v>
      </c>
      <c r="H1058" s="48">
        <v>0.14104193000000001</v>
      </c>
      <c r="I1058" s="48">
        <v>578.93773820000001</v>
      </c>
      <c r="J1058" s="52" t="e">
        <v>#DIV/0!</v>
      </c>
    </row>
    <row r="1059" spans="1:10" x14ac:dyDescent="0.2">
      <c r="A1059" s="87"/>
      <c r="B1059" s="56" t="s">
        <v>22</v>
      </c>
      <c r="C1059" s="90"/>
      <c r="D1059" s="57"/>
      <c r="E1059" s="57">
        <v>1.724</v>
      </c>
      <c r="F1059" s="57">
        <v>3.1019999999999999</v>
      </c>
      <c r="G1059" s="57">
        <v>4.3869999999999996</v>
      </c>
      <c r="H1059" s="57">
        <v>0.1415216</v>
      </c>
      <c r="I1059" s="57">
        <v>0</v>
      </c>
      <c r="J1059" s="49" t="e">
        <v>#DIV/0!</v>
      </c>
    </row>
    <row r="1060" spans="1:10" x14ac:dyDescent="0.2">
      <c r="A1060" s="91" t="s">
        <v>8</v>
      </c>
      <c r="B1060" s="53" t="s">
        <v>20</v>
      </c>
      <c r="C1060" s="92">
        <v>10</v>
      </c>
      <c r="D1060" s="48"/>
      <c r="E1060" s="48">
        <v>1.7230000000000001</v>
      </c>
      <c r="F1060" s="48">
        <v>3.0049999999999999</v>
      </c>
      <c r="G1060" s="48">
        <v>4.5019999999999998</v>
      </c>
      <c r="H1060" s="48">
        <v>7.5207990000000002E-2</v>
      </c>
      <c r="I1060" s="48">
        <v>0</v>
      </c>
      <c r="J1060" s="52">
        <v>0</v>
      </c>
    </row>
    <row r="1061" spans="1:10" x14ac:dyDescent="0.2">
      <c r="A1061" s="85"/>
      <c r="B1061" s="53" t="s">
        <v>21</v>
      </c>
      <c r="C1061" s="89"/>
      <c r="D1061" s="48">
        <v>712</v>
      </c>
      <c r="E1061" s="48">
        <v>1.7390000000000001</v>
      </c>
      <c r="F1061" s="48">
        <v>3.0019999999999998</v>
      </c>
      <c r="G1061" s="48">
        <v>4.3490000000000002</v>
      </c>
      <c r="H1061" s="48">
        <v>0.13057961000000001</v>
      </c>
      <c r="I1061" s="48">
        <v>619.02731510000001</v>
      </c>
      <c r="J1061" s="52" t="e">
        <v>#DIV/0!</v>
      </c>
    </row>
    <row r="1062" spans="1:10" x14ac:dyDescent="0.2">
      <c r="A1062" s="87"/>
      <c r="B1062" s="56" t="s">
        <v>22</v>
      </c>
      <c r="C1062" s="90"/>
      <c r="D1062" s="57"/>
      <c r="E1062" s="57">
        <v>1.728</v>
      </c>
      <c r="F1062" s="57">
        <v>3.206</v>
      </c>
      <c r="G1062" s="57">
        <v>4.3490000000000002</v>
      </c>
      <c r="H1062" s="57">
        <v>0.18247036999999999</v>
      </c>
      <c r="I1062" s="57">
        <v>0</v>
      </c>
      <c r="J1062" s="49" t="e">
        <v>#DIV/0!</v>
      </c>
    </row>
    <row r="1063" spans="1:10" x14ac:dyDescent="0.2">
      <c r="A1063" s="91" t="s">
        <v>9</v>
      </c>
      <c r="B1063" s="53" t="s">
        <v>20</v>
      </c>
      <c r="C1063" s="92">
        <v>10</v>
      </c>
      <c r="D1063" s="48"/>
      <c r="E1063" s="48">
        <v>1.7290000000000001</v>
      </c>
      <c r="F1063" s="48">
        <v>3.4889999999999999</v>
      </c>
      <c r="G1063" s="48">
        <v>4.3289999999999997</v>
      </c>
      <c r="H1063" s="48">
        <v>0.25480079999999999</v>
      </c>
      <c r="I1063" s="48">
        <v>0</v>
      </c>
      <c r="J1063" s="52">
        <v>0</v>
      </c>
    </row>
    <row r="1064" spans="1:10" x14ac:dyDescent="0.2">
      <c r="A1064" s="85"/>
      <c r="B1064" s="53" t="s">
        <v>21</v>
      </c>
      <c r="C1064" s="89"/>
      <c r="D1064" s="48">
        <v>670</v>
      </c>
      <c r="E1064" s="48">
        <v>1.732</v>
      </c>
      <c r="F1064" s="48">
        <v>3.1509999999999998</v>
      </c>
      <c r="G1064" s="48">
        <v>4.7869999999999999</v>
      </c>
      <c r="H1064" s="48">
        <v>3.046652E-2</v>
      </c>
      <c r="I1064" s="48">
        <v>649.58743260000006</v>
      </c>
      <c r="J1064" s="52" t="e">
        <v>#DIV/0!</v>
      </c>
    </row>
    <row r="1065" spans="1:10" x14ac:dyDescent="0.2">
      <c r="A1065" s="87"/>
      <c r="B1065" s="56" t="s">
        <v>22</v>
      </c>
      <c r="C1065" s="90"/>
      <c r="D1065" s="57"/>
      <c r="E1065" s="57">
        <v>1.732</v>
      </c>
      <c r="F1065" s="57">
        <v>3.14</v>
      </c>
      <c r="G1065" s="57">
        <v>4.5049999999999999</v>
      </c>
      <c r="H1065" s="57">
        <v>0.11687897999999999</v>
      </c>
      <c r="I1065" s="57">
        <v>0</v>
      </c>
      <c r="J1065" s="49" t="e">
        <v>#DIV/0!</v>
      </c>
    </row>
    <row r="1066" spans="1:10" x14ac:dyDescent="0.2">
      <c r="A1066" s="91" t="s">
        <v>10</v>
      </c>
      <c r="B1066" s="53" t="s">
        <v>20</v>
      </c>
      <c r="C1066" s="92">
        <v>10</v>
      </c>
      <c r="D1066" s="48"/>
      <c r="E1066" s="48">
        <v>1.728</v>
      </c>
      <c r="F1066" s="48">
        <v>3.1669999999999998</v>
      </c>
      <c r="G1066" s="48">
        <v>4.4770000000000003</v>
      </c>
      <c r="H1066" s="48">
        <v>0.13198610999999999</v>
      </c>
      <c r="I1066" s="48">
        <v>0</v>
      </c>
      <c r="J1066" s="52">
        <v>0</v>
      </c>
    </row>
    <row r="1067" spans="1:10" x14ac:dyDescent="0.2">
      <c r="A1067" s="85"/>
      <c r="B1067" s="53" t="s">
        <v>21</v>
      </c>
      <c r="C1067" s="89"/>
      <c r="D1067" s="48">
        <v>756</v>
      </c>
      <c r="E1067" s="48">
        <v>1.746</v>
      </c>
      <c r="F1067" s="48">
        <v>3.2109999999999999</v>
      </c>
      <c r="G1067" s="48">
        <v>4.5339999999999998</v>
      </c>
      <c r="H1067" s="48">
        <v>0.13173466</v>
      </c>
      <c r="I1067" s="48">
        <v>656.40859550000005</v>
      </c>
      <c r="J1067" s="52" t="e">
        <v>#DIV/0!</v>
      </c>
    </row>
    <row r="1068" spans="1:10" x14ac:dyDescent="0.2">
      <c r="A1068" s="87"/>
      <c r="B1068" s="56" t="s">
        <v>22</v>
      </c>
      <c r="C1068" s="90"/>
      <c r="D1068" s="57"/>
      <c r="E1068" s="57">
        <v>1.732</v>
      </c>
      <c r="F1068" s="57">
        <v>3.1549999999999998</v>
      </c>
      <c r="G1068" s="57">
        <v>4.4809999999999999</v>
      </c>
      <c r="H1068" s="57">
        <v>0.12868462999999999</v>
      </c>
      <c r="I1068" s="57">
        <v>0</v>
      </c>
      <c r="J1068" s="49" t="e">
        <v>#DIV/0!</v>
      </c>
    </row>
    <row r="1069" spans="1:10" x14ac:dyDescent="0.2">
      <c r="A1069" s="91" t="s">
        <v>11</v>
      </c>
      <c r="B1069" s="53" t="s">
        <v>20</v>
      </c>
      <c r="C1069" s="92">
        <v>10</v>
      </c>
      <c r="D1069" s="48"/>
      <c r="E1069" s="48">
        <v>1.7230000000000001</v>
      </c>
      <c r="F1069" s="48">
        <v>3.3109999999999999</v>
      </c>
      <c r="G1069" s="48">
        <v>4.5940000000000003</v>
      </c>
      <c r="H1069" s="48">
        <v>0.13289037000000001</v>
      </c>
      <c r="I1069" s="48">
        <v>0</v>
      </c>
      <c r="J1069" s="52">
        <v>0</v>
      </c>
    </row>
    <row r="1070" spans="1:10" x14ac:dyDescent="0.2">
      <c r="A1070" s="85"/>
      <c r="B1070" s="53" t="s">
        <v>21</v>
      </c>
      <c r="C1070" s="89"/>
      <c r="D1070" s="48">
        <v>712</v>
      </c>
      <c r="E1070" s="48">
        <v>1.7170000000000001</v>
      </c>
      <c r="F1070" s="48">
        <v>3.073</v>
      </c>
      <c r="G1070" s="48">
        <v>4.3860000000000001</v>
      </c>
      <c r="H1070" s="48">
        <v>0.13146762000000001</v>
      </c>
      <c r="I1070" s="48">
        <v>618.39505369999995</v>
      </c>
      <c r="J1070" s="52" t="e">
        <v>#DIV/0!</v>
      </c>
    </row>
    <row r="1071" spans="1:10" x14ac:dyDescent="0.2">
      <c r="A1071" s="87"/>
      <c r="B1071" s="56" t="s">
        <v>22</v>
      </c>
      <c r="C1071" s="90"/>
      <c r="D1071" s="57"/>
      <c r="E1071" s="57">
        <v>1.732</v>
      </c>
      <c r="F1071" s="57">
        <v>3.3033999999999999</v>
      </c>
      <c r="G1071" s="57">
        <v>4.37</v>
      </c>
      <c r="H1071" s="57">
        <v>0.20142883</v>
      </c>
      <c r="I1071" s="57">
        <v>0</v>
      </c>
      <c r="J1071" s="49" t="e">
        <v>#DIV/0!</v>
      </c>
    </row>
    <row r="1072" spans="1:10" x14ac:dyDescent="0.2">
      <c r="A1072" s="91" t="s">
        <v>12</v>
      </c>
      <c r="B1072" s="53" t="s">
        <v>20</v>
      </c>
      <c r="C1072" s="92">
        <v>10</v>
      </c>
      <c r="D1072" s="48"/>
      <c r="E1072" s="48">
        <v>1.722</v>
      </c>
      <c r="F1072" s="48">
        <v>3.0169999999999999</v>
      </c>
      <c r="G1072" s="48">
        <v>4.2469999999999999</v>
      </c>
      <c r="H1072" s="48">
        <v>0.1630759</v>
      </c>
      <c r="I1072" s="48">
        <v>0</v>
      </c>
      <c r="J1072" s="52">
        <v>0</v>
      </c>
    </row>
    <row r="1073" spans="1:10" x14ac:dyDescent="0.2">
      <c r="A1073" s="85"/>
      <c r="B1073" s="53" t="s">
        <v>21</v>
      </c>
      <c r="C1073" s="89"/>
      <c r="D1073" s="48">
        <v>789</v>
      </c>
      <c r="E1073" s="48">
        <v>1.7210000000000001</v>
      </c>
      <c r="F1073" s="48">
        <v>3.0880000000000001</v>
      </c>
      <c r="G1073" s="48">
        <v>4.3079999999999998</v>
      </c>
      <c r="H1073" s="48">
        <v>0.16224093000000001</v>
      </c>
      <c r="I1073" s="48">
        <v>660.99190410000006</v>
      </c>
      <c r="J1073" s="52" t="e">
        <v>#DIV/0!</v>
      </c>
    </row>
    <row r="1074" spans="1:10" x14ac:dyDescent="0.2">
      <c r="A1074" s="87"/>
      <c r="B1074" s="56" t="s">
        <v>22</v>
      </c>
      <c r="C1074" s="90"/>
      <c r="D1074" s="57"/>
      <c r="E1074" s="57">
        <v>1.738</v>
      </c>
      <c r="F1074" s="57">
        <v>3.16</v>
      </c>
      <c r="G1074" s="57">
        <v>4.383</v>
      </c>
      <c r="H1074" s="57">
        <v>0.16297468000000001</v>
      </c>
      <c r="I1074" s="57">
        <v>0</v>
      </c>
      <c r="J1074" s="49" t="e">
        <v>#DIV/0!</v>
      </c>
    </row>
    <row r="1075" spans="1:10" x14ac:dyDescent="0.2">
      <c r="A1075" s="91" t="s">
        <v>13</v>
      </c>
      <c r="B1075" s="53" t="s">
        <v>20</v>
      </c>
      <c r="C1075" s="92">
        <v>10</v>
      </c>
      <c r="D1075" s="48"/>
      <c r="E1075" s="48">
        <v>1.71</v>
      </c>
      <c r="F1075" s="48">
        <v>3.1459999999999999</v>
      </c>
      <c r="G1075" s="48">
        <v>4.2670000000000003</v>
      </c>
      <c r="H1075" s="48">
        <v>0.18722187000000001</v>
      </c>
      <c r="I1075" s="48">
        <v>0</v>
      </c>
      <c r="J1075" s="52">
        <v>0</v>
      </c>
    </row>
    <row r="1076" spans="1:10" x14ac:dyDescent="0.2">
      <c r="A1076" s="85"/>
      <c r="B1076" s="53" t="s">
        <v>21</v>
      </c>
      <c r="C1076" s="89"/>
      <c r="D1076" s="48">
        <v>769</v>
      </c>
      <c r="E1076" s="48">
        <v>1.7050000000000001</v>
      </c>
      <c r="F1076" s="48">
        <v>3.0419999999999998</v>
      </c>
      <c r="G1076" s="48">
        <v>4.1769999999999996</v>
      </c>
      <c r="H1076" s="48">
        <v>0.18737672999999999</v>
      </c>
      <c r="I1076" s="48">
        <v>624.90729780000004</v>
      </c>
      <c r="J1076" s="52" t="e">
        <v>#DIV/0!</v>
      </c>
    </row>
    <row r="1077" spans="1:10" x14ac:dyDescent="0.2">
      <c r="A1077" s="87"/>
      <c r="B1077" s="56" t="s">
        <v>22</v>
      </c>
      <c r="C1077" s="90"/>
      <c r="D1077" s="57"/>
      <c r="E1077" s="57">
        <v>1.734</v>
      </c>
      <c r="F1077" s="57">
        <v>3.274</v>
      </c>
      <c r="G1077" s="57">
        <v>4.4089999999999998</v>
      </c>
      <c r="H1077" s="57">
        <v>0.18295663000000001</v>
      </c>
      <c r="I1077" s="57">
        <v>0</v>
      </c>
      <c r="J1077" s="49" t="e">
        <v>#DIV/0!</v>
      </c>
    </row>
    <row r="1078" spans="1:10" x14ac:dyDescent="0.2">
      <c r="A1078" s="91" t="s">
        <v>14</v>
      </c>
      <c r="B1078" s="53" t="s">
        <v>20</v>
      </c>
      <c r="C1078" s="92">
        <v>10</v>
      </c>
      <c r="D1078" s="48"/>
      <c r="E1078" s="48">
        <v>1.7430000000000001</v>
      </c>
      <c r="F1078" s="48">
        <v>3.0470000000000002</v>
      </c>
      <c r="G1078" s="48">
        <v>4.5679999999999996</v>
      </c>
      <c r="H1078" s="48">
        <v>7.2858549999999994E-2</v>
      </c>
      <c r="I1078" s="48">
        <v>0</v>
      </c>
      <c r="J1078" s="52">
        <v>0</v>
      </c>
    </row>
    <row r="1079" spans="1:10" x14ac:dyDescent="0.2">
      <c r="A1079" s="85"/>
      <c r="B1079" s="53" t="s">
        <v>21</v>
      </c>
      <c r="C1079" s="89"/>
      <c r="D1079" s="48">
        <v>710</v>
      </c>
      <c r="E1079" s="48">
        <v>1.702</v>
      </c>
      <c r="F1079" s="48">
        <v>3.125</v>
      </c>
      <c r="G1079" s="48">
        <v>4.5739999999999998</v>
      </c>
      <c r="H1079" s="48">
        <v>8.0960000000000004E-2</v>
      </c>
      <c r="I1079" s="48">
        <v>652.51840000000004</v>
      </c>
      <c r="J1079" s="52" t="e">
        <v>#DIV/0!</v>
      </c>
    </row>
    <row r="1080" spans="1:10" ht="16" thickBot="1" x14ac:dyDescent="0.25">
      <c r="A1080" s="93"/>
      <c r="B1080" s="58" t="s">
        <v>22</v>
      </c>
      <c r="C1080" s="94"/>
      <c r="D1080" s="59"/>
      <c r="E1080" s="59">
        <v>1.716</v>
      </c>
      <c r="F1080" s="59">
        <v>3.0110000000000001</v>
      </c>
      <c r="G1080" s="59">
        <v>4.4809999999999999</v>
      </c>
      <c r="H1080" s="59">
        <v>8.1700430000000004E-2</v>
      </c>
      <c r="I1080" s="59">
        <v>0</v>
      </c>
      <c r="J1080" s="50" t="e">
        <v>#DIV/0!</v>
      </c>
    </row>
    <row r="1081" spans="1:10" ht="16" thickBot="1" x14ac:dyDescent="0.25">
      <c r="A1081" s="60" t="s">
        <v>1</v>
      </c>
      <c r="B1081" s="61"/>
      <c r="C1081" s="62"/>
      <c r="D1081" s="63" t="s">
        <v>47</v>
      </c>
      <c r="E1081" s="64"/>
      <c r="F1081" s="58" t="s">
        <v>0</v>
      </c>
      <c r="G1081" s="18">
        <v>44156</v>
      </c>
      <c r="H1081" s="65" t="s">
        <v>24</v>
      </c>
      <c r="I1081" s="66"/>
      <c r="J1081" s="49">
        <v>90</v>
      </c>
    </row>
    <row r="1082" spans="1:10" ht="16" thickBot="1" x14ac:dyDescent="0.25">
      <c r="A1082" s="67" t="s">
        <v>2</v>
      </c>
      <c r="B1082" s="68"/>
      <c r="C1082" s="69"/>
      <c r="D1082" s="70"/>
      <c r="E1082" s="71"/>
      <c r="F1082" s="72"/>
      <c r="G1082" s="73"/>
      <c r="H1082" s="74" t="s">
        <v>25</v>
      </c>
      <c r="I1082" s="75"/>
      <c r="J1082" s="49">
        <v>35</v>
      </c>
    </row>
    <row r="1083" spans="1:10" ht="16" thickBot="1" x14ac:dyDescent="0.25">
      <c r="A1083" s="76" t="s">
        <v>27</v>
      </c>
      <c r="B1083" s="77"/>
      <c r="C1083" s="78"/>
      <c r="D1083" s="79" t="s">
        <v>33</v>
      </c>
      <c r="E1083" s="80"/>
      <c r="F1083" s="48" t="s">
        <v>30</v>
      </c>
      <c r="G1083" s="48">
        <v>3.81</v>
      </c>
      <c r="H1083" s="81" t="s">
        <v>26</v>
      </c>
      <c r="I1083" s="82"/>
      <c r="J1083" s="50">
        <v>65</v>
      </c>
    </row>
    <row r="1084" spans="1:10" x14ac:dyDescent="0.2">
      <c r="A1084" s="83"/>
      <c r="B1084" s="84"/>
      <c r="C1084" s="51" t="s">
        <v>29</v>
      </c>
      <c r="D1084" s="51" t="s">
        <v>19</v>
      </c>
      <c r="E1084" s="51" t="s">
        <v>15</v>
      </c>
      <c r="F1084" s="51" t="s">
        <v>18</v>
      </c>
      <c r="G1084" s="51" t="s">
        <v>17</v>
      </c>
      <c r="H1084" s="48" t="s">
        <v>28</v>
      </c>
      <c r="I1084" s="48" t="s">
        <v>16</v>
      </c>
      <c r="J1084" s="52" t="s">
        <v>23</v>
      </c>
    </row>
    <row r="1085" spans="1:10" x14ac:dyDescent="0.2">
      <c r="A1085" s="86" t="s">
        <v>3</v>
      </c>
      <c r="B1085" s="53" t="s">
        <v>20</v>
      </c>
      <c r="C1085" s="88">
        <v>10</v>
      </c>
      <c r="D1085" s="54"/>
      <c r="E1085" s="54">
        <v>1.716</v>
      </c>
      <c r="F1085" s="54">
        <v>3.0569999999999999</v>
      </c>
      <c r="G1085" s="54">
        <v>4.3079999999999998</v>
      </c>
      <c r="H1085" s="54">
        <v>0.15210990999999999</v>
      </c>
      <c r="I1085" s="54">
        <v>0</v>
      </c>
      <c r="J1085" s="55">
        <v>0</v>
      </c>
    </row>
    <row r="1086" spans="1:10" x14ac:dyDescent="0.2">
      <c r="A1086" s="85"/>
      <c r="B1086" s="53" t="s">
        <v>21</v>
      </c>
      <c r="C1086" s="89"/>
      <c r="D1086" s="48">
        <v>349</v>
      </c>
      <c r="E1086" s="48">
        <v>1.73</v>
      </c>
      <c r="F1086" s="48">
        <v>3.4279999999999999</v>
      </c>
      <c r="G1086" s="48">
        <v>4.633</v>
      </c>
      <c r="H1086" s="48">
        <v>0.15315053000000001</v>
      </c>
      <c r="I1086" s="48">
        <v>295.55046670000002</v>
      </c>
      <c r="J1086" s="52" t="e">
        <v>#DIV/0!</v>
      </c>
    </row>
    <row r="1087" spans="1:10" x14ac:dyDescent="0.2">
      <c r="A1087" s="87"/>
      <c r="B1087" s="56" t="s">
        <v>22</v>
      </c>
      <c r="C1087" s="90"/>
      <c r="D1087" s="57"/>
      <c r="E1087" s="57">
        <v>1.726</v>
      </c>
      <c r="F1087" s="57">
        <v>3.0680000000000001</v>
      </c>
      <c r="G1087" s="57">
        <v>4.3179999999999996</v>
      </c>
      <c r="H1087" s="57">
        <v>0.15514992999999999</v>
      </c>
      <c r="I1087" s="57">
        <v>0</v>
      </c>
      <c r="J1087" s="49" t="e">
        <v>#DIV/0!</v>
      </c>
    </row>
    <row r="1088" spans="1:10" x14ac:dyDescent="0.2">
      <c r="A1088" s="91" t="s">
        <v>4</v>
      </c>
      <c r="B1088" s="53" t="s">
        <v>20</v>
      </c>
      <c r="C1088" s="92">
        <v>10</v>
      </c>
      <c r="D1088" s="48"/>
      <c r="E1088" s="48">
        <v>1.708</v>
      </c>
      <c r="F1088" s="48">
        <v>3.1110000000000002</v>
      </c>
      <c r="G1088" s="48">
        <v>4.2910000000000004</v>
      </c>
      <c r="H1088" s="48">
        <v>0.16972034999999999</v>
      </c>
      <c r="I1088" s="48">
        <v>0</v>
      </c>
      <c r="J1088" s="52">
        <v>0</v>
      </c>
    </row>
    <row r="1089" spans="1:10" x14ac:dyDescent="0.2">
      <c r="A1089" s="85"/>
      <c r="B1089" s="53" t="s">
        <v>21</v>
      </c>
      <c r="C1089" s="89"/>
      <c r="D1089" s="48">
        <v>433</v>
      </c>
      <c r="E1089" s="48">
        <v>1.718</v>
      </c>
      <c r="F1089" s="48">
        <v>3.2749999999999999</v>
      </c>
      <c r="G1089" s="48">
        <v>4.4400000000000004</v>
      </c>
      <c r="H1089" s="48">
        <v>0.16885496</v>
      </c>
      <c r="I1089" s="48">
        <v>359.88580150000001</v>
      </c>
      <c r="J1089" s="52" t="e">
        <v>#DIV/0!</v>
      </c>
    </row>
    <row r="1090" spans="1:10" x14ac:dyDescent="0.2">
      <c r="A1090" s="87"/>
      <c r="B1090" s="56" t="s">
        <v>22</v>
      </c>
      <c r="C1090" s="90"/>
      <c r="D1090" s="57"/>
      <c r="E1090" s="57">
        <v>1.7230000000000001</v>
      </c>
      <c r="F1090" s="57">
        <v>3.1339999999999999</v>
      </c>
      <c r="G1090" s="57">
        <v>4.3220000000000001</v>
      </c>
      <c r="H1090" s="57">
        <v>0.17070836</v>
      </c>
      <c r="I1090" s="57">
        <v>0</v>
      </c>
      <c r="J1090" s="49" t="e">
        <v>#DIV/0!</v>
      </c>
    </row>
    <row r="1091" spans="1:10" x14ac:dyDescent="0.2">
      <c r="A1091" s="91" t="s">
        <v>5</v>
      </c>
      <c r="B1091" s="53" t="s">
        <v>20</v>
      </c>
      <c r="C1091" s="92">
        <v>10</v>
      </c>
      <c r="D1091" s="48"/>
      <c r="E1091" s="48">
        <v>1.7310000000000001</v>
      </c>
      <c r="F1091" s="48">
        <v>4.0369999999999999</v>
      </c>
      <c r="G1091" s="48">
        <v>5.0709999999999997</v>
      </c>
      <c r="H1091" s="48">
        <v>0.17265295999999999</v>
      </c>
      <c r="I1091" s="48">
        <v>0</v>
      </c>
      <c r="J1091" s="52">
        <v>0</v>
      </c>
    </row>
    <row r="1092" spans="1:10" x14ac:dyDescent="0.2">
      <c r="A1092" s="85"/>
      <c r="B1092" s="53" t="s">
        <v>21</v>
      </c>
      <c r="C1092" s="89"/>
      <c r="D1092" s="48">
        <v>657</v>
      </c>
      <c r="E1092" s="48">
        <v>1.7110000000000001</v>
      </c>
      <c r="F1092" s="48">
        <v>3.4209999999999998</v>
      </c>
      <c r="G1092" s="48">
        <v>4.5380000000000003</v>
      </c>
      <c r="H1092" s="48">
        <v>0.17363344</v>
      </c>
      <c r="I1092" s="48">
        <v>542.9228296</v>
      </c>
      <c r="J1092" s="52" t="e">
        <v>#DIV/0!</v>
      </c>
    </row>
    <row r="1093" spans="1:10" x14ac:dyDescent="0.2">
      <c r="A1093" s="87"/>
      <c r="B1093" s="56" t="s">
        <v>22</v>
      </c>
      <c r="C1093" s="90"/>
      <c r="D1093" s="57"/>
      <c r="E1093" s="57">
        <v>1.732</v>
      </c>
      <c r="F1093" s="57">
        <v>3.3</v>
      </c>
      <c r="G1093" s="57">
        <v>4.2430000000000003</v>
      </c>
      <c r="H1093" s="57">
        <v>0.23909090999999999</v>
      </c>
      <c r="I1093" s="57">
        <v>0</v>
      </c>
      <c r="J1093" s="49" t="e">
        <v>#DIV/0!</v>
      </c>
    </row>
    <row r="1094" spans="1:10" x14ac:dyDescent="0.2">
      <c r="A1094" s="91" t="s">
        <v>6</v>
      </c>
      <c r="B1094" s="53" t="s">
        <v>20</v>
      </c>
      <c r="C1094" s="92">
        <v>10</v>
      </c>
      <c r="D1094" s="48"/>
      <c r="E1094" s="48">
        <v>1.732</v>
      </c>
      <c r="F1094" s="48">
        <v>3.7450000000000001</v>
      </c>
      <c r="G1094" s="48">
        <v>4.9050000000000002</v>
      </c>
      <c r="H1094" s="48">
        <v>0.15273697999999999</v>
      </c>
      <c r="I1094" s="48">
        <v>0</v>
      </c>
      <c r="J1094" s="52">
        <v>0</v>
      </c>
    </row>
    <row r="1095" spans="1:10" x14ac:dyDescent="0.2">
      <c r="A1095" s="85"/>
      <c r="B1095" s="53" t="s">
        <v>21</v>
      </c>
      <c r="C1095" s="89"/>
      <c r="D1095" s="48">
        <v>561</v>
      </c>
      <c r="E1095" s="48">
        <v>1.7310000000000001</v>
      </c>
      <c r="F1095" s="48">
        <v>3.0739999999999998</v>
      </c>
      <c r="G1095" s="48">
        <v>4.335</v>
      </c>
      <c r="H1095" s="48">
        <v>0.15289525000000001</v>
      </c>
      <c r="I1095" s="48">
        <v>475.22576450000003</v>
      </c>
      <c r="J1095" s="52" t="e">
        <v>#DIV/0!</v>
      </c>
    </row>
    <row r="1096" spans="1:10" x14ac:dyDescent="0.2">
      <c r="A1096" s="87"/>
      <c r="B1096" s="56" t="s">
        <v>22</v>
      </c>
      <c r="C1096" s="90"/>
      <c r="D1096" s="57"/>
      <c r="E1096" s="57">
        <v>1.7110000000000001</v>
      </c>
      <c r="F1096" s="57">
        <v>3.2240000000000002</v>
      </c>
      <c r="G1096" s="57">
        <v>4.4409999999999998</v>
      </c>
      <c r="H1096" s="57">
        <v>0.15322580999999999</v>
      </c>
      <c r="I1096" s="57">
        <v>0</v>
      </c>
      <c r="J1096" s="49" t="e">
        <v>#DIV/0!</v>
      </c>
    </row>
    <row r="1097" spans="1:10" x14ac:dyDescent="0.2">
      <c r="A1097" s="91" t="s">
        <v>7</v>
      </c>
      <c r="B1097" s="53" t="s">
        <v>20</v>
      </c>
      <c r="C1097" s="92">
        <v>10</v>
      </c>
      <c r="D1097" s="48"/>
      <c r="E1097" s="48">
        <v>1.7330000000000001</v>
      </c>
      <c r="F1097" s="48">
        <v>3.4689999999999999</v>
      </c>
      <c r="G1097" s="48">
        <v>4.7130000000000001</v>
      </c>
      <c r="H1097" s="48">
        <v>0.14096280999999999</v>
      </c>
      <c r="I1097" s="48">
        <v>0</v>
      </c>
      <c r="J1097" s="52">
        <v>0</v>
      </c>
    </row>
    <row r="1098" spans="1:10" x14ac:dyDescent="0.2">
      <c r="A1098" s="85"/>
      <c r="B1098" s="53" t="s">
        <v>21</v>
      </c>
      <c r="C1098" s="89"/>
      <c r="D1098" s="48">
        <v>933</v>
      </c>
      <c r="E1098" s="48">
        <v>1.7170000000000001</v>
      </c>
      <c r="F1098" s="48">
        <v>3.569</v>
      </c>
      <c r="G1098" s="48">
        <v>4.7779999999999996</v>
      </c>
      <c r="H1098" s="48">
        <v>0.14233678999999999</v>
      </c>
      <c r="I1098" s="48">
        <v>800.1997758</v>
      </c>
      <c r="J1098" s="52" t="e">
        <v>#DIV/0!</v>
      </c>
    </row>
    <row r="1099" spans="1:10" x14ac:dyDescent="0.2">
      <c r="A1099" s="87"/>
      <c r="B1099" s="56" t="s">
        <v>22</v>
      </c>
      <c r="C1099" s="90"/>
      <c r="D1099" s="57"/>
      <c r="E1099" s="57">
        <v>1.7310000000000001</v>
      </c>
      <c r="F1099" s="57">
        <v>3.8820000000000001</v>
      </c>
      <c r="G1099" s="57">
        <v>5.05</v>
      </c>
      <c r="H1099" s="57">
        <v>0.14502834000000001</v>
      </c>
      <c r="I1099" s="57">
        <v>0</v>
      </c>
      <c r="J1099" s="49" t="e">
        <v>#DIV/0!</v>
      </c>
    </row>
    <row r="1100" spans="1:10" x14ac:dyDescent="0.2">
      <c r="A1100" s="91" t="s">
        <v>8</v>
      </c>
      <c r="B1100" s="53" t="s">
        <v>20</v>
      </c>
      <c r="C1100" s="92">
        <v>10</v>
      </c>
      <c r="D1100" s="48"/>
      <c r="E1100" s="48">
        <v>1.7250000000000001</v>
      </c>
      <c r="F1100" s="48">
        <v>3.55</v>
      </c>
      <c r="G1100" s="48">
        <v>4.7939999999999996</v>
      </c>
      <c r="H1100" s="48">
        <v>0.13549296</v>
      </c>
      <c r="I1100" s="48">
        <v>0</v>
      </c>
      <c r="J1100" s="52">
        <v>0</v>
      </c>
    </row>
    <row r="1101" spans="1:10" x14ac:dyDescent="0.2">
      <c r="A1101" s="85"/>
      <c r="B1101" s="53" t="s">
        <v>21</v>
      </c>
      <c r="C1101" s="89"/>
      <c r="D1101" s="48">
        <v>897</v>
      </c>
      <c r="E1101" s="48">
        <v>1.7270000000000001</v>
      </c>
      <c r="F1101" s="48">
        <v>3.6520000000000001</v>
      </c>
      <c r="G1101" s="48">
        <v>4.8849999999999998</v>
      </c>
      <c r="H1101" s="48">
        <v>0.13526835000000001</v>
      </c>
      <c r="I1101" s="48">
        <v>775.66429349999999</v>
      </c>
      <c r="J1101" s="52" t="e">
        <v>#DIV/0!</v>
      </c>
    </row>
    <row r="1102" spans="1:10" x14ac:dyDescent="0.2">
      <c r="A1102" s="87"/>
      <c r="B1102" s="56" t="s">
        <v>22</v>
      </c>
      <c r="C1102" s="90"/>
      <c r="D1102" s="57"/>
      <c r="E1102" s="57">
        <v>1.73</v>
      </c>
      <c r="F1102" s="57">
        <v>3.0270000000000001</v>
      </c>
      <c r="G1102" s="57">
        <v>4.3579999999999997</v>
      </c>
      <c r="H1102" s="57">
        <v>0.13181367999999999</v>
      </c>
      <c r="I1102" s="57">
        <v>0</v>
      </c>
      <c r="J1102" s="49" t="e">
        <v>#DIV/0!</v>
      </c>
    </row>
    <row r="1103" spans="1:10" x14ac:dyDescent="0.2">
      <c r="A1103" s="91" t="s">
        <v>9</v>
      </c>
      <c r="B1103" s="53" t="s">
        <v>20</v>
      </c>
      <c r="C1103" s="92">
        <v>10</v>
      </c>
      <c r="D1103" s="48"/>
      <c r="E1103" s="48">
        <v>1.738</v>
      </c>
      <c r="F1103" s="48">
        <v>3.8780000000000001</v>
      </c>
      <c r="G1103" s="48">
        <v>5.1479999999999997</v>
      </c>
      <c r="H1103" s="48">
        <v>0.12068076</v>
      </c>
      <c r="I1103" s="48">
        <v>0</v>
      </c>
      <c r="J1103" s="52">
        <v>0</v>
      </c>
    </row>
    <row r="1104" spans="1:10" x14ac:dyDescent="0.2">
      <c r="A1104" s="85"/>
      <c r="B1104" s="53" t="s">
        <v>21</v>
      </c>
      <c r="C1104" s="89"/>
      <c r="D1104" s="48">
        <v>952</v>
      </c>
      <c r="E1104" s="48">
        <v>1.7290000000000001</v>
      </c>
      <c r="F1104" s="48">
        <v>3.0529999999999999</v>
      </c>
      <c r="G1104" s="48">
        <v>4.4109999999999996</v>
      </c>
      <c r="H1104" s="48">
        <v>0.12151982</v>
      </c>
      <c r="I1104" s="48">
        <v>836.31313460000001</v>
      </c>
      <c r="J1104" s="52" t="e">
        <v>#DIV/0!</v>
      </c>
    </row>
    <row r="1105" spans="1:10" x14ac:dyDescent="0.2">
      <c r="A1105" s="87"/>
      <c r="B1105" s="56" t="s">
        <v>22</v>
      </c>
      <c r="C1105" s="90"/>
      <c r="D1105" s="57"/>
      <c r="E1105" s="57">
        <v>1.7130000000000001</v>
      </c>
      <c r="F1105" s="57">
        <v>3.0720000000000001</v>
      </c>
      <c r="G1105" s="57">
        <v>4.3959999999999999</v>
      </c>
      <c r="H1105" s="57">
        <v>0.12662760000000001</v>
      </c>
      <c r="I1105" s="57">
        <v>0</v>
      </c>
      <c r="J1105" s="49" t="e">
        <v>#DIV/0!</v>
      </c>
    </row>
    <row r="1106" spans="1:10" x14ac:dyDescent="0.2">
      <c r="A1106" s="91" t="s">
        <v>10</v>
      </c>
      <c r="B1106" s="53" t="s">
        <v>20</v>
      </c>
      <c r="C1106" s="92">
        <v>10</v>
      </c>
      <c r="D1106" s="48"/>
      <c r="E1106" s="48">
        <v>1.7090000000000001</v>
      </c>
      <c r="F1106" s="48">
        <v>3.4750000000000001</v>
      </c>
      <c r="G1106" s="48">
        <v>4.7249999999999996</v>
      </c>
      <c r="H1106" s="48">
        <v>0.13208633</v>
      </c>
      <c r="I1106" s="48">
        <v>0</v>
      </c>
      <c r="J1106" s="52">
        <v>0</v>
      </c>
    </row>
    <row r="1107" spans="1:10" x14ac:dyDescent="0.2">
      <c r="A1107" s="85"/>
      <c r="B1107" s="53" t="s">
        <v>21</v>
      </c>
      <c r="C1107" s="89"/>
      <c r="D1107" s="48">
        <v>813</v>
      </c>
      <c r="E1107" s="48">
        <v>1.7410000000000001</v>
      </c>
      <c r="F1107" s="48">
        <v>3.129</v>
      </c>
      <c r="G1107" s="48">
        <v>4.5460000000000003</v>
      </c>
      <c r="H1107" s="48">
        <v>0.10354745999999999</v>
      </c>
      <c r="I1107" s="48">
        <v>728.81591560000004</v>
      </c>
      <c r="J1107" s="52" t="e">
        <v>#DIV/0!</v>
      </c>
    </row>
    <row r="1108" spans="1:10" x14ac:dyDescent="0.2">
      <c r="A1108" s="87"/>
      <c r="B1108" s="56" t="s">
        <v>22</v>
      </c>
      <c r="C1108" s="90"/>
      <c r="D1108" s="57"/>
      <c r="E1108" s="57">
        <v>1.714</v>
      </c>
      <c r="F1108" s="57">
        <v>3.1429999999999998</v>
      </c>
      <c r="G1108" s="57">
        <v>4.4349999999999996</v>
      </c>
      <c r="H1108" s="57">
        <v>0.13426662</v>
      </c>
      <c r="I1108" s="57">
        <v>0</v>
      </c>
      <c r="J1108" s="49" t="e">
        <v>#DIV/0!</v>
      </c>
    </row>
    <row r="1109" spans="1:10" x14ac:dyDescent="0.2">
      <c r="A1109" s="91" t="s">
        <v>11</v>
      </c>
      <c r="B1109" s="53" t="s">
        <v>20</v>
      </c>
      <c r="C1109" s="92">
        <v>10</v>
      </c>
      <c r="D1109" s="48"/>
      <c r="E1109" s="48">
        <v>1.728</v>
      </c>
      <c r="F1109" s="48">
        <v>3.032</v>
      </c>
      <c r="G1109" s="48">
        <v>4.351</v>
      </c>
      <c r="H1109" s="48">
        <v>0.13489445999999999</v>
      </c>
      <c r="I1109" s="48">
        <v>0</v>
      </c>
      <c r="J1109" s="52">
        <v>0</v>
      </c>
    </row>
    <row r="1110" spans="1:10" x14ac:dyDescent="0.2">
      <c r="A1110" s="85"/>
      <c r="B1110" s="53" t="s">
        <v>21</v>
      </c>
      <c r="C1110" s="89"/>
      <c r="D1110" s="48">
        <v>996</v>
      </c>
      <c r="E1110" s="48">
        <v>1.7110000000000001</v>
      </c>
      <c r="F1110" s="48">
        <v>3.26</v>
      </c>
      <c r="G1110" s="48">
        <v>4.5229999999999997</v>
      </c>
      <c r="H1110" s="48">
        <v>0.13742330999999999</v>
      </c>
      <c r="I1110" s="48">
        <v>859.12638040000002</v>
      </c>
      <c r="J1110" s="52" t="e">
        <v>#DIV/0!</v>
      </c>
    </row>
    <row r="1111" spans="1:10" x14ac:dyDescent="0.2">
      <c r="A1111" s="87"/>
      <c r="B1111" s="56" t="s">
        <v>22</v>
      </c>
      <c r="C1111" s="90"/>
      <c r="D1111" s="57"/>
      <c r="E1111" s="57">
        <v>1.7070000000000001</v>
      </c>
      <c r="F1111" s="57">
        <v>3.073</v>
      </c>
      <c r="G1111" s="57">
        <v>4.3570000000000002</v>
      </c>
      <c r="H1111" s="57">
        <v>0.13765050000000001</v>
      </c>
      <c r="I1111" s="57">
        <v>0</v>
      </c>
      <c r="J1111" s="49" t="e">
        <v>#DIV/0!</v>
      </c>
    </row>
    <row r="1112" spans="1:10" x14ac:dyDescent="0.2">
      <c r="A1112" s="91" t="s">
        <v>12</v>
      </c>
      <c r="B1112" s="53" t="s">
        <v>20</v>
      </c>
      <c r="C1112" s="92">
        <v>10</v>
      </c>
      <c r="D1112" s="48"/>
      <c r="E1112" s="48"/>
      <c r="F1112" s="48"/>
      <c r="G1112" s="48"/>
      <c r="H1112" s="48" t="e">
        <v>#DIV/0!</v>
      </c>
      <c r="I1112" s="48" t="e">
        <v>#DIV/0!</v>
      </c>
      <c r="J1112" s="52" t="e">
        <v>#DIV/0!</v>
      </c>
    </row>
    <row r="1113" spans="1:10" x14ac:dyDescent="0.2">
      <c r="A1113" s="85"/>
      <c r="B1113" s="53" t="s">
        <v>21</v>
      </c>
      <c r="C1113" s="89"/>
      <c r="D1113" s="48"/>
      <c r="E1113" s="48"/>
      <c r="F1113" s="48"/>
      <c r="G1113" s="48"/>
      <c r="H1113" s="48" t="e">
        <v>#DIV/0!</v>
      </c>
      <c r="I1113" s="48" t="e">
        <v>#DIV/0!</v>
      </c>
      <c r="J1113" s="52" t="e">
        <v>#DIV/0!</v>
      </c>
    </row>
    <row r="1114" spans="1:10" x14ac:dyDescent="0.2">
      <c r="A1114" s="87"/>
      <c r="B1114" s="56" t="s">
        <v>22</v>
      </c>
      <c r="C1114" s="90"/>
      <c r="D1114" s="57"/>
      <c r="E1114" s="57"/>
      <c r="F1114" s="57"/>
      <c r="G1114" s="57"/>
      <c r="H1114" s="57" t="e">
        <v>#DIV/0!</v>
      </c>
      <c r="I1114" s="57" t="e">
        <v>#DIV/0!</v>
      </c>
      <c r="J1114" s="49" t="e">
        <v>#DIV/0!</v>
      </c>
    </row>
    <row r="1115" spans="1:10" x14ac:dyDescent="0.2">
      <c r="A1115" s="91" t="s">
        <v>13</v>
      </c>
      <c r="B1115" s="53" t="s">
        <v>20</v>
      </c>
      <c r="C1115" s="92">
        <v>10</v>
      </c>
      <c r="D1115" s="48"/>
      <c r="E1115" s="48"/>
      <c r="F1115" s="48"/>
      <c r="G1115" s="48"/>
      <c r="H1115" s="48" t="e">
        <v>#DIV/0!</v>
      </c>
      <c r="I1115" s="48" t="e">
        <v>#DIV/0!</v>
      </c>
      <c r="J1115" s="52" t="e">
        <v>#DIV/0!</v>
      </c>
    </row>
    <row r="1116" spans="1:10" x14ac:dyDescent="0.2">
      <c r="A1116" s="85"/>
      <c r="B1116" s="53" t="s">
        <v>21</v>
      </c>
      <c r="C1116" s="89"/>
      <c r="D1116" s="48"/>
      <c r="E1116" s="48"/>
      <c r="F1116" s="48"/>
      <c r="G1116" s="48"/>
      <c r="H1116" s="48" t="e">
        <v>#DIV/0!</v>
      </c>
      <c r="I1116" s="48" t="e">
        <v>#DIV/0!</v>
      </c>
      <c r="J1116" s="52" t="e">
        <v>#DIV/0!</v>
      </c>
    </row>
    <row r="1117" spans="1:10" x14ac:dyDescent="0.2">
      <c r="A1117" s="87"/>
      <c r="B1117" s="56" t="s">
        <v>22</v>
      </c>
      <c r="C1117" s="90"/>
      <c r="D1117" s="57"/>
      <c r="E1117" s="57"/>
      <c r="F1117" s="57"/>
      <c r="G1117" s="57"/>
      <c r="H1117" s="57" t="e">
        <v>#DIV/0!</v>
      </c>
      <c r="I1117" s="57" t="e">
        <v>#DIV/0!</v>
      </c>
      <c r="J1117" s="49" t="e">
        <v>#DIV/0!</v>
      </c>
    </row>
    <row r="1118" spans="1:10" x14ac:dyDescent="0.2">
      <c r="A1118" s="91" t="s">
        <v>14</v>
      </c>
      <c r="B1118" s="53" t="s">
        <v>20</v>
      </c>
      <c r="C1118" s="92">
        <v>10</v>
      </c>
      <c r="D1118" s="48"/>
      <c r="E1118" s="48"/>
      <c r="F1118" s="48"/>
      <c r="G1118" s="48"/>
      <c r="H1118" s="48" t="e">
        <v>#DIV/0!</v>
      </c>
      <c r="I1118" s="48" t="e">
        <v>#DIV/0!</v>
      </c>
      <c r="J1118" s="52" t="e">
        <v>#DIV/0!</v>
      </c>
    </row>
    <row r="1119" spans="1:10" x14ac:dyDescent="0.2">
      <c r="A1119" s="85"/>
      <c r="B1119" s="53" t="s">
        <v>21</v>
      </c>
      <c r="C1119" s="89"/>
      <c r="D1119" s="48"/>
      <c r="E1119" s="48"/>
      <c r="F1119" s="48"/>
      <c r="G1119" s="48"/>
      <c r="H1119" s="48" t="e">
        <v>#DIV/0!</v>
      </c>
      <c r="I1119" s="48" t="e">
        <v>#DIV/0!</v>
      </c>
      <c r="J1119" s="52" t="e">
        <v>#DIV/0!</v>
      </c>
    </row>
    <row r="1120" spans="1:10" ht="16" thickBot="1" x14ac:dyDescent="0.25">
      <c r="A1120" s="93"/>
      <c r="B1120" s="58" t="s">
        <v>22</v>
      </c>
      <c r="C1120" s="94"/>
      <c r="D1120" s="59"/>
      <c r="E1120" s="59"/>
      <c r="F1120" s="59"/>
      <c r="G1120" s="59"/>
      <c r="H1120" s="59" t="e">
        <v>#DIV/0!</v>
      </c>
      <c r="I1120" s="59" t="e">
        <v>#DIV/0!</v>
      </c>
      <c r="J1120" s="50" t="e">
        <v>#DIV/0!</v>
      </c>
    </row>
    <row r="1121" spans="1:10" ht="16" thickBot="1" x14ac:dyDescent="0.25">
      <c r="A1121" s="60" t="s">
        <v>1</v>
      </c>
      <c r="B1121" s="61"/>
      <c r="C1121" s="62"/>
      <c r="D1121" s="63" t="s">
        <v>48</v>
      </c>
      <c r="E1121" s="64"/>
      <c r="F1121" s="58" t="s">
        <v>0</v>
      </c>
      <c r="G1121" s="18">
        <v>44156</v>
      </c>
      <c r="H1121" s="65" t="s">
        <v>24</v>
      </c>
      <c r="I1121" s="66"/>
      <c r="J1121" s="49">
        <v>110</v>
      </c>
    </row>
    <row r="1122" spans="1:10" ht="16" thickBot="1" x14ac:dyDescent="0.25">
      <c r="A1122" s="67" t="s">
        <v>2</v>
      </c>
      <c r="B1122" s="68"/>
      <c r="C1122" s="69"/>
      <c r="D1122" s="70"/>
      <c r="E1122" s="71"/>
      <c r="F1122" s="72"/>
      <c r="G1122" s="73"/>
      <c r="H1122" s="74" t="s">
        <v>25</v>
      </c>
      <c r="I1122" s="75"/>
      <c r="J1122" s="49">
        <v>25</v>
      </c>
    </row>
    <row r="1123" spans="1:10" ht="16" thickBot="1" x14ac:dyDescent="0.25">
      <c r="A1123" s="76" t="s">
        <v>27</v>
      </c>
      <c r="B1123" s="77"/>
      <c r="C1123" s="78"/>
      <c r="D1123" s="79" t="s">
        <v>36</v>
      </c>
      <c r="E1123" s="80"/>
      <c r="F1123" s="48" t="s">
        <v>30</v>
      </c>
      <c r="G1123" s="48">
        <v>3.81</v>
      </c>
      <c r="H1123" s="81" t="s">
        <v>26</v>
      </c>
      <c r="I1123" s="82"/>
      <c r="J1123" s="50">
        <v>56</v>
      </c>
    </row>
    <row r="1124" spans="1:10" x14ac:dyDescent="0.2">
      <c r="A1124" s="83"/>
      <c r="B1124" s="84"/>
      <c r="C1124" s="51" t="s">
        <v>29</v>
      </c>
      <c r="D1124" s="51" t="s">
        <v>19</v>
      </c>
      <c r="E1124" s="51" t="s">
        <v>15</v>
      </c>
      <c r="F1124" s="51" t="s">
        <v>18</v>
      </c>
      <c r="G1124" s="51" t="s">
        <v>17</v>
      </c>
      <c r="H1124" s="48" t="s">
        <v>28</v>
      </c>
      <c r="I1124" s="48" t="s">
        <v>16</v>
      </c>
      <c r="J1124" s="52" t="s">
        <v>23</v>
      </c>
    </row>
    <row r="1125" spans="1:10" x14ac:dyDescent="0.2">
      <c r="A1125" s="86" t="s">
        <v>3</v>
      </c>
      <c r="B1125" s="53" t="s">
        <v>20</v>
      </c>
      <c r="C1125" s="88">
        <v>10</v>
      </c>
      <c r="D1125" s="54"/>
      <c r="E1125" s="54">
        <v>1.7270000000000001</v>
      </c>
      <c r="F1125" s="54">
        <v>3.1389999999999998</v>
      </c>
      <c r="G1125" s="54">
        <v>4.2</v>
      </c>
      <c r="H1125" s="54">
        <v>0.21216947999999999</v>
      </c>
      <c r="I1125" s="54">
        <v>0</v>
      </c>
      <c r="J1125" s="55">
        <v>0</v>
      </c>
    </row>
    <row r="1126" spans="1:10" x14ac:dyDescent="0.2">
      <c r="A1126" s="85"/>
      <c r="B1126" s="53" t="s">
        <v>21</v>
      </c>
      <c r="C1126" s="89"/>
      <c r="D1126" s="48">
        <v>727</v>
      </c>
      <c r="E1126" s="48">
        <v>1.7330000000000001</v>
      </c>
      <c r="F1126" s="48">
        <v>3.15</v>
      </c>
      <c r="G1126" s="48">
        <v>4.2969999999999997</v>
      </c>
      <c r="H1126" s="48">
        <v>0.18603175</v>
      </c>
      <c r="I1126" s="48">
        <v>591.75492059999999</v>
      </c>
      <c r="J1126" s="52" t="e">
        <v>#DIV/0!</v>
      </c>
    </row>
    <row r="1127" spans="1:10" x14ac:dyDescent="0.2">
      <c r="A1127" s="87"/>
      <c r="B1127" s="56" t="s">
        <v>22</v>
      </c>
      <c r="C1127" s="90"/>
      <c r="D1127" s="57"/>
      <c r="E1127" s="57">
        <v>1.728</v>
      </c>
      <c r="F1127" s="57">
        <v>3.121</v>
      </c>
      <c r="G1127" s="57">
        <v>4.2850000000000001</v>
      </c>
      <c r="H1127" s="57">
        <v>0.18071131000000001</v>
      </c>
      <c r="I1127" s="57">
        <v>0</v>
      </c>
      <c r="J1127" s="49" t="e">
        <v>#DIV/0!</v>
      </c>
    </row>
    <row r="1128" spans="1:10" x14ac:dyDescent="0.2">
      <c r="A1128" s="91" t="s">
        <v>4</v>
      </c>
      <c r="B1128" s="53" t="s">
        <v>20</v>
      </c>
      <c r="C1128" s="92">
        <v>10</v>
      </c>
      <c r="D1128" s="48"/>
      <c r="E1128" s="48">
        <v>1.714</v>
      </c>
      <c r="F1128" s="48">
        <v>3.2530000000000001</v>
      </c>
      <c r="G1128" s="48">
        <v>4.444</v>
      </c>
      <c r="H1128" s="48">
        <v>0.16077467000000001</v>
      </c>
      <c r="I1128" s="48">
        <v>0</v>
      </c>
      <c r="J1128" s="52">
        <v>0</v>
      </c>
    </row>
    <row r="1129" spans="1:10" x14ac:dyDescent="0.2">
      <c r="A1129" s="85"/>
      <c r="B1129" s="53" t="s">
        <v>21</v>
      </c>
      <c r="C1129" s="89"/>
      <c r="D1129" s="48">
        <v>801</v>
      </c>
      <c r="E1129" s="48">
        <v>1.728</v>
      </c>
      <c r="F1129" s="48">
        <v>3.3220000000000001</v>
      </c>
      <c r="G1129" s="48">
        <v>4.4950000000000001</v>
      </c>
      <c r="H1129" s="48">
        <v>0.16706803000000001</v>
      </c>
      <c r="I1129" s="48">
        <v>667.1785069</v>
      </c>
      <c r="J1129" s="52" t="e">
        <v>#DIV/0!</v>
      </c>
    </row>
    <row r="1130" spans="1:10" x14ac:dyDescent="0.2">
      <c r="A1130" s="87"/>
      <c r="B1130" s="56" t="s">
        <v>22</v>
      </c>
      <c r="C1130" s="90"/>
      <c r="D1130" s="57"/>
      <c r="E1130" s="57">
        <v>1.73</v>
      </c>
      <c r="F1130" s="57">
        <v>3.0249999999999999</v>
      </c>
      <c r="G1130" s="57">
        <v>4.258</v>
      </c>
      <c r="H1130" s="57">
        <v>0.16429752</v>
      </c>
      <c r="I1130" s="57">
        <v>0</v>
      </c>
      <c r="J1130" s="49" t="e">
        <v>#DIV/0!</v>
      </c>
    </row>
    <row r="1131" spans="1:10" x14ac:dyDescent="0.2">
      <c r="A1131" s="91" t="s">
        <v>5</v>
      </c>
      <c r="B1131" s="53" t="s">
        <v>20</v>
      </c>
      <c r="C1131" s="92">
        <v>10</v>
      </c>
      <c r="D1131" s="48"/>
      <c r="E1131" s="48">
        <v>1.724</v>
      </c>
      <c r="F1131" s="48">
        <v>3.3340000000000001</v>
      </c>
      <c r="G1131" s="48">
        <v>4.4690000000000003</v>
      </c>
      <c r="H1131" s="48">
        <v>0.17666467</v>
      </c>
      <c r="I1131" s="48">
        <v>0</v>
      </c>
      <c r="J1131" s="52">
        <v>0</v>
      </c>
    </row>
    <row r="1132" spans="1:10" x14ac:dyDescent="0.2">
      <c r="A1132" s="85"/>
      <c r="B1132" s="53" t="s">
        <v>21</v>
      </c>
      <c r="C1132" s="89"/>
      <c r="D1132" s="48">
        <v>750</v>
      </c>
      <c r="E1132" s="48">
        <v>1.7250000000000001</v>
      </c>
      <c r="F1132" s="48">
        <v>3.266</v>
      </c>
      <c r="G1132" s="48">
        <v>4.444</v>
      </c>
      <c r="H1132" s="48">
        <v>0.16748315999999999</v>
      </c>
      <c r="I1132" s="48">
        <v>624.38763010000002</v>
      </c>
      <c r="J1132" s="52" t="e">
        <v>#DIV/0!</v>
      </c>
    </row>
    <row r="1133" spans="1:10" x14ac:dyDescent="0.2">
      <c r="A1133" s="87"/>
      <c r="B1133" s="56" t="s">
        <v>22</v>
      </c>
      <c r="C1133" s="90"/>
      <c r="D1133" s="57"/>
      <c r="E1133" s="57">
        <v>1.744</v>
      </c>
      <c r="F1133" s="57">
        <v>3.0219999999999998</v>
      </c>
      <c r="G1133" s="57">
        <v>4.2670000000000003</v>
      </c>
      <c r="H1133" s="57">
        <v>0.16512244000000001</v>
      </c>
      <c r="I1133" s="57">
        <v>0</v>
      </c>
      <c r="J1133" s="49" t="e">
        <v>#DIV/0!</v>
      </c>
    </row>
    <row r="1134" spans="1:10" x14ac:dyDescent="0.2">
      <c r="A1134" s="91" t="s">
        <v>6</v>
      </c>
      <c r="B1134" s="53" t="s">
        <v>20</v>
      </c>
      <c r="C1134" s="92">
        <v>10</v>
      </c>
      <c r="D1134" s="48"/>
      <c r="E1134" s="48">
        <v>1.736</v>
      </c>
      <c r="F1134" s="48">
        <v>3.1760000000000002</v>
      </c>
      <c r="G1134" s="48">
        <v>4.4000000000000004</v>
      </c>
      <c r="H1134" s="48">
        <v>0.16120907000000001</v>
      </c>
      <c r="I1134" s="48">
        <v>0</v>
      </c>
      <c r="J1134" s="52">
        <v>0</v>
      </c>
    </row>
    <row r="1135" spans="1:10" x14ac:dyDescent="0.2">
      <c r="A1135" s="85"/>
      <c r="B1135" s="53" t="s">
        <v>21</v>
      </c>
      <c r="C1135" s="89"/>
      <c r="D1135" s="48">
        <v>801</v>
      </c>
      <c r="E1135" s="48">
        <v>1.726</v>
      </c>
      <c r="F1135" s="48">
        <v>3.222</v>
      </c>
      <c r="G1135" s="48">
        <v>4.4429999999999996</v>
      </c>
      <c r="H1135" s="48">
        <v>0.15673495000000001</v>
      </c>
      <c r="I1135" s="48">
        <v>675.45530729999996</v>
      </c>
      <c r="J1135" s="52" t="e">
        <v>#DIV/0!</v>
      </c>
    </row>
    <row r="1136" spans="1:10" x14ac:dyDescent="0.2">
      <c r="A1136" s="87"/>
      <c r="B1136" s="56" t="s">
        <v>22</v>
      </c>
      <c r="C1136" s="90"/>
      <c r="D1136" s="57"/>
      <c r="E1136" s="57">
        <v>1.738</v>
      </c>
      <c r="F1136" s="57">
        <v>3.2160000000000002</v>
      </c>
      <c r="G1136" s="57">
        <v>4.4279999999999999</v>
      </c>
      <c r="H1136" s="57">
        <v>0.16355721000000001</v>
      </c>
      <c r="I1136" s="57">
        <v>0</v>
      </c>
      <c r="J1136" s="49" t="e">
        <v>#DIV/0!</v>
      </c>
    </row>
    <row r="1137" spans="1:10" x14ac:dyDescent="0.2">
      <c r="A1137" s="91" t="s">
        <v>7</v>
      </c>
      <c r="B1137" s="53" t="s">
        <v>20</v>
      </c>
      <c r="C1137" s="92">
        <v>10</v>
      </c>
      <c r="D1137" s="48"/>
      <c r="E1137" s="48">
        <v>1.7370000000000001</v>
      </c>
      <c r="F1137" s="48">
        <v>3.1549999999999998</v>
      </c>
      <c r="G1137" s="48">
        <v>4.3529999999999998</v>
      </c>
      <c r="H1137" s="48">
        <v>0.17083994</v>
      </c>
      <c r="I1137" s="48">
        <v>0</v>
      </c>
      <c r="J1137" s="52">
        <v>0</v>
      </c>
    </row>
    <row r="1138" spans="1:10" x14ac:dyDescent="0.2">
      <c r="A1138" s="85"/>
      <c r="B1138" s="53" t="s">
        <v>21</v>
      </c>
      <c r="C1138" s="89"/>
      <c r="D1138" s="48">
        <v>892</v>
      </c>
      <c r="E1138" s="48">
        <v>1.7090000000000001</v>
      </c>
      <c r="F1138" s="48">
        <v>3.448</v>
      </c>
      <c r="G1138" s="48">
        <v>4.5510000000000002</v>
      </c>
      <c r="H1138" s="48">
        <v>0.17575405999999999</v>
      </c>
      <c r="I1138" s="48">
        <v>735.22737819999998</v>
      </c>
      <c r="J1138" s="52" t="e">
        <v>#DIV/0!</v>
      </c>
    </row>
    <row r="1139" spans="1:10" x14ac:dyDescent="0.2">
      <c r="A1139" s="87"/>
      <c r="B1139" s="56" t="s">
        <v>22</v>
      </c>
      <c r="C1139" s="90"/>
      <c r="D1139" s="57"/>
      <c r="E1139" s="57">
        <v>1.728</v>
      </c>
      <c r="F1139" s="57">
        <v>3.1880000000000002</v>
      </c>
      <c r="G1139" s="57">
        <v>4.3280000000000003</v>
      </c>
      <c r="H1139" s="57">
        <v>0.18444166000000001</v>
      </c>
      <c r="I1139" s="57">
        <v>0</v>
      </c>
      <c r="J1139" s="49" t="e">
        <v>#DIV/0!</v>
      </c>
    </row>
    <row r="1140" spans="1:10" x14ac:dyDescent="0.2">
      <c r="A1140" s="91" t="s">
        <v>8</v>
      </c>
      <c r="B1140" s="53" t="s">
        <v>20</v>
      </c>
      <c r="C1140" s="92">
        <v>10</v>
      </c>
      <c r="D1140" s="48"/>
      <c r="E1140" s="48">
        <v>1.7410000000000001</v>
      </c>
      <c r="F1140" s="48">
        <v>3.2450000000000001</v>
      </c>
      <c r="G1140" s="48">
        <v>4.3659999999999997</v>
      </c>
      <c r="H1140" s="48">
        <v>0.19106317</v>
      </c>
      <c r="I1140" s="48">
        <v>0</v>
      </c>
      <c r="J1140" s="52">
        <v>0</v>
      </c>
    </row>
    <row r="1141" spans="1:10" x14ac:dyDescent="0.2">
      <c r="A1141" s="85"/>
      <c r="B1141" s="53" t="s">
        <v>21</v>
      </c>
      <c r="C1141" s="89"/>
      <c r="D1141" s="48">
        <v>827</v>
      </c>
      <c r="E1141" s="48">
        <v>1.72</v>
      </c>
      <c r="F1141" s="48">
        <v>3.0979999999999999</v>
      </c>
      <c r="G1141" s="48">
        <v>4.2460000000000004</v>
      </c>
      <c r="H1141" s="48">
        <v>0.18463525</v>
      </c>
      <c r="I1141" s="48">
        <v>674.30664950000005</v>
      </c>
      <c r="J1141" s="52" t="e">
        <v>#DIV/0!</v>
      </c>
    </row>
    <row r="1142" spans="1:10" x14ac:dyDescent="0.2">
      <c r="A1142" s="87"/>
      <c r="B1142" s="56" t="s">
        <v>22</v>
      </c>
      <c r="C1142" s="90"/>
      <c r="D1142" s="57"/>
      <c r="E1142" s="57">
        <v>1.7470000000000001</v>
      </c>
      <c r="F1142" s="57">
        <v>3.2410000000000001</v>
      </c>
      <c r="G1142" s="57">
        <v>4.3920000000000003</v>
      </c>
      <c r="H1142" s="57">
        <v>0.18389385999999999</v>
      </c>
      <c r="I1142" s="57">
        <v>0</v>
      </c>
      <c r="J1142" s="49" t="e">
        <v>#DIV/0!</v>
      </c>
    </row>
    <row r="1143" spans="1:10" x14ac:dyDescent="0.2">
      <c r="A1143" s="91" t="s">
        <v>9</v>
      </c>
      <c r="B1143" s="53" t="s">
        <v>20</v>
      </c>
      <c r="C1143" s="92">
        <v>10</v>
      </c>
      <c r="D1143" s="48"/>
      <c r="E1143" s="48">
        <v>1.728</v>
      </c>
      <c r="F1143" s="48">
        <v>3.0590000000000002</v>
      </c>
      <c r="G1143" s="48">
        <v>4.1859999999999999</v>
      </c>
      <c r="H1143" s="48">
        <v>0.19646943</v>
      </c>
      <c r="I1143" s="48">
        <v>0</v>
      </c>
      <c r="J1143" s="52">
        <v>0</v>
      </c>
    </row>
    <row r="1144" spans="1:10" x14ac:dyDescent="0.2">
      <c r="A1144" s="85"/>
      <c r="B1144" s="53" t="s">
        <v>21</v>
      </c>
      <c r="C1144" s="89"/>
      <c r="D1144" s="48">
        <v>908</v>
      </c>
      <c r="E1144" s="48">
        <v>1.734</v>
      </c>
      <c r="F1144" s="48">
        <v>3.391</v>
      </c>
      <c r="G1144" s="48">
        <v>4.4980000000000002</v>
      </c>
      <c r="H1144" s="48">
        <v>0.18490121000000001</v>
      </c>
      <c r="I1144" s="48">
        <v>740.10970220000002</v>
      </c>
      <c r="J1144" s="52" t="e">
        <v>#DIV/0!</v>
      </c>
    </row>
    <row r="1145" spans="1:10" x14ac:dyDescent="0.2">
      <c r="A1145" s="87"/>
      <c r="B1145" s="56" t="s">
        <v>22</v>
      </c>
      <c r="C1145" s="90"/>
      <c r="D1145" s="57"/>
      <c r="E1145" s="57">
        <v>1.7050000000000001</v>
      </c>
      <c r="F1145" s="57">
        <v>3.1179999999999999</v>
      </c>
      <c r="G1145" s="57">
        <v>4.2300000000000004</v>
      </c>
      <c r="H1145" s="57">
        <v>0.19018602000000001</v>
      </c>
      <c r="I1145" s="57">
        <v>0</v>
      </c>
      <c r="J1145" s="49" t="e">
        <v>#DIV/0!</v>
      </c>
    </row>
    <row r="1146" spans="1:10" x14ac:dyDescent="0.2">
      <c r="A1146" s="91" t="s">
        <v>10</v>
      </c>
      <c r="B1146" s="53" t="s">
        <v>20</v>
      </c>
      <c r="C1146" s="92">
        <v>10</v>
      </c>
      <c r="D1146" s="48"/>
      <c r="E1146" s="48">
        <v>1.722</v>
      </c>
      <c r="F1146" s="48">
        <v>3.3780000000000001</v>
      </c>
      <c r="G1146" s="48">
        <v>4.4820000000000002</v>
      </c>
      <c r="H1146" s="48">
        <v>0.18294848999999999</v>
      </c>
      <c r="I1146" s="48">
        <v>0</v>
      </c>
      <c r="J1146" s="52">
        <v>0</v>
      </c>
    </row>
    <row r="1147" spans="1:10" x14ac:dyDescent="0.2">
      <c r="A1147" s="85"/>
      <c r="B1147" s="53" t="s">
        <v>21</v>
      </c>
      <c r="C1147" s="89"/>
      <c r="D1147" s="48">
        <v>847</v>
      </c>
      <c r="E1147" s="48">
        <v>1.7090000000000001</v>
      </c>
      <c r="F1147" s="48">
        <v>3.35</v>
      </c>
      <c r="G1147" s="48">
        <v>4.3860000000000001</v>
      </c>
      <c r="H1147" s="48">
        <v>0.20089551999999999</v>
      </c>
      <c r="I1147" s="48">
        <v>676.84149249999996</v>
      </c>
      <c r="J1147" s="52" t="e">
        <v>#DIV/0!</v>
      </c>
    </row>
    <row r="1148" spans="1:10" x14ac:dyDescent="0.2">
      <c r="A1148" s="87"/>
      <c r="B1148" s="56" t="s">
        <v>22</v>
      </c>
      <c r="C1148" s="90"/>
      <c r="D1148" s="57"/>
      <c r="E1148" s="57">
        <v>1.7090000000000001</v>
      </c>
      <c r="F1148" s="57">
        <v>3.3610000000000002</v>
      </c>
      <c r="G1148" s="57">
        <v>4.3879999999999999</v>
      </c>
      <c r="H1148" s="57">
        <v>0.20291580000000001</v>
      </c>
      <c r="I1148" s="57">
        <v>0</v>
      </c>
      <c r="J1148" s="49" t="e">
        <v>#DIV/0!</v>
      </c>
    </row>
    <row r="1149" spans="1:10" x14ac:dyDescent="0.2">
      <c r="A1149" s="91" t="s">
        <v>11</v>
      </c>
      <c r="B1149" s="53" t="s">
        <v>20</v>
      </c>
      <c r="C1149" s="92">
        <v>10</v>
      </c>
      <c r="D1149" s="48"/>
      <c r="E1149" s="48">
        <v>1.722</v>
      </c>
      <c r="F1149" s="48">
        <v>3.036</v>
      </c>
      <c r="G1149" s="48">
        <v>4.1630000000000003</v>
      </c>
      <c r="H1149" s="48">
        <v>0.19598155</v>
      </c>
      <c r="I1149" s="48">
        <v>0</v>
      </c>
      <c r="J1149" s="52">
        <v>0</v>
      </c>
    </row>
    <row r="1150" spans="1:10" x14ac:dyDescent="0.2">
      <c r="A1150" s="85"/>
      <c r="B1150" s="53" t="s">
        <v>21</v>
      </c>
      <c r="C1150" s="89"/>
      <c r="D1150" s="48">
        <v>912</v>
      </c>
      <c r="E1150" s="48">
        <v>1.7410000000000001</v>
      </c>
      <c r="F1150" s="48">
        <v>3.3170000000000002</v>
      </c>
      <c r="G1150" s="48">
        <v>4.4080000000000004</v>
      </c>
      <c r="H1150" s="48">
        <v>0.19596021</v>
      </c>
      <c r="I1150" s="48">
        <v>733.28429300000005</v>
      </c>
      <c r="J1150" s="52" t="e">
        <v>#DIV/0!</v>
      </c>
    </row>
    <row r="1151" spans="1:10" x14ac:dyDescent="0.2">
      <c r="A1151" s="87"/>
      <c r="B1151" s="56" t="s">
        <v>22</v>
      </c>
      <c r="C1151" s="90"/>
      <c r="D1151" s="57"/>
      <c r="E1151" s="57">
        <v>1.7490000000000001</v>
      </c>
      <c r="F1151" s="57">
        <v>3.0369999999999999</v>
      </c>
      <c r="G1151" s="57">
        <v>4.1989999999999998</v>
      </c>
      <c r="H1151" s="57">
        <v>0.19328284000000001</v>
      </c>
      <c r="I1151" s="57">
        <v>0</v>
      </c>
      <c r="J1151" s="49" t="e">
        <v>#DIV/0!</v>
      </c>
    </row>
    <row r="1152" spans="1:10" x14ac:dyDescent="0.2">
      <c r="A1152" s="91" t="s">
        <v>12</v>
      </c>
      <c r="B1152" s="53" t="s">
        <v>20</v>
      </c>
      <c r="C1152" s="92">
        <v>10</v>
      </c>
      <c r="D1152" s="48"/>
      <c r="E1152" s="48">
        <v>1.728</v>
      </c>
      <c r="F1152" s="48">
        <v>3.1389999999999998</v>
      </c>
      <c r="G1152" s="48">
        <v>4.2389999999999999</v>
      </c>
      <c r="H1152" s="48">
        <v>0.20006371000000001</v>
      </c>
      <c r="I1152" s="48">
        <v>0</v>
      </c>
      <c r="J1152" s="52">
        <v>0</v>
      </c>
    </row>
    <row r="1153" spans="1:10" x14ac:dyDescent="0.2">
      <c r="A1153" s="85"/>
      <c r="B1153" s="53" t="s">
        <v>21</v>
      </c>
      <c r="C1153" s="89"/>
      <c r="D1153" s="48">
        <v>851</v>
      </c>
      <c r="E1153" s="48">
        <v>1.734</v>
      </c>
      <c r="F1153" s="48">
        <v>3.3660000000000001</v>
      </c>
      <c r="G1153" s="48">
        <v>4.375</v>
      </c>
      <c r="H1153" s="48">
        <v>0.21538919000000001</v>
      </c>
      <c r="I1153" s="48">
        <v>667.70380269999998</v>
      </c>
      <c r="J1153" s="52" t="e">
        <v>#DIV/0!</v>
      </c>
    </row>
    <row r="1154" spans="1:10" x14ac:dyDescent="0.2">
      <c r="A1154" s="87"/>
      <c r="B1154" s="56" t="s">
        <v>22</v>
      </c>
      <c r="C1154" s="90"/>
      <c r="D1154" s="57"/>
      <c r="E1154" s="57">
        <v>1.7250000000000001</v>
      </c>
      <c r="F1154" s="57">
        <v>3.137</v>
      </c>
      <c r="G1154" s="57">
        <v>4.2469999999999999</v>
      </c>
      <c r="H1154" s="57">
        <v>0.19604717999999999</v>
      </c>
      <c r="I1154" s="57">
        <v>0</v>
      </c>
      <c r="J1154" s="49" t="e">
        <v>#DIV/0!</v>
      </c>
    </row>
    <row r="1155" spans="1:10" x14ac:dyDescent="0.2">
      <c r="A1155" s="91" t="s">
        <v>13</v>
      </c>
      <c r="B1155" s="53" t="s">
        <v>20</v>
      </c>
      <c r="C1155" s="92">
        <v>10</v>
      </c>
      <c r="D1155" s="48"/>
      <c r="E1155" s="48">
        <v>1.748</v>
      </c>
      <c r="F1155" s="48">
        <v>3.052</v>
      </c>
      <c r="G1155" s="48">
        <v>4.165</v>
      </c>
      <c r="H1155" s="48">
        <v>0.20806029000000001</v>
      </c>
      <c r="I1155" s="48">
        <v>0</v>
      </c>
      <c r="J1155" s="52">
        <v>0</v>
      </c>
    </row>
    <row r="1156" spans="1:10" x14ac:dyDescent="0.2">
      <c r="A1156" s="85"/>
      <c r="B1156" s="53" t="s">
        <v>21</v>
      </c>
      <c r="C1156" s="89"/>
      <c r="D1156" s="48">
        <v>881</v>
      </c>
      <c r="E1156" s="48">
        <v>1.7470000000000001</v>
      </c>
      <c r="F1156" s="48">
        <v>3.258</v>
      </c>
      <c r="G1156" s="48">
        <v>4.3360000000000003</v>
      </c>
      <c r="H1156" s="48">
        <v>0.20534069999999999</v>
      </c>
      <c r="I1156" s="48">
        <v>700.09484350000002</v>
      </c>
      <c r="J1156" s="52" t="e">
        <v>#DIV/0!</v>
      </c>
    </row>
    <row r="1157" spans="1:10" x14ac:dyDescent="0.2">
      <c r="A1157" s="87"/>
      <c r="B1157" s="56" t="s">
        <v>22</v>
      </c>
      <c r="C1157" s="90"/>
      <c r="D1157" s="57"/>
      <c r="E1157" s="57">
        <v>1.726</v>
      </c>
      <c r="F1157" s="57">
        <v>3.4009999999999998</v>
      </c>
      <c r="G1157" s="57">
        <v>4.5419999999999998</v>
      </c>
      <c r="H1157" s="57">
        <v>0.17200823000000001</v>
      </c>
      <c r="I1157" s="57">
        <v>0</v>
      </c>
      <c r="J1157" s="49" t="e">
        <v>#DIV/0!</v>
      </c>
    </row>
    <row r="1158" spans="1:10" x14ac:dyDescent="0.2">
      <c r="A1158" s="91" t="s">
        <v>14</v>
      </c>
      <c r="B1158" s="53" t="s">
        <v>20</v>
      </c>
      <c r="C1158" s="92">
        <v>10</v>
      </c>
      <c r="D1158" s="48"/>
      <c r="E1158" s="48">
        <v>1.7430000000000001</v>
      </c>
      <c r="F1158" s="48">
        <v>3.157</v>
      </c>
      <c r="G1158" s="48">
        <v>4.391</v>
      </c>
      <c r="H1158" s="48">
        <v>0.16122901000000001</v>
      </c>
      <c r="I1158" s="48">
        <v>0</v>
      </c>
      <c r="J1158" s="52">
        <v>0</v>
      </c>
    </row>
    <row r="1159" spans="1:10" x14ac:dyDescent="0.2">
      <c r="A1159" s="85"/>
      <c r="B1159" s="53" t="s">
        <v>21</v>
      </c>
      <c r="C1159" s="89"/>
      <c r="D1159" s="48">
        <v>822</v>
      </c>
      <c r="E1159" s="48">
        <v>1.7250000000000001</v>
      </c>
      <c r="F1159" s="48">
        <v>3.2490000000000001</v>
      </c>
      <c r="G1159" s="48">
        <v>4.3179999999999996</v>
      </c>
      <c r="H1159" s="48">
        <v>0.20190828</v>
      </c>
      <c r="I1159" s="48">
        <v>656.03139429999999</v>
      </c>
      <c r="J1159" s="52" t="e">
        <v>#DIV/0!</v>
      </c>
    </row>
    <row r="1160" spans="1:10" ht="16" thickBot="1" x14ac:dyDescent="0.25">
      <c r="A1160" s="93"/>
      <c r="B1160" s="58" t="s">
        <v>22</v>
      </c>
      <c r="C1160" s="94"/>
      <c r="D1160" s="59"/>
      <c r="E1160" s="59">
        <v>1.7330000000000001</v>
      </c>
      <c r="F1160" s="59">
        <v>3.0070000000000001</v>
      </c>
      <c r="G1160" s="59">
        <v>4.2910000000000004</v>
      </c>
      <c r="H1160" s="59">
        <v>0.14931826000000001</v>
      </c>
      <c r="I1160" s="59">
        <v>0</v>
      </c>
      <c r="J1160" s="50" t="e">
        <v>#DIV/0!</v>
      </c>
    </row>
    <row r="1161" spans="1:10" ht="16" thickBot="1" x14ac:dyDescent="0.25">
      <c r="A1161" s="60" t="s">
        <v>1</v>
      </c>
      <c r="B1161" s="61"/>
      <c r="C1161" s="62"/>
      <c r="D1161" s="63" t="s">
        <v>48</v>
      </c>
      <c r="E1161" s="64"/>
      <c r="F1161" s="58" t="s">
        <v>0</v>
      </c>
      <c r="G1161" s="18">
        <v>44156</v>
      </c>
      <c r="H1161" s="65" t="s">
        <v>24</v>
      </c>
      <c r="I1161" s="66"/>
      <c r="J1161" s="49">
        <v>110</v>
      </c>
    </row>
    <row r="1162" spans="1:10" ht="16" thickBot="1" x14ac:dyDescent="0.25">
      <c r="A1162" s="67" t="s">
        <v>2</v>
      </c>
      <c r="B1162" s="68"/>
      <c r="C1162" s="69"/>
      <c r="D1162" s="70"/>
      <c r="E1162" s="71"/>
      <c r="F1162" s="72"/>
      <c r="G1162" s="73"/>
      <c r="H1162" s="74" t="s">
        <v>25</v>
      </c>
      <c r="I1162" s="75"/>
      <c r="J1162" s="49">
        <v>20</v>
      </c>
    </row>
    <row r="1163" spans="1:10" ht="16" thickBot="1" x14ac:dyDescent="0.25">
      <c r="A1163" s="76" t="s">
        <v>27</v>
      </c>
      <c r="B1163" s="77"/>
      <c r="C1163" s="78"/>
      <c r="D1163" s="79" t="s">
        <v>32</v>
      </c>
      <c r="E1163" s="80"/>
      <c r="F1163" s="48" t="s">
        <v>30</v>
      </c>
      <c r="G1163" s="48">
        <v>3.81</v>
      </c>
      <c r="H1163" s="81" t="s">
        <v>26</v>
      </c>
      <c r="I1163" s="82"/>
      <c r="J1163" s="50">
        <v>40</v>
      </c>
    </row>
    <row r="1164" spans="1:10" x14ac:dyDescent="0.2">
      <c r="A1164" s="83"/>
      <c r="B1164" s="84"/>
      <c r="C1164" s="51" t="s">
        <v>29</v>
      </c>
      <c r="D1164" s="51" t="s">
        <v>19</v>
      </c>
      <c r="E1164" s="51" t="s">
        <v>15</v>
      </c>
      <c r="F1164" s="51" t="s">
        <v>18</v>
      </c>
      <c r="G1164" s="51" t="s">
        <v>17</v>
      </c>
      <c r="H1164" s="48" t="s">
        <v>28</v>
      </c>
      <c r="I1164" s="48" t="s">
        <v>16</v>
      </c>
      <c r="J1164" s="52" t="s">
        <v>23</v>
      </c>
    </row>
    <row r="1165" spans="1:10" x14ac:dyDescent="0.2">
      <c r="A1165" s="86" t="s">
        <v>3</v>
      </c>
      <c r="B1165" s="53" t="s">
        <v>20</v>
      </c>
      <c r="C1165" s="88">
        <v>10</v>
      </c>
      <c r="D1165" s="54"/>
      <c r="E1165" s="54">
        <v>1.7330000000000001</v>
      </c>
      <c r="F1165" s="54">
        <v>3.3919999999999999</v>
      </c>
      <c r="G1165" s="54">
        <v>4.4820000000000002</v>
      </c>
      <c r="H1165" s="54">
        <v>0.18956368000000001</v>
      </c>
      <c r="I1165" s="54">
        <v>0</v>
      </c>
      <c r="J1165" s="55">
        <v>0</v>
      </c>
    </row>
    <row r="1166" spans="1:10" x14ac:dyDescent="0.2">
      <c r="A1166" s="85"/>
      <c r="B1166" s="53" t="s">
        <v>21</v>
      </c>
      <c r="C1166" s="89"/>
      <c r="D1166" s="48">
        <v>774</v>
      </c>
      <c r="E1166" s="48">
        <v>1.726</v>
      </c>
      <c r="F1166" s="48">
        <v>3.1659999999999999</v>
      </c>
      <c r="G1166" s="48">
        <v>4.234</v>
      </c>
      <c r="H1166" s="48">
        <v>0.20783323000000001</v>
      </c>
      <c r="I1166" s="48">
        <v>613.13708150000002</v>
      </c>
      <c r="J1166" s="52" t="e">
        <v>#DIV/0!</v>
      </c>
    </row>
    <row r="1167" spans="1:10" x14ac:dyDescent="0.2">
      <c r="A1167" s="87"/>
      <c r="B1167" s="56" t="s">
        <v>22</v>
      </c>
      <c r="C1167" s="90"/>
      <c r="D1167" s="57"/>
      <c r="E1167" s="57">
        <v>1.732</v>
      </c>
      <c r="F1167" s="57">
        <v>3.2</v>
      </c>
      <c r="G1167" s="57">
        <v>4.3760000000000003</v>
      </c>
      <c r="H1167" s="57">
        <v>0.17374999999999999</v>
      </c>
      <c r="I1167" s="57">
        <v>0</v>
      </c>
      <c r="J1167" s="49" t="e">
        <v>#DIV/0!</v>
      </c>
    </row>
    <row r="1168" spans="1:10" x14ac:dyDescent="0.2">
      <c r="A1168" s="91" t="s">
        <v>4</v>
      </c>
      <c r="B1168" s="53" t="s">
        <v>20</v>
      </c>
      <c r="C1168" s="92">
        <v>10</v>
      </c>
      <c r="D1168" s="48"/>
      <c r="E1168" s="48">
        <v>1.726</v>
      </c>
      <c r="F1168" s="48">
        <v>3.2749999999999999</v>
      </c>
      <c r="G1168" s="48">
        <v>4.4429999999999996</v>
      </c>
      <c r="H1168" s="48">
        <v>0.17038168000000001</v>
      </c>
      <c r="I1168" s="48">
        <v>0</v>
      </c>
      <c r="J1168" s="52">
        <v>0</v>
      </c>
    </row>
    <row r="1169" spans="1:10" x14ac:dyDescent="0.2">
      <c r="A1169" s="85"/>
      <c r="B1169" s="53" t="s">
        <v>21</v>
      </c>
      <c r="C1169" s="89"/>
      <c r="D1169" s="48">
        <v>811</v>
      </c>
      <c r="E1169" s="48">
        <v>1.738</v>
      </c>
      <c r="F1169" s="48">
        <v>3.2589999999999999</v>
      </c>
      <c r="G1169" s="48">
        <v>4.4530000000000003</v>
      </c>
      <c r="H1169" s="48">
        <v>0.16692236999999999</v>
      </c>
      <c r="I1169" s="48">
        <v>675.6259589</v>
      </c>
      <c r="J1169" s="52" t="e">
        <v>#DIV/0!</v>
      </c>
    </row>
    <row r="1170" spans="1:10" x14ac:dyDescent="0.2">
      <c r="A1170" s="87"/>
      <c r="B1170" s="56" t="s">
        <v>22</v>
      </c>
      <c r="C1170" s="90"/>
      <c r="D1170" s="57"/>
      <c r="E1170" s="57">
        <v>1.7170000000000001</v>
      </c>
      <c r="F1170" s="57">
        <v>3.016</v>
      </c>
      <c r="G1170" s="57">
        <v>4.2489999999999997</v>
      </c>
      <c r="H1170" s="57">
        <v>0.16047744999999999</v>
      </c>
      <c r="I1170" s="57">
        <v>0</v>
      </c>
      <c r="J1170" s="49" t="e">
        <v>#DIV/0!</v>
      </c>
    </row>
    <row r="1171" spans="1:10" x14ac:dyDescent="0.2">
      <c r="A1171" s="91" t="s">
        <v>5</v>
      </c>
      <c r="B1171" s="53" t="s">
        <v>20</v>
      </c>
      <c r="C1171" s="92">
        <v>10</v>
      </c>
      <c r="D1171" s="48"/>
      <c r="E1171" s="48">
        <v>1.7050000000000001</v>
      </c>
      <c r="F1171" s="48">
        <v>3.1659999999999999</v>
      </c>
      <c r="G1171" s="48">
        <v>4.3129999999999997</v>
      </c>
      <c r="H1171" s="48">
        <v>0.17624762999999999</v>
      </c>
      <c r="I1171" s="48">
        <v>0</v>
      </c>
      <c r="J1171" s="52">
        <v>0</v>
      </c>
    </row>
    <row r="1172" spans="1:10" x14ac:dyDescent="0.2">
      <c r="A1172" s="85"/>
      <c r="B1172" s="53" t="s">
        <v>21</v>
      </c>
      <c r="C1172" s="89"/>
      <c r="D1172" s="48">
        <v>833</v>
      </c>
      <c r="E1172" s="48">
        <v>1.7310000000000001</v>
      </c>
      <c r="F1172" s="48">
        <v>3.2789999999999999</v>
      </c>
      <c r="G1172" s="48">
        <v>4.4509999999999996</v>
      </c>
      <c r="H1172" s="48">
        <v>0.17047880000000001</v>
      </c>
      <c r="I1172" s="48">
        <v>690.9911558</v>
      </c>
      <c r="J1172" s="52" t="e">
        <v>#DIV/0!</v>
      </c>
    </row>
    <row r="1173" spans="1:10" x14ac:dyDescent="0.2">
      <c r="A1173" s="87"/>
      <c r="B1173" s="56" t="s">
        <v>22</v>
      </c>
      <c r="C1173" s="90"/>
      <c r="D1173" s="57"/>
      <c r="E1173" s="57">
        <v>1.7330000000000001</v>
      </c>
      <c r="F1173" s="57">
        <v>3.2789999999999999</v>
      </c>
      <c r="G1173" s="57">
        <v>4.4649999999999999</v>
      </c>
      <c r="H1173" s="57">
        <v>0.16681915</v>
      </c>
      <c r="I1173" s="57">
        <v>0</v>
      </c>
      <c r="J1173" s="49" t="e">
        <v>#DIV/0!</v>
      </c>
    </row>
    <row r="1174" spans="1:10" x14ac:dyDescent="0.2">
      <c r="A1174" s="91" t="s">
        <v>6</v>
      </c>
      <c r="B1174" s="53" t="s">
        <v>20</v>
      </c>
      <c r="C1174" s="92">
        <v>10</v>
      </c>
      <c r="D1174" s="48"/>
      <c r="E1174" s="48">
        <v>1.734</v>
      </c>
      <c r="F1174" s="48">
        <v>3.1019999999999999</v>
      </c>
      <c r="G1174" s="48">
        <v>4.3150000000000004</v>
      </c>
      <c r="H1174" s="48">
        <v>0.16795615999999999</v>
      </c>
      <c r="I1174" s="48">
        <v>0</v>
      </c>
      <c r="J1174" s="52">
        <v>0</v>
      </c>
    </row>
    <row r="1175" spans="1:10" x14ac:dyDescent="0.2">
      <c r="A1175" s="85"/>
      <c r="B1175" s="53" t="s">
        <v>21</v>
      </c>
      <c r="C1175" s="89"/>
      <c r="D1175" s="48">
        <v>804</v>
      </c>
      <c r="E1175" s="48">
        <v>1.726</v>
      </c>
      <c r="F1175" s="48">
        <v>3.2450000000000001</v>
      </c>
      <c r="G1175" s="48">
        <v>4.4189999999999996</v>
      </c>
      <c r="H1175" s="48">
        <v>0.17010786</v>
      </c>
      <c r="I1175" s="48">
        <v>667.23328200000003</v>
      </c>
      <c r="J1175" s="52" t="e">
        <v>#DIV/0!</v>
      </c>
    </row>
    <row r="1176" spans="1:10" x14ac:dyDescent="0.2">
      <c r="A1176" s="87"/>
      <c r="B1176" s="56" t="s">
        <v>22</v>
      </c>
      <c r="C1176" s="90"/>
      <c r="D1176" s="57"/>
      <c r="E1176" s="57">
        <v>1.704</v>
      </c>
      <c r="F1176" s="57">
        <v>3.371</v>
      </c>
      <c r="G1176" s="57">
        <v>4.5119999999999996</v>
      </c>
      <c r="H1176" s="57">
        <v>0.16701276000000001</v>
      </c>
      <c r="I1176" s="57">
        <v>0</v>
      </c>
      <c r="J1176" s="49" t="e">
        <v>#DIV/0!</v>
      </c>
    </row>
    <row r="1177" spans="1:10" x14ac:dyDescent="0.2">
      <c r="A1177" s="91" t="s">
        <v>7</v>
      </c>
      <c r="B1177" s="53" t="s">
        <v>20</v>
      </c>
      <c r="C1177" s="92">
        <v>10</v>
      </c>
      <c r="D1177" s="48"/>
      <c r="E1177" s="48">
        <v>1.724</v>
      </c>
      <c r="F1177" s="48">
        <v>3.0019999999999998</v>
      </c>
      <c r="G1177" s="48">
        <v>4.2</v>
      </c>
      <c r="H1177" s="48">
        <v>0.17521651999999999</v>
      </c>
      <c r="I1177" s="48">
        <v>0</v>
      </c>
      <c r="J1177" s="52">
        <v>0</v>
      </c>
    </row>
    <row r="1178" spans="1:10" x14ac:dyDescent="0.2">
      <c r="A1178" s="85"/>
      <c r="B1178" s="53" t="s">
        <v>21</v>
      </c>
      <c r="C1178" s="89"/>
      <c r="D1178" s="48">
        <v>874</v>
      </c>
      <c r="E1178" s="48">
        <v>1.732</v>
      </c>
      <c r="F1178" s="48">
        <v>3.1549999999999998</v>
      </c>
      <c r="G1178" s="48">
        <v>4.3470000000000004</v>
      </c>
      <c r="H1178" s="48">
        <v>0.17115689000000001</v>
      </c>
      <c r="I1178" s="48">
        <v>724.40887480000004</v>
      </c>
      <c r="J1178" s="52" t="e">
        <v>#DIV/0!</v>
      </c>
    </row>
    <row r="1179" spans="1:10" x14ac:dyDescent="0.2">
      <c r="A1179" s="87"/>
      <c r="B1179" s="56" t="s">
        <v>22</v>
      </c>
      <c r="C1179" s="90"/>
      <c r="D1179" s="57"/>
      <c r="E1179" s="57">
        <v>1.714</v>
      </c>
      <c r="F1179" s="57">
        <v>3.137</v>
      </c>
      <c r="G1179" s="57">
        <v>4.3</v>
      </c>
      <c r="H1179" s="57">
        <v>0.17564552</v>
      </c>
      <c r="I1179" s="57">
        <v>0</v>
      </c>
      <c r="J1179" s="49" t="e">
        <v>#DIV/0!</v>
      </c>
    </row>
    <row r="1180" spans="1:10" x14ac:dyDescent="0.2">
      <c r="A1180" s="91" t="s">
        <v>8</v>
      </c>
      <c r="B1180" s="53" t="s">
        <v>20</v>
      </c>
      <c r="C1180" s="92">
        <v>10</v>
      </c>
      <c r="D1180" s="48"/>
      <c r="E1180" s="48">
        <v>1.722</v>
      </c>
      <c r="F1180" s="48">
        <v>3.165</v>
      </c>
      <c r="G1180" s="48">
        <v>4.2779999999999996</v>
      </c>
      <c r="H1180" s="48">
        <v>0.19241706</v>
      </c>
      <c r="I1180" s="48">
        <v>0</v>
      </c>
      <c r="J1180" s="52">
        <v>0</v>
      </c>
    </row>
    <row r="1181" spans="1:10" x14ac:dyDescent="0.2">
      <c r="A1181" s="85"/>
      <c r="B1181" s="53" t="s">
        <v>21</v>
      </c>
      <c r="C1181" s="89"/>
      <c r="D1181" s="48">
        <v>876</v>
      </c>
      <c r="E1181" s="48">
        <v>1.732</v>
      </c>
      <c r="F1181" s="48">
        <v>3.1859999999999999</v>
      </c>
      <c r="G1181" s="48">
        <v>4.3159999999999998</v>
      </c>
      <c r="H1181" s="48">
        <v>0.18895165999999999</v>
      </c>
      <c r="I1181" s="48">
        <v>710.47834269999998</v>
      </c>
      <c r="J1181" s="52" t="e">
        <v>#DIV/0!</v>
      </c>
    </row>
    <row r="1182" spans="1:10" x14ac:dyDescent="0.2">
      <c r="A1182" s="87"/>
      <c r="B1182" s="56" t="s">
        <v>22</v>
      </c>
      <c r="C1182" s="90"/>
      <c r="D1182" s="57"/>
      <c r="E1182" s="57">
        <v>1.722</v>
      </c>
      <c r="F1182" s="57">
        <v>3.2370000000000001</v>
      </c>
      <c r="G1182" s="57">
        <v>4.3630000000000004</v>
      </c>
      <c r="H1182" s="57">
        <v>0.18412110000000001</v>
      </c>
      <c r="I1182" s="57">
        <v>0</v>
      </c>
      <c r="J1182" s="49" t="e">
        <v>#DIV/0!</v>
      </c>
    </row>
    <row r="1183" spans="1:10" x14ac:dyDescent="0.2">
      <c r="A1183" s="91" t="s">
        <v>9</v>
      </c>
      <c r="B1183" s="53" t="s">
        <v>20</v>
      </c>
      <c r="C1183" s="92">
        <v>10</v>
      </c>
      <c r="D1183" s="48"/>
      <c r="E1183" s="48">
        <v>1.7430000000000001</v>
      </c>
      <c r="F1183" s="48">
        <v>3.0230000000000001</v>
      </c>
      <c r="G1183" s="48">
        <v>4.1509999999999998</v>
      </c>
      <c r="H1183" s="48">
        <v>0.20344029</v>
      </c>
      <c r="I1183" s="48">
        <v>0</v>
      </c>
      <c r="J1183" s="52">
        <v>0</v>
      </c>
    </row>
    <row r="1184" spans="1:10" x14ac:dyDescent="0.2">
      <c r="A1184" s="85"/>
      <c r="B1184" s="53" t="s">
        <v>21</v>
      </c>
      <c r="C1184" s="89"/>
      <c r="D1184" s="48">
        <v>826</v>
      </c>
      <c r="E1184" s="48">
        <v>1.7230000000000001</v>
      </c>
      <c r="F1184" s="48">
        <v>3.21</v>
      </c>
      <c r="G1184" s="48">
        <v>4.3220000000000001</v>
      </c>
      <c r="H1184" s="48">
        <v>0.19034267999999999</v>
      </c>
      <c r="I1184" s="48">
        <v>668.77694699999995</v>
      </c>
      <c r="J1184" s="52" t="e">
        <v>#DIV/0!</v>
      </c>
    </row>
    <row r="1185" spans="1:10" x14ac:dyDescent="0.2">
      <c r="A1185" s="87"/>
      <c r="B1185" s="56" t="s">
        <v>22</v>
      </c>
      <c r="C1185" s="90"/>
      <c r="D1185" s="57"/>
      <c r="E1185" s="57">
        <v>1.7150000000000001</v>
      </c>
      <c r="F1185" s="57">
        <v>3.3029999999999999</v>
      </c>
      <c r="G1185" s="57">
        <v>4.4139999999999997</v>
      </c>
      <c r="H1185" s="57">
        <v>0.18286405999999999</v>
      </c>
      <c r="I1185" s="57">
        <v>0</v>
      </c>
      <c r="J1185" s="49" t="e">
        <v>#DIV/0!</v>
      </c>
    </row>
    <row r="1186" spans="1:10" x14ac:dyDescent="0.2">
      <c r="A1186" s="91" t="s">
        <v>10</v>
      </c>
      <c r="B1186" s="53" t="s">
        <v>20</v>
      </c>
      <c r="C1186" s="92">
        <v>10</v>
      </c>
      <c r="D1186" s="48"/>
      <c r="E1186" s="48">
        <v>1.72</v>
      </c>
      <c r="F1186" s="48">
        <v>3.097</v>
      </c>
      <c r="G1186" s="48">
        <v>4.2300000000000004</v>
      </c>
      <c r="H1186" s="48">
        <v>0.18953825999999999</v>
      </c>
      <c r="I1186" s="48">
        <v>0</v>
      </c>
      <c r="J1186" s="52">
        <v>0</v>
      </c>
    </row>
    <row r="1187" spans="1:10" x14ac:dyDescent="0.2">
      <c r="A1187" s="85"/>
      <c r="B1187" s="53" t="s">
        <v>21</v>
      </c>
      <c r="C1187" s="89"/>
      <c r="D1187" s="48">
        <v>899</v>
      </c>
      <c r="E1187" s="48">
        <v>1.7290000000000001</v>
      </c>
      <c r="F1187" s="48">
        <v>3.294</v>
      </c>
      <c r="G1187" s="48">
        <v>4.3840000000000003</v>
      </c>
      <c r="H1187" s="48">
        <v>0.19398907000000001</v>
      </c>
      <c r="I1187" s="48">
        <v>724.60382509999999</v>
      </c>
      <c r="J1187" s="52" t="e">
        <v>#DIV/0!</v>
      </c>
    </row>
    <row r="1188" spans="1:10" x14ac:dyDescent="0.2">
      <c r="A1188" s="87"/>
      <c r="B1188" s="56" t="s">
        <v>22</v>
      </c>
      <c r="C1188" s="90"/>
      <c r="D1188" s="57"/>
      <c r="E1188" s="57">
        <v>1.72</v>
      </c>
      <c r="F1188" s="57">
        <v>3.004</v>
      </c>
      <c r="G1188" s="57">
        <v>4.149</v>
      </c>
      <c r="H1188" s="57">
        <v>0.19141145000000001</v>
      </c>
      <c r="I1188" s="57">
        <v>0</v>
      </c>
      <c r="J1188" s="49" t="e">
        <v>#DIV/0!</v>
      </c>
    </row>
    <row r="1189" spans="1:10" x14ac:dyDescent="0.2">
      <c r="A1189" s="91" t="s">
        <v>11</v>
      </c>
      <c r="B1189" s="53" t="s">
        <v>20</v>
      </c>
      <c r="C1189" s="92">
        <v>10</v>
      </c>
      <c r="D1189" s="48"/>
      <c r="E1189" s="48">
        <v>1.74</v>
      </c>
      <c r="F1189" s="48">
        <v>3.3450000000000002</v>
      </c>
      <c r="G1189" s="48">
        <v>4.452</v>
      </c>
      <c r="H1189" s="48">
        <v>0.18923767</v>
      </c>
      <c r="I1189" s="48">
        <v>0</v>
      </c>
      <c r="J1189" s="52">
        <v>0</v>
      </c>
    </row>
    <row r="1190" spans="1:10" x14ac:dyDescent="0.2">
      <c r="A1190" s="85"/>
      <c r="B1190" s="53" t="s">
        <v>21</v>
      </c>
      <c r="C1190" s="89"/>
      <c r="D1190" s="48">
        <v>826</v>
      </c>
      <c r="E1190" s="48">
        <v>1.7290000000000001</v>
      </c>
      <c r="F1190" s="48">
        <v>3.254</v>
      </c>
      <c r="G1190" s="48">
        <v>4.3730000000000002</v>
      </c>
      <c r="H1190" s="48">
        <v>0.18746159000000001</v>
      </c>
      <c r="I1190" s="48">
        <v>671.15673019999997</v>
      </c>
      <c r="J1190" s="52" t="e">
        <v>#DIV/0!</v>
      </c>
    </row>
    <row r="1191" spans="1:10" x14ac:dyDescent="0.2">
      <c r="A1191" s="87"/>
      <c r="B1191" s="56" t="s">
        <v>22</v>
      </c>
      <c r="C1191" s="90"/>
      <c r="D1191" s="57"/>
      <c r="E1191" s="57">
        <v>1.7370000000000001</v>
      </c>
      <c r="F1191" s="57">
        <v>3.121</v>
      </c>
      <c r="G1191" s="57">
        <v>4.2640000000000002</v>
      </c>
      <c r="H1191" s="57">
        <v>0.19032361</v>
      </c>
      <c r="I1191" s="57">
        <v>0</v>
      </c>
      <c r="J1191" s="49" t="e">
        <v>#DIV/0!</v>
      </c>
    </row>
    <row r="1192" spans="1:10" x14ac:dyDescent="0.2">
      <c r="A1192" s="91" t="s">
        <v>12</v>
      </c>
      <c r="B1192" s="53" t="s">
        <v>20</v>
      </c>
      <c r="C1192" s="92">
        <v>10</v>
      </c>
      <c r="D1192" s="48"/>
      <c r="E1192" s="48">
        <v>1.74</v>
      </c>
      <c r="F1192" s="48">
        <v>3.1720000000000002</v>
      </c>
      <c r="G1192" s="48">
        <v>4.3019999999999996</v>
      </c>
      <c r="H1192" s="48">
        <v>0.19230769</v>
      </c>
      <c r="I1192" s="48">
        <v>0</v>
      </c>
      <c r="J1192" s="52">
        <v>0</v>
      </c>
    </row>
    <row r="1193" spans="1:10" x14ac:dyDescent="0.2">
      <c r="A1193" s="85"/>
      <c r="B1193" s="53" t="s">
        <v>21</v>
      </c>
      <c r="C1193" s="89"/>
      <c r="D1193" s="48">
        <v>799</v>
      </c>
      <c r="E1193" s="48">
        <v>1.7310000000000001</v>
      </c>
      <c r="F1193" s="48">
        <v>3.3820000000000001</v>
      </c>
      <c r="G1193" s="48">
        <v>4.4409999999999998</v>
      </c>
      <c r="H1193" s="48">
        <v>0.19869898999999999</v>
      </c>
      <c r="I1193" s="48">
        <v>640.23950330000002</v>
      </c>
      <c r="J1193" s="52" t="e">
        <v>#DIV/0!</v>
      </c>
    </row>
    <row r="1194" spans="1:10" x14ac:dyDescent="0.2">
      <c r="A1194" s="87"/>
      <c r="B1194" s="56" t="s">
        <v>22</v>
      </c>
      <c r="C1194" s="90"/>
      <c r="D1194" s="57"/>
      <c r="E1194" s="57">
        <v>1.724</v>
      </c>
      <c r="F1194" s="57">
        <v>3.351</v>
      </c>
      <c r="G1194" s="57">
        <v>4.3719999999999999</v>
      </c>
      <c r="H1194" s="57">
        <v>0.20978811999999999</v>
      </c>
      <c r="I1194" s="57">
        <v>0</v>
      </c>
      <c r="J1194" s="49" t="e">
        <v>#DIV/0!</v>
      </c>
    </row>
    <row r="1195" spans="1:10" x14ac:dyDescent="0.2">
      <c r="A1195" s="91" t="s">
        <v>13</v>
      </c>
      <c r="B1195" s="53" t="s">
        <v>20</v>
      </c>
      <c r="C1195" s="92">
        <v>10</v>
      </c>
      <c r="D1195" s="48"/>
      <c r="E1195" s="48"/>
      <c r="F1195" s="48"/>
      <c r="G1195" s="48"/>
      <c r="H1195" s="48" t="e">
        <v>#DIV/0!</v>
      </c>
      <c r="I1195" s="48" t="e">
        <v>#DIV/0!</v>
      </c>
      <c r="J1195" s="52" t="e">
        <v>#DIV/0!</v>
      </c>
    </row>
    <row r="1196" spans="1:10" x14ac:dyDescent="0.2">
      <c r="A1196" s="85"/>
      <c r="B1196" s="53" t="s">
        <v>21</v>
      </c>
      <c r="C1196" s="89"/>
      <c r="D1196" s="48"/>
      <c r="E1196" s="48"/>
      <c r="F1196" s="48"/>
      <c r="G1196" s="48"/>
      <c r="H1196" s="48" t="e">
        <v>#DIV/0!</v>
      </c>
      <c r="I1196" s="48" t="e">
        <v>#DIV/0!</v>
      </c>
      <c r="J1196" s="52" t="e">
        <v>#DIV/0!</v>
      </c>
    </row>
    <row r="1197" spans="1:10" x14ac:dyDescent="0.2">
      <c r="A1197" s="87"/>
      <c r="B1197" s="56" t="s">
        <v>22</v>
      </c>
      <c r="C1197" s="90"/>
      <c r="D1197" s="57"/>
      <c r="E1197" s="57"/>
      <c r="F1197" s="57"/>
      <c r="G1197" s="57"/>
      <c r="H1197" s="57" t="e">
        <v>#DIV/0!</v>
      </c>
      <c r="I1197" s="57" t="e">
        <v>#DIV/0!</v>
      </c>
      <c r="J1197" s="49" t="e">
        <v>#DIV/0!</v>
      </c>
    </row>
    <row r="1198" spans="1:10" x14ac:dyDescent="0.2">
      <c r="A1198" s="91" t="s">
        <v>14</v>
      </c>
      <c r="B1198" s="53" t="s">
        <v>20</v>
      </c>
      <c r="C1198" s="92">
        <v>10</v>
      </c>
      <c r="D1198" s="48"/>
      <c r="E1198" s="48"/>
      <c r="F1198" s="48"/>
      <c r="G1198" s="48"/>
      <c r="H1198" s="48" t="e">
        <v>#DIV/0!</v>
      </c>
      <c r="I1198" s="48" t="e">
        <v>#DIV/0!</v>
      </c>
      <c r="J1198" s="52" t="e">
        <v>#DIV/0!</v>
      </c>
    </row>
    <row r="1199" spans="1:10" x14ac:dyDescent="0.2">
      <c r="A1199" s="85"/>
      <c r="B1199" s="53" t="s">
        <v>21</v>
      </c>
      <c r="C1199" s="89"/>
      <c r="D1199" s="48"/>
      <c r="E1199" s="48"/>
      <c r="F1199" s="48"/>
      <c r="G1199" s="48"/>
      <c r="H1199" s="48" t="e">
        <v>#DIV/0!</v>
      </c>
      <c r="I1199" s="48" t="e">
        <v>#DIV/0!</v>
      </c>
      <c r="J1199" s="52" t="e">
        <v>#DIV/0!</v>
      </c>
    </row>
    <row r="1200" spans="1:10" ht="16" thickBot="1" x14ac:dyDescent="0.25">
      <c r="A1200" s="93"/>
      <c r="B1200" s="58" t="s">
        <v>22</v>
      </c>
      <c r="C1200" s="94"/>
      <c r="D1200" s="59"/>
      <c r="E1200" s="59"/>
      <c r="F1200" s="59"/>
      <c r="G1200" s="59"/>
      <c r="H1200" s="59" t="e">
        <v>#DIV/0!</v>
      </c>
      <c r="I1200" s="59" t="e">
        <v>#DIV/0!</v>
      </c>
      <c r="J1200" s="50" t="e">
        <v>#DIV/0!</v>
      </c>
    </row>
    <row r="1201" spans="1:10" ht="16" thickBot="1" x14ac:dyDescent="0.25">
      <c r="A1201" s="60" t="s">
        <v>1</v>
      </c>
      <c r="B1201" s="61"/>
      <c r="C1201" s="62"/>
      <c r="D1201" s="63" t="s">
        <v>48</v>
      </c>
      <c r="E1201" s="64"/>
      <c r="F1201" s="58" t="s">
        <v>0</v>
      </c>
      <c r="G1201" s="18">
        <v>44156</v>
      </c>
      <c r="H1201" s="65" t="s">
        <v>24</v>
      </c>
      <c r="I1201" s="66"/>
      <c r="J1201" s="49">
        <v>110</v>
      </c>
    </row>
    <row r="1202" spans="1:10" ht="16" thickBot="1" x14ac:dyDescent="0.25">
      <c r="A1202" s="67" t="s">
        <v>2</v>
      </c>
      <c r="B1202" s="68"/>
      <c r="C1202" s="69"/>
      <c r="D1202" s="70"/>
      <c r="E1202" s="71"/>
      <c r="F1202" s="72"/>
      <c r="G1202" s="73"/>
      <c r="H1202" s="74" t="s">
        <v>25</v>
      </c>
      <c r="I1202" s="75"/>
      <c r="J1202" s="49">
        <v>30</v>
      </c>
    </row>
    <row r="1203" spans="1:10" ht="16" thickBot="1" x14ac:dyDescent="0.25">
      <c r="A1203" s="76" t="s">
        <v>27</v>
      </c>
      <c r="B1203" s="77"/>
      <c r="C1203" s="78"/>
      <c r="D1203" s="79" t="s">
        <v>33</v>
      </c>
      <c r="E1203" s="80"/>
      <c r="F1203" s="48" t="s">
        <v>30</v>
      </c>
      <c r="G1203" s="48">
        <v>3.81</v>
      </c>
      <c r="H1203" s="81" t="s">
        <v>26</v>
      </c>
      <c r="I1203" s="82"/>
      <c r="J1203" s="50">
        <v>60</v>
      </c>
    </row>
    <row r="1204" spans="1:10" x14ac:dyDescent="0.2">
      <c r="A1204" s="83"/>
      <c r="B1204" s="84"/>
      <c r="C1204" s="51" t="s">
        <v>29</v>
      </c>
      <c r="D1204" s="51" t="s">
        <v>19</v>
      </c>
      <c r="E1204" s="51" t="s">
        <v>15</v>
      </c>
      <c r="F1204" s="51" t="s">
        <v>18</v>
      </c>
      <c r="G1204" s="51" t="s">
        <v>17</v>
      </c>
      <c r="H1204" s="48" t="s">
        <v>28</v>
      </c>
      <c r="I1204" s="48" t="s">
        <v>16</v>
      </c>
      <c r="J1204" s="52" t="s">
        <v>23</v>
      </c>
    </row>
    <row r="1205" spans="1:10" x14ac:dyDescent="0.2">
      <c r="A1205" s="86" t="s">
        <v>3</v>
      </c>
      <c r="B1205" s="53" t="s">
        <v>20</v>
      </c>
      <c r="C1205" s="88">
        <v>10</v>
      </c>
      <c r="D1205" s="54"/>
      <c r="E1205" s="54">
        <v>1.726</v>
      </c>
      <c r="F1205" s="54">
        <v>3.0569999999999999</v>
      </c>
      <c r="G1205" s="54">
        <v>4.2750000000000004</v>
      </c>
      <c r="H1205" s="54">
        <v>0.16617599</v>
      </c>
      <c r="I1205" s="54">
        <v>0</v>
      </c>
      <c r="J1205" s="55">
        <v>0</v>
      </c>
    </row>
    <row r="1206" spans="1:10" x14ac:dyDescent="0.2">
      <c r="A1206" s="85"/>
      <c r="B1206" s="53" t="s">
        <v>21</v>
      </c>
      <c r="C1206" s="89"/>
      <c r="D1206" s="48">
        <v>752</v>
      </c>
      <c r="E1206" s="48">
        <v>1.7290000000000001</v>
      </c>
      <c r="F1206" s="48">
        <v>3.3319999999999999</v>
      </c>
      <c r="G1206" s="48">
        <v>4.4790000000000001</v>
      </c>
      <c r="H1206" s="48">
        <v>0.17466987</v>
      </c>
      <c r="I1206" s="48">
        <v>620.64825929999995</v>
      </c>
      <c r="J1206" s="52" t="e">
        <v>#DIV/0!</v>
      </c>
    </row>
    <row r="1207" spans="1:10" x14ac:dyDescent="0.2">
      <c r="A1207" s="87"/>
      <c r="B1207" s="56" t="s">
        <v>22</v>
      </c>
      <c r="C1207" s="90"/>
      <c r="D1207" s="57"/>
      <c r="E1207" s="57">
        <v>1.73</v>
      </c>
      <c r="F1207" s="57">
        <v>3.7829999999999999</v>
      </c>
      <c r="G1207" s="57">
        <v>4.6219999999999999</v>
      </c>
      <c r="H1207" s="57">
        <v>0.23552735999999999</v>
      </c>
      <c r="I1207" s="57">
        <v>0</v>
      </c>
      <c r="J1207" s="49" t="e">
        <v>#DIV/0!</v>
      </c>
    </row>
    <row r="1208" spans="1:10" x14ac:dyDescent="0.2">
      <c r="A1208" s="91" t="s">
        <v>4</v>
      </c>
      <c r="B1208" s="53" t="s">
        <v>20</v>
      </c>
      <c r="C1208" s="92">
        <v>10</v>
      </c>
      <c r="D1208" s="48"/>
      <c r="E1208" s="48">
        <v>1.726</v>
      </c>
      <c r="F1208" s="48">
        <v>3.786</v>
      </c>
      <c r="G1208" s="48">
        <v>4.8440000000000003</v>
      </c>
      <c r="H1208" s="48">
        <v>0.17643950999999999</v>
      </c>
      <c r="I1208" s="48">
        <v>0</v>
      </c>
      <c r="J1208" s="52">
        <v>0</v>
      </c>
    </row>
    <row r="1209" spans="1:10" x14ac:dyDescent="0.2">
      <c r="A1209" s="85"/>
      <c r="B1209" s="53" t="s">
        <v>21</v>
      </c>
      <c r="C1209" s="89"/>
      <c r="D1209" s="48">
        <v>747</v>
      </c>
      <c r="E1209" s="48">
        <v>1.738</v>
      </c>
      <c r="F1209" s="48">
        <v>3.0750000000000002</v>
      </c>
      <c r="G1209" s="48">
        <v>4.2759999999999998</v>
      </c>
      <c r="H1209" s="48">
        <v>0.17463414999999999</v>
      </c>
      <c r="I1209" s="48">
        <v>616.54829270000005</v>
      </c>
      <c r="J1209" s="52" t="e">
        <v>#DIV/0!</v>
      </c>
    </row>
    <row r="1210" spans="1:10" x14ac:dyDescent="0.2">
      <c r="A1210" s="87"/>
      <c r="B1210" s="56" t="s">
        <v>22</v>
      </c>
      <c r="C1210" s="90"/>
      <c r="D1210" s="57"/>
      <c r="E1210" s="57">
        <v>1.7330000000000001</v>
      </c>
      <c r="F1210" s="57">
        <v>3.0910000000000002</v>
      </c>
      <c r="G1210" s="57">
        <v>4.3010000000000002</v>
      </c>
      <c r="H1210" s="57">
        <v>0.16920091000000001</v>
      </c>
      <c r="I1210" s="57">
        <v>0</v>
      </c>
      <c r="J1210" s="49" t="e">
        <v>#DIV/0!</v>
      </c>
    </row>
    <row r="1211" spans="1:10" x14ac:dyDescent="0.2">
      <c r="A1211" s="91" t="s">
        <v>5</v>
      </c>
      <c r="B1211" s="53" t="s">
        <v>20</v>
      </c>
      <c r="C1211" s="92">
        <v>10</v>
      </c>
      <c r="D1211" s="48"/>
      <c r="E1211" s="48">
        <v>1.7210000000000001</v>
      </c>
      <c r="F1211" s="48">
        <v>3.14</v>
      </c>
      <c r="G1211" s="48">
        <v>4.3719999999999999</v>
      </c>
      <c r="H1211" s="48">
        <v>0.15573248000000001</v>
      </c>
      <c r="I1211" s="48">
        <v>0</v>
      </c>
      <c r="J1211" s="52">
        <v>0</v>
      </c>
    </row>
    <row r="1212" spans="1:10" x14ac:dyDescent="0.2">
      <c r="A1212" s="85"/>
      <c r="B1212" s="53" t="s">
        <v>21</v>
      </c>
      <c r="C1212" s="89"/>
      <c r="D1212" s="48">
        <v>832</v>
      </c>
      <c r="E1212" s="48">
        <v>1.712</v>
      </c>
      <c r="F1212" s="48">
        <v>3.5409999999999999</v>
      </c>
      <c r="G1212" s="48">
        <v>4.6669999999999998</v>
      </c>
      <c r="H1212" s="48">
        <v>0.16548996999999999</v>
      </c>
      <c r="I1212" s="48">
        <v>694.31234110000003</v>
      </c>
      <c r="J1212" s="52" t="e">
        <v>#DIV/0!</v>
      </c>
    </row>
    <row r="1213" spans="1:10" x14ac:dyDescent="0.2">
      <c r="A1213" s="87"/>
      <c r="B1213" s="56" t="s">
        <v>22</v>
      </c>
      <c r="C1213" s="90"/>
      <c r="D1213" s="57"/>
      <c r="E1213" s="57">
        <v>1.7170000000000001</v>
      </c>
      <c r="F1213" s="57">
        <v>3.1059999999999999</v>
      </c>
      <c r="G1213" s="57">
        <v>4.3019999999999996</v>
      </c>
      <c r="H1213" s="57">
        <v>0.16773985999999999</v>
      </c>
      <c r="I1213" s="57">
        <v>0</v>
      </c>
      <c r="J1213" s="49" t="e">
        <v>#DIV/0!</v>
      </c>
    </row>
    <row r="1214" spans="1:10" x14ac:dyDescent="0.2">
      <c r="A1214" s="91" t="s">
        <v>6</v>
      </c>
      <c r="B1214" s="53" t="s">
        <v>20</v>
      </c>
      <c r="C1214" s="92">
        <v>10</v>
      </c>
      <c r="D1214" s="48"/>
      <c r="E1214" s="48">
        <v>1.7290000000000001</v>
      </c>
      <c r="F1214" s="48">
        <v>3.101</v>
      </c>
      <c r="G1214" s="48">
        <v>4.2030000000000003</v>
      </c>
      <c r="H1214" s="48">
        <v>0.20219284000000001</v>
      </c>
      <c r="I1214" s="48">
        <v>0</v>
      </c>
      <c r="J1214" s="52">
        <v>0</v>
      </c>
    </row>
    <row r="1215" spans="1:10" x14ac:dyDescent="0.2">
      <c r="A1215" s="85"/>
      <c r="B1215" s="53" t="s">
        <v>21</v>
      </c>
      <c r="C1215" s="89"/>
      <c r="D1215" s="48">
        <v>759</v>
      </c>
      <c r="E1215" s="48">
        <v>1.74</v>
      </c>
      <c r="F1215" s="48">
        <v>3.2679999999999998</v>
      </c>
      <c r="G1215" s="48">
        <v>4.444</v>
      </c>
      <c r="H1215" s="48">
        <v>0.17258261999999999</v>
      </c>
      <c r="I1215" s="48">
        <v>628.00979189999998</v>
      </c>
      <c r="J1215" s="52" t="e">
        <v>#DIV/0!</v>
      </c>
    </row>
    <row r="1216" spans="1:10" x14ac:dyDescent="0.2">
      <c r="A1216" s="87"/>
      <c r="B1216" s="56" t="s">
        <v>22</v>
      </c>
      <c r="C1216" s="90"/>
      <c r="D1216" s="57"/>
      <c r="E1216" s="57">
        <v>1.7170000000000001</v>
      </c>
      <c r="F1216" s="57">
        <v>3.2549999999999999</v>
      </c>
      <c r="G1216" s="57">
        <v>4.399</v>
      </c>
      <c r="H1216" s="57">
        <v>0.17603687000000001</v>
      </c>
      <c r="I1216" s="57">
        <v>0</v>
      </c>
      <c r="J1216" s="49" t="e">
        <v>#DIV/0!</v>
      </c>
    </row>
    <row r="1217" spans="1:10" x14ac:dyDescent="0.2">
      <c r="A1217" s="91" t="s">
        <v>7</v>
      </c>
      <c r="B1217" s="53" t="s">
        <v>20</v>
      </c>
      <c r="C1217" s="92">
        <v>10</v>
      </c>
      <c r="D1217" s="48"/>
      <c r="E1217" s="48">
        <v>1.7090000000000001</v>
      </c>
      <c r="F1217" s="48">
        <v>3.0550000000000002</v>
      </c>
      <c r="G1217" s="48">
        <v>4.242</v>
      </c>
      <c r="H1217" s="48">
        <v>0.17086742999999999</v>
      </c>
      <c r="I1217" s="48">
        <v>0</v>
      </c>
      <c r="J1217" s="52">
        <v>0</v>
      </c>
    </row>
    <row r="1218" spans="1:10" x14ac:dyDescent="0.2">
      <c r="A1218" s="85"/>
      <c r="B1218" s="53" t="s">
        <v>21</v>
      </c>
      <c r="C1218" s="89"/>
      <c r="D1218" s="48">
        <v>898</v>
      </c>
      <c r="E1218" s="48">
        <v>1.7250000000000001</v>
      </c>
      <c r="F1218" s="48">
        <v>3.6190000000000002</v>
      </c>
      <c r="G1218" s="48">
        <v>4.7249999999999996</v>
      </c>
      <c r="H1218" s="48">
        <v>0.17104172000000001</v>
      </c>
      <c r="I1218" s="48">
        <v>744.40453160000004</v>
      </c>
      <c r="J1218" s="52" t="e">
        <v>#DIV/0!</v>
      </c>
    </row>
    <row r="1219" spans="1:10" x14ac:dyDescent="0.2">
      <c r="A1219" s="87"/>
      <c r="B1219" s="56" t="s">
        <v>22</v>
      </c>
      <c r="C1219" s="90"/>
      <c r="D1219" s="57"/>
      <c r="E1219" s="57">
        <v>1.7150000000000001</v>
      </c>
      <c r="F1219" s="57">
        <v>3.32</v>
      </c>
      <c r="G1219" s="57">
        <v>4.4649999999999999</v>
      </c>
      <c r="H1219" s="57">
        <v>0.17168675</v>
      </c>
      <c r="I1219" s="57">
        <v>0</v>
      </c>
      <c r="J1219" s="49" t="e">
        <v>#DIV/0!</v>
      </c>
    </row>
    <row r="1220" spans="1:10" x14ac:dyDescent="0.2">
      <c r="A1220" s="91" t="s">
        <v>8</v>
      </c>
      <c r="B1220" s="53" t="s">
        <v>20</v>
      </c>
      <c r="C1220" s="92">
        <v>10</v>
      </c>
      <c r="D1220" s="48"/>
      <c r="E1220" s="48">
        <v>1.722</v>
      </c>
      <c r="F1220" s="48">
        <v>3.181</v>
      </c>
      <c r="G1220" s="48">
        <v>4.3360000000000003</v>
      </c>
      <c r="H1220" s="48">
        <v>0.17824582999999999</v>
      </c>
      <c r="I1220" s="48">
        <v>0</v>
      </c>
      <c r="J1220" s="52">
        <v>0</v>
      </c>
    </row>
    <row r="1221" spans="1:10" x14ac:dyDescent="0.2">
      <c r="A1221" s="85"/>
      <c r="B1221" s="53" t="s">
        <v>21</v>
      </c>
      <c r="C1221" s="89"/>
      <c r="D1221" s="48">
        <v>850</v>
      </c>
      <c r="E1221" s="48">
        <v>1.7290000000000001</v>
      </c>
      <c r="F1221" s="48">
        <v>3.202</v>
      </c>
      <c r="G1221" s="48">
        <v>4.1500000000000004</v>
      </c>
      <c r="H1221" s="48">
        <v>0.24391006000000001</v>
      </c>
      <c r="I1221" s="48">
        <v>642.67645219999997</v>
      </c>
      <c r="J1221" s="52" t="e">
        <v>#DIV/0!</v>
      </c>
    </row>
    <row r="1222" spans="1:10" x14ac:dyDescent="0.2">
      <c r="A1222" s="87"/>
      <c r="B1222" s="56" t="s">
        <v>22</v>
      </c>
      <c r="C1222" s="90"/>
      <c r="D1222" s="57"/>
      <c r="E1222" s="57">
        <v>1.7290000000000001</v>
      </c>
      <c r="F1222" s="57">
        <v>3.09</v>
      </c>
      <c r="G1222" s="57">
        <v>4.2060000000000004</v>
      </c>
      <c r="H1222" s="57">
        <v>0.19838188000000001</v>
      </c>
      <c r="I1222" s="57">
        <v>0</v>
      </c>
      <c r="J1222" s="49" t="e">
        <v>#DIV/0!</v>
      </c>
    </row>
    <row r="1223" spans="1:10" x14ac:dyDescent="0.2">
      <c r="A1223" s="91" t="s">
        <v>9</v>
      </c>
      <c r="B1223" s="53" t="s">
        <v>20</v>
      </c>
      <c r="C1223" s="92">
        <v>10</v>
      </c>
      <c r="D1223" s="48"/>
      <c r="E1223" s="48">
        <v>1.7250000000000001</v>
      </c>
      <c r="F1223" s="48">
        <v>3.258</v>
      </c>
      <c r="G1223" s="48">
        <v>4.4329999999999998</v>
      </c>
      <c r="H1223" s="48">
        <v>0.16881521999999999</v>
      </c>
      <c r="I1223" s="48">
        <v>0</v>
      </c>
      <c r="J1223" s="52">
        <v>0</v>
      </c>
    </row>
    <row r="1224" spans="1:10" x14ac:dyDescent="0.2">
      <c r="A1224" s="85"/>
      <c r="B1224" s="53" t="s">
        <v>21</v>
      </c>
      <c r="C1224" s="89"/>
      <c r="D1224" s="48">
        <v>875</v>
      </c>
      <c r="E1224" s="48">
        <v>1.73</v>
      </c>
      <c r="F1224" s="48">
        <v>3.1240000000000001</v>
      </c>
      <c r="G1224" s="48">
        <v>4.3239999999999998</v>
      </c>
      <c r="H1224" s="48">
        <v>0.16965429000000001</v>
      </c>
      <c r="I1224" s="48">
        <v>726.55249679999997</v>
      </c>
      <c r="J1224" s="52" t="e">
        <v>#DIV/0!</v>
      </c>
    </row>
    <row r="1225" spans="1:10" x14ac:dyDescent="0.2">
      <c r="A1225" s="87"/>
      <c r="B1225" s="56" t="s">
        <v>22</v>
      </c>
      <c r="C1225" s="90"/>
      <c r="D1225" s="57"/>
      <c r="E1225" s="57">
        <v>1.7270000000000001</v>
      </c>
      <c r="F1225" s="57">
        <v>3.0830000000000002</v>
      </c>
      <c r="G1225" s="57">
        <v>4.2640000000000002</v>
      </c>
      <c r="H1225" s="57">
        <v>0.17710023</v>
      </c>
      <c r="I1225" s="57">
        <v>0</v>
      </c>
      <c r="J1225" s="49" t="e">
        <v>#DIV/0!</v>
      </c>
    </row>
    <row r="1226" spans="1:10" x14ac:dyDescent="0.2">
      <c r="A1226" s="91" t="s">
        <v>10</v>
      </c>
      <c r="B1226" s="53" t="s">
        <v>20</v>
      </c>
      <c r="C1226" s="92">
        <v>10</v>
      </c>
      <c r="D1226" s="48"/>
      <c r="E1226" s="48">
        <v>1.724</v>
      </c>
      <c r="F1226" s="48">
        <v>3.1190000000000002</v>
      </c>
      <c r="G1226" s="48">
        <v>4.3079999999999998</v>
      </c>
      <c r="H1226" s="48">
        <v>0.17152934</v>
      </c>
      <c r="I1226" s="48">
        <v>0</v>
      </c>
      <c r="J1226" s="52">
        <v>0</v>
      </c>
    </row>
    <row r="1227" spans="1:10" x14ac:dyDescent="0.2">
      <c r="A1227" s="85"/>
      <c r="B1227" s="53" t="s">
        <v>21</v>
      </c>
      <c r="C1227" s="89"/>
      <c r="D1227" s="48">
        <v>858</v>
      </c>
      <c r="E1227" s="48">
        <v>1.7170000000000001</v>
      </c>
      <c r="F1227" s="48">
        <v>3.073</v>
      </c>
      <c r="G1227" s="48">
        <v>4.2629999999999999</v>
      </c>
      <c r="H1227" s="48">
        <v>0.17149365</v>
      </c>
      <c r="I1227" s="48">
        <v>710.85844450000002</v>
      </c>
      <c r="J1227" s="52" t="e">
        <v>#DIV/0!</v>
      </c>
    </row>
    <row r="1228" spans="1:10" x14ac:dyDescent="0.2">
      <c r="A1228" s="87"/>
      <c r="B1228" s="56" t="s">
        <v>22</v>
      </c>
      <c r="C1228" s="90"/>
      <c r="D1228" s="57"/>
      <c r="E1228" s="57">
        <v>1.732</v>
      </c>
      <c r="F1228" s="57">
        <v>3.2120000000000002</v>
      </c>
      <c r="G1228" s="57">
        <v>4.3890000000000002</v>
      </c>
      <c r="H1228" s="57">
        <v>0.17278953999999999</v>
      </c>
      <c r="I1228" s="57">
        <v>0</v>
      </c>
      <c r="J1228" s="49" t="e">
        <v>#DIV/0!</v>
      </c>
    </row>
    <row r="1229" spans="1:10" x14ac:dyDescent="0.2">
      <c r="A1229" s="91" t="s">
        <v>11</v>
      </c>
      <c r="B1229" s="53" t="s">
        <v>20</v>
      </c>
      <c r="C1229" s="92">
        <v>10</v>
      </c>
      <c r="D1229" s="48"/>
      <c r="E1229" s="48">
        <v>1.72</v>
      </c>
      <c r="F1229" s="48">
        <v>3.1</v>
      </c>
      <c r="G1229" s="48">
        <v>4.2759999999999998</v>
      </c>
      <c r="H1229" s="48">
        <v>0.17548386999999999</v>
      </c>
      <c r="I1229" s="48">
        <v>0</v>
      </c>
      <c r="J1229" s="52">
        <v>0</v>
      </c>
    </row>
    <row r="1230" spans="1:10" x14ac:dyDescent="0.2">
      <c r="A1230" s="85"/>
      <c r="B1230" s="53" t="s">
        <v>21</v>
      </c>
      <c r="C1230" s="89"/>
      <c r="D1230" s="48">
        <v>764</v>
      </c>
      <c r="E1230" s="48">
        <v>1.7270000000000001</v>
      </c>
      <c r="F1230" s="48">
        <v>3.2480000000000002</v>
      </c>
      <c r="G1230" s="48">
        <v>4.3840000000000003</v>
      </c>
      <c r="H1230" s="48">
        <v>0.18195813</v>
      </c>
      <c r="I1230" s="48">
        <v>624.98399010000003</v>
      </c>
      <c r="J1230" s="52" t="e">
        <v>#DIV/0!</v>
      </c>
    </row>
    <row r="1231" spans="1:10" x14ac:dyDescent="0.2">
      <c r="A1231" s="87"/>
      <c r="B1231" s="56" t="s">
        <v>22</v>
      </c>
      <c r="C1231" s="90"/>
      <c r="D1231" s="57"/>
      <c r="E1231" s="57">
        <v>1.7110000000000001</v>
      </c>
      <c r="F1231" s="57">
        <v>3.294</v>
      </c>
      <c r="G1231" s="57">
        <v>4.4359999999999999</v>
      </c>
      <c r="H1231" s="57">
        <v>0.17273831000000001</v>
      </c>
      <c r="I1231" s="57">
        <v>0</v>
      </c>
      <c r="J1231" s="49" t="e">
        <v>#DIV/0!</v>
      </c>
    </row>
    <row r="1232" spans="1:10" x14ac:dyDescent="0.2">
      <c r="A1232" s="91" t="s">
        <v>12</v>
      </c>
      <c r="B1232" s="53" t="s">
        <v>20</v>
      </c>
      <c r="C1232" s="92">
        <v>10</v>
      </c>
      <c r="D1232" s="48"/>
      <c r="E1232" s="48">
        <v>1.728</v>
      </c>
      <c r="F1232" s="48">
        <v>3.0859999999999999</v>
      </c>
      <c r="G1232" s="48">
        <v>4.2089999999999996</v>
      </c>
      <c r="H1232" s="48">
        <v>0.19604666000000001</v>
      </c>
      <c r="I1232" s="48">
        <v>0</v>
      </c>
      <c r="J1232" s="52">
        <v>0</v>
      </c>
    </row>
    <row r="1233" spans="1:10" x14ac:dyDescent="0.2">
      <c r="A1233" s="85"/>
      <c r="B1233" s="53" t="s">
        <v>21</v>
      </c>
      <c r="C1233" s="89"/>
      <c r="D1233" s="48">
        <v>597</v>
      </c>
      <c r="E1233" s="48">
        <v>1.738</v>
      </c>
      <c r="F1233" s="48">
        <v>3.3170000000000002</v>
      </c>
      <c r="G1233" s="48">
        <v>4.3570000000000002</v>
      </c>
      <c r="H1233" s="48">
        <v>0.21043111</v>
      </c>
      <c r="I1233" s="48">
        <v>471.3726259</v>
      </c>
      <c r="J1233" s="52" t="e">
        <v>#DIV/0!</v>
      </c>
    </row>
    <row r="1234" spans="1:10" x14ac:dyDescent="0.2">
      <c r="A1234" s="87"/>
      <c r="B1234" s="56" t="s">
        <v>22</v>
      </c>
      <c r="C1234" s="90"/>
      <c r="D1234" s="57"/>
      <c r="E1234" s="57">
        <v>1.7290000000000001</v>
      </c>
      <c r="F1234" s="57">
        <v>3.262</v>
      </c>
      <c r="G1234" s="57">
        <v>4.3570000000000002</v>
      </c>
      <c r="H1234" s="57">
        <v>0.19435928999999999</v>
      </c>
      <c r="I1234" s="57">
        <v>0</v>
      </c>
      <c r="J1234" s="49" t="e">
        <v>#DIV/0!</v>
      </c>
    </row>
    <row r="1235" spans="1:10" x14ac:dyDescent="0.2">
      <c r="A1235" s="91" t="s">
        <v>13</v>
      </c>
      <c r="B1235" s="53" t="s">
        <v>20</v>
      </c>
      <c r="C1235" s="92">
        <v>10</v>
      </c>
      <c r="D1235" s="48"/>
      <c r="E1235" s="48">
        <v>1.7270000000000001</v>
      </c>
      <c r="F1235" s="48">
        <v>3.302</v>
      </c>
      <c r="G1235" s="48">
        <v>4.4400000000000004</v>
      </c>
      <c r="H1235" s="48">
        <v>0.17837674000000001</v>
      </c>
      <c r="I1235" s="48">
        <v>0</v>
      </c>
      <c r="J1235" s="52">
        <v>0</v>
      </c>
    </row>
    <row r="1236" spans="1:10" x14ac:dyDescent="0.2">
      <c r="A1236" s="85"/>
      <c r="B1236" s="53" t="s">
        <v>21</v>
      </c>
      <c r="C1236" s="89"/>
      <c r="D1236" s="48">
        <v>935</v>
      </c>
      <c r="E1236" s="48">
        <v>1.736</v>
      </c>
      <c r="F1236" s="48">
        <v>3.2130000000000001</v>
      </c>
      <c r="G1236" s="48">
        <v>4.351</v>
      </c>
      <c r="H1236" s="48">
        <v>0.18611889000000001</v>
      </c>
      <c r="I1236" s="48">
        <v>760.978836</v>
      </c>
      <c r="J1236" s="52" t="e">
        <v>#DIV/0!</v>
      </c>
    </row>
    <row r="1237" spans="1:10" x14ac:dyDescent="0.2">
      <c r="A1237" s="87"/>
      <c r="B1237" s="56" t="s">
        <v>22</v>
      </c>
      <c r="C1237" s="90"/>
      <c r="D1237" s="57"/>
      <c r="E1237" s="57">
        <v>1.7290000000000001</v>
      </c>
      <c r="F1237" s="57">
        <v>3.0779999999999998</v>
      </c>
      <c r="G1237" s="57">
        <v>4.2629999999999999</v>
      </c>
      <c r="H1237" s="57">
        <v>0.17673813999999999</v>
      </c>
      <c r="I1237" s="57">
        <v>0</v>
      </c>
      <c r="J1237" s="49" t="e">
        <v>#DIV/0!</v>
      </c>
    </row>
    <row r="1238" spans="1:10" x14ac:dyDescent="0.2">
      <c r="A1238" s="91" t="s">
        <v>14</v>
      </c>
      <c r="B1238" s="53" t="s">
        <v>20</v>
      </c>
      <c r="C1238" s="92">
        <v>10</v>
      </c>
      <c r="D1238" s="48"/>
      <c r="E1238" s="48"/>
      <c r="F1238" s="48"/>
      <c r="G1238" s="48"/>
      <c r="H1238" s="48" t="e">
        <v>#DIV/0!</v>
      </c>
      <c r="I1238" s="48" t="e">
        <v>#DIV/0!</v>
      </c>
      <c r="J1238" s="52" t="e">
        <v>#DIV/0!</v>
      </c>
    </row>
    <row r="1239" spans="1:10" x14ac:dyDescent="0.2">
      <c r="A1239" s="85"/>
      <c r="B1239" s="53" t="s">
        <v>21</v>
      </c>
      <c r="C1239" s="89"/>
      <c r="D1239" s="48"/>
      <c r="E1239" s="48"/>
      <c r="F1239" s="48"/>
      <c r="G1239" s="48"/>
      <c r="H1239" s="48" t="e">
        <v>#DIV/0!</v>
      </c>
      <c r="I1239" s="48" t="e">
        <v>#DIV/0!</v>
      </c>
      <c r="J1239" s="52" t="e">
        <v>#DIV/0!</v>
      </c>
    </row>
    <row r="1240" spans="1:10" ht="16" thickBot="1" x14ac:dyDescent="0.25">
      <c r="A1240" s="93"/>
      <c r="B1240" s="58" t="s">
        <v>22</v>
      </c>
      <c r="C1240" s="94"/>
      <c r="D1240" s="59"/>
      <c r="E1240" s="59"/>
      <c r="F1240" s="59"/>
      <c r="G1240" s="59"/>
      <c r="H1240" s="59" t="e">
        <v>#DIV/0!</v>
      </c>
      <c r="I1240" s="59" t="e">
        <v>#DIV/0!</v>
      </c>
      <c r="J1240" s="50" t="e">
        <v>#DIV/0!</v>
      </c>
    </row>
    <row r="1241" spans="1:10" ht="16" thickBot="1" x14ac:dyDescent="0.25">
      <c r="A1241" s="60" t="s">
        <v>1</v>
      </c>
      <c r="B1241" s="61"/>
      <c r="C1241" s="62"/>
      <c r="D1241" s="63" t="s">
        <v>49</v>
      </c>
      <c r="E1241" s="64"/>
      <c r="F1241" s="58" t="s">
        <v>0</v>
      </c>
      <c r="G1241" s="18">
        <v>44156</v>
      </c>
      <c r="H1241" s="65" t="s">
        <v>24</v>
      </c>
      <c r="I1241" s="66"/>
      <c r="J1241" s="49">
        <v>120</v>
      </c>
    </row>
    <row r="1242" spans="1:10" ht="16" thickBot="1" x14ac:dyDescent="0.25">
      <c r="A1242" s="67" t="s">
        <v>2</v>
      </c>
      <c r="B1242" s="68"/>
      <c r="C1242" s="69"/>
      <c r="D1242" s="70"/>
      <c r="E1242" s="71"/>
      <c r="F1242" s="72"/>
      <c r="G1242" s="73"/>
      <c r="H1242" s="74" t="s">
        <v>25</v>
      </c>
      <c r="I1242" s="75"/>
      <c r="J1242" s="49">
        <v>25</v>
      </c>
    </row>
    <row r="1243" spans="1:10" ht="16" thickBot="1" x14ac:dyDescent="0.25">
      <c r="A1243" s="76" t="s">
        <v>27</v>
      </c>
      <c r="B1243" s="77"/>
      <c r="C1243" s="78"/>
      <c r="D1243" s="79" t="s">
        <v>36</v>
      </c>
      <c r="E1243" s="80"/>
      <c r="F1243" s="48" t="s">
        <v>30</v>
      </c>
      <c r="G1243" s="48">
        <v>3.81</v>
      </c>
      <c r="H1243" s="81" t="s">
        <v>26</v>
      </c>
      <c r="I1243" s="82"/>
      <c r="J1243" s="50">
        <v>56</v>
      </c>
    </row>
    <row r="1244" spans="1:10" x14ac:dyDescent="0.2">
      <c r="A1244" s="83"/>
      <c r="B1244" s="84"/>
      <c r="C1244" s="51" t="s">
        <v>29</v>
      </c>
      <c r="D1244" s="51" t="s">
        <v>19</v>
      </c>
      <c r="E1244" s="51" t="s">
        <v>15</v>
      </c>
      <c r="F1244" s="51" t="s">
        <v>18</v>
      </c>
      <c r="G1244" s="51" t="s">
        <v>17</v>
      </c>
      <c r="H1244" s="48" t="s">
        <v>28</v>
      </c>
      <c r="I1244" s="48" t="s">
        <v>16</v>
      </c>
      <c r="J1244" s="52" t="s">
        <v>23</v>
      </c>
    </row>
    <row r="1245" spans="1:10" x14ac:dyDescent="0.2">
      <c r="A1245" s="86" t="s">
        <v>3</v>
      </c>
      <c r="B1245" s="53" t="s">
        <v>20</v>
      </c>
      <c r="C1245" s="88">
        <v>10</v>
      </c>
      <c r="D1245" s="54"/>
      <c r="E1245" s="54">
        <v>2.4409999999999998</v>
      </c>
      <c r="F1245" s="54">
        <v>3.496</v>
      </c>
      <c r="G1245" s="54">
        <v>5.2939999999999996</v>
      </c>
      <c r="H1245" s="54">
        <v>0.18392449</v>
      </c>
      <c r="I1245" s="54">
        <v>0</v>
      </c>
      <c r="J1245" s="55">
        <v>0</v>
      </c>
    </row>
    <row r="1246" spans="1:10" x14ac:dyDescent="0.2">
      <c r="A1246" s="85"/>
      <c r="B1246" s="53" t="s">
        <v>21</v>
      </c>
      <c r="C1246" s="89"/>
      <c r="D1246" s="48">
        <v>805</v>
      </c>
      <c r="E1246" s="48">
        <v>2.4380000000000002</v>
      </c>
      <c r="F1246" s="48">
        <v>3.6230000000000002</v>
      </c>
      <c r="G1246" s="48">
        <v>5.3970000000000002</v>
      </c>
      <c r="H1246" s="48">
        <v>0.18327352999999999</v>
      </c>
      <c r="I1246" s="48">
        <v>657.46480819999999</v>
      </c>
      <c r="J1246" s="52" t="e">
        <v>#DIV/0!</v>
      </c>
    </row>
    <row r="1247" spans="1:10" x14ac:dyDescent="0.2">
      <c r="A1247" s="87"/>
      <c r="B1247" s="56" t="s">
        <v>22</v>
      </c>
      <c r="C1247" s="90"/>
      <c r="D1247" s="57"/>
      <c r="E1247" s="57">
        <v>2.4590000000000001</v>
      </c>
      <c r="F1247" s="57">
        <v>3.2090000000000001</v>
      </c>
      <c r="G1247" s="57">
        <v>5.1020000000000003</v>
      </c>
      <c r="H1247" s="57">
        <v>0.17637892999999999</v>
      </c>
      <c r="I1247" s="57">
        <v>0</v>
      </c>
      <c r="J1247" s="49" t="e">
        <v>#DIV/0!</v>
      </c>
    </row>
    <row r="1248" spans="1:10" x14ac:dyDescent="0.2">
      <c r="A1248" s="91" t="s">
        <v>4</v>
      </c>
      <c r="B1248" s="53" t="s">
        <v>20</v>
      </c>
      <c r="C1248" s="92">
        <v>10</v>
      </c>
      <c r="D1248" s="48"/>
      <c r="E1248" s="48">
        <v>2.456</v>
      </c>
      <c r="F1248" s="48">
        <v>3.3069999999999999</v>
      </c>
      <c r="G1248" s="48">
        <v>5.0739999999999998</v>
      </c>
      <c r="H1248" s="48">
        <v>0.20834593000000001</v>
      </c>
      <c r="I1248" s="48">
        <v>0</v>
      </c>
      <c r="J1248" s="52">
        <v>0</v>
      </c>
    </row>
    <row r="1249" spans="1:10" x14ac:dyDescent="0.2">
      <c r="A1249" s="85"/>
      <c r="B1249" s="53" t="s">
        <v>21</v>
      </c>
      <c r="C1249" s="89"/>
      <c r="D1249" s="48">
        <v>769</v>
      </c>
      <c r="E1249" s="48">
        <v>2.4449999999999998</v>
      </c>
      <c r="F1249" s="48">
        <v>3.0249999999999999</v>
      </c>
      <c r="G1249" s="48">
        <v>4.944</v>
      </c>
      <c r="H1249" s="48">
        <v>0.17388429999999999</v>
      </c>
      <c r="I1249" s="48">
        <v>635.28297520000001</v>
      </c>
      <c r="J1249" s="52" t="e">
        <v>#DIV/0!</v>
      </c>
    </row>
    <row r="1250" spans="1:10" x14ac:dyDescent="0.2">
      <c r="A1250" s="87"/>
      <c r="B1250" s="56" t="s">
        <v>22</v>
      </c>
      <c r="C1250" s="90"/>
      <c r="D1250" s="57"/>
      <c r="E1250" s="57">
        <v>2.4580000000000002</v>
      </c>
      <c r="F1250" s="57">
        <v>3.1509999999999998</v>
      </c>
      <c r="G1250" s="57">
        <v>5.0659999999999998</v>
      </c>
      <c r="H1250" s="57">
        <v>0.17232624999999999</v>
      </c>
      <c r="I1250" s="57">
        <v>0</v>
      </c>
      <c r="J1250" s="49" t="e">
        <v>#DIV/0!</v>
      </c>
    </row>
    <row r="1251" spans="1:10" x14ac:dyDescent="0.2">
      <c r="A1251" s="91" t="s">
        <v>5</v>
      </c>
      <c r="B1251" s="53" t="s">
        <v>20</v>
      </c>
      <c r="C1251" s="92">
        <v>10</v>
      </c>
      <c r="D1251" s="48"/>
      <c r="E1251" s="48">
        <v>2.452</v>
      </c>
      <c r="F1251" s="48">
        <v>3.45</v>
      </c>
      <c r="G1251" s="48">
        <v>5.2220000000000004</v>
      </c>
      <c r="H1251" s="48">
        <v>0.19710145000000001</v>
      </c>
      <c r="I1251" s="48">
        <v>0</v>
      </c>
      <c r="J1251" s="52">
        <v>0</v>
      </c>
    </row>
    <row r="1252" spans="1:10" x14ac:dyDescent="0.2">
      <c r="A1252" s="85"/>
      <c r="B1252" s="53" t="s">
        <v>21</v>
      </c>
      <c r="C1252" s="89"/>
      <c r="D1252" s="48">
        <v>825</v>
      </c>
      <c r="E1252" s="48">
        <v>2.4409999999999998</v>
      </c>
      <c r="F1252" s="48">
        <v>3.2829999999999999</v>
      </c>
      <c r="G1252" s="48">
        <v>5.1210000000000004</v>
      </c>
      <c r="H1252" s="48">
        <v>0.18367347000000001</v>
      </c>
      <c r="I1252" s="48">
        <v>673.46938780000005</v>
      </c>
      <c r="J1252" s="52" t="e">
        <v>#DIV/0!</v>
      </c>
    </row>
    <row r="1253" spans="1:10" x14ac:dyDescent="0.2">
      <c r="A1253" s="87"/>
      <c r="B1253" s="56" t="s">
        <v>22</v>
      </c>
      <c r="C1253" s="90"/>
      <c r="D1253" s="57"/>
      <c r="E1253" s="57">
        <v>2.42</v>
      </c>
      <c r="F1253" s="57">
        <v>3.12</v>
      </c>
      <c r="G1253" s="57">
        <v>5.0110000000000001</v>
      </c>
      <c r="H1253" s="57">
        <v>0.16955128</v>
      </c>
      <c r="I1253" s="57">
        <v>0</v>
      </c>
      <c r="J1253" s="49" t="e">
        <v>#DIV/0!</v>
      </c>
    </row>
    <row r="1254" spans="1:10" x14ac:dyDescent="0.2">
      <c r="A1254" s="91" t="s">
        <v>6</v>
      </c>
      <c r="B1254" s="53" t="s">
        <v>20</v>
      </c>
      <c r="C1254" s="92">
        <v>10</v>
      </c>
      <c r="D1254" s="48"/>
      <c r="E1254" s="48">
        <v>2.4700000000000002</v>
      </c>
      <c r="F1254" s="48">
        <v>3.181</v>
      </c>
      <c r="G1254" s="48">
        <v>5.0129999999999999</v>
      </c>
      <c r="H1254" s="48">
        <v>0.20056586000000001</v>
      </c>
      <c r="I1254" s="48">
        <v>0</v>
      </c>
      <c r="J1254" s="52">
        <v>0</v>
      </c>
    </row>
    <row r="1255" spans="1:10" x14ac:dyDescent="0.2">
      <c r="A1255" s="85"/>
      <c r="B1255" s="53" t="s">
        <v>21</v>
      </c>
      <c r="C1255" s="89"/>
      <c r="D1255" s="48">
        <v>816</v>
      </c>
      <c r="E1255" s="48">
        <v>2.4830000000000001</v>
      </c>
      <c r="F1255" s="48">
        <v>3.0510000000000002</v>
      </c>
      <c r="G1255" s="48">
        <v>4.899</v>
      </c>
      <c r="H1255" s="48">
        <v>0.20812848</v>
      </c>
      <c r="I1255" s="48">
        <v>646.16715829999998</v>
      </c>
      <c r="J1255" s="52" t="e">
        <v>#DIV/0!</v>
      </c>
    </row>
    <row r="1256" spans="1:10" x14ac:dyDescent="0.2">
      <c r="A1256" s="87"/>
      <c r="B1256" s="56" t="s">
        <v>22</v>
      </c>
      <c r="C1256" s="90"/>
      <c r="D1256" s="57"/>
      <c r="E1256" s="57">
        <v>2.411</v>
      </c>
      <c r="F1256" s="57">
        <v>3.0539999999999998</v>
      </c>
      <c r="G1256" s="57">
        <v>4.9009999999999998</v>
      </c>
      <c r="H1256" s="57">
        <v>0.18467583000000001</v>
      </c>
      <c r="I1256" s="57">
        <v>0</v>
      </c>
      <c r="J1256" s="49" t="e">
        <v>#DIV/0!</v>
      </c>
    </row>
    <row r="1257" spans="1:10" x14ac:dyDescent="0.2">
      <c r="A1257" s="91" t="s">
        <v>7</v>
      </c>
      <c r="B1257" s="53" t="s">
        <v>20</v>
      </c>
      <c r="C1257" s="92">
        <v>10</v>
      </c>
      <c r="D1257" s="48"/>
      <c r="E1257" s="48">
        <v>2.4529999999999998</v>
      </c>
      <c r="F1257" s="48">
        <v>3.5409999999999999</v>
      </c>
      <c r="G1257" s="48">
        <v>5.2489999999999997</v>
      </c>
      <c r="H1257" s="48">
        <v>0.21039253999999999</v>
      </c>
      <c r="I1257" s="48">
        <v>0</v>
      </c>
      <c r="J1257" s="52">
        <v>0</v>
      </c>
    </row>
    <row r="1258" spans="1:10" x14ac:dyDescent="0.2">
      <c r="A1258" s="85"/>
      <c r="B1258" s="53" t="s">
        <v>21</v>
      </c>
      <c r="C1258" s="89"/>
      <c r="D1258" s="48">
        <v>858</v>
      </c>
      <c r="E1258" s="48">
        <v>2.4449999999999998</v>
      </c>
      <c r="F1258" s="48">
        <v>3.4409999999999998</v>
      </c>
      <c r="G1258" s="48">
        <v>5.218</v>
      </c>
      <c r="H1258" s="48">
        <v>0.19412961000000001</v>
      </c>
      <c r="I1258" s="48">
        <v>691.43679159999999</v>
      </c>
      <c r="J1258" s="52" t="e">
        <v>#DIV/0!</v>
      </c>
    </row>
    <row r="1259" spans="1:10" x14ac:dyDescent="0.2">
      <c r="A1259" s="87"/>
      <c r="B1259" s="56" t="s">
        <v>22</v>
      </c>
      <c r="C1259" s="90"/>
      <c r="D1259" s="57"/>
      <c r="E1259" s="57">
        <v>2.4540000000000002</v>
      </c>
      <c r="F1259" s="57">
        <v>3.1240000000000001</v>
      </c>
      <c r="G1259" s="57">
        <v>4.931</v>
      </c>
      <c r="H1259" s="57">
        <v>0.20710627000000001</v>
      </c>
      <c r="I1259" s="57">
        <v>0</v>
      </c>
      <c r="J1259" s="49" t="e">
        <v>#DIV/0!</v>
      </c>
    </row>
    <row r="1260" spans="1:10" x14ac:dyDescent="0.2">
      <c r="A1260" s="91" t="s">
        <v>8</v>
      </c>
      <c r="B1260" s="53" t="s">
        <v>20</v>
      </c>
      <c r="C1260" s="92">
        <v>10</v>
      </c>
      <c r="D1260" s="48"/>
      <c r="E1260" s="48">
        <v>2.4169999999999998</v>
      </c>
      <c r="F1260" s="48">
        <v>3.0129999999999999</v>
      </c>
      <c r="G1260" s="48">
        <v>4.8289999999999997</v>
      </c>
      <c r="H1260" s="48">
        <v>0.19946897</v>
      </c>
      <c r="I1260" s="48">
        <v>0</v>
      </c>
      <c r="J1260" s="52">
        <v>0</v>
      </c>
    </row>
    <row r="1261" spans="1:10" x14ac:dyDescent="0.2">
      <c r="A1261" s="85"/>
      <c r="B1261" s="53" t="s">
        <v>21</v>
      </c>
      <c r="C1261" s="89"/>
      <c r="D1261" s="48">
        <v>768</v>
      </c>
      <c r="E1261" s="48">
        <v>2.44</v>
      </c>
      <c r="F1261" s="48">
        <v>3.3759999999999999</v>
      </c>
      <c r="G1261" s="48">
        <v>5.1470000000000002</v>
      </c>
      <c r="H1261" s="48">
        <v>0.19816350999999999</v>
      </c>
      <c r="I1261" s="48">
        <v>615.81042649999995</v>
      </c>
      <c r="J1261" s="52" t="e">
        <v>#DIV/0!</v>
      </c>
    </row>
    <row r="1262" spans="1:10" x14ac:dyDescent="0.2">
      <c r="A1262" s="87"/>
      <c r="B1262" s="56" t="s">
        <v>22</v>
      </c>
      <c r="C1262" s="90"/>
      <c r="D1262" s="57"/>
      <c r="E1262" s="57">
        <v>2.4350000000000001</v>
      </c>
      <c r="F1262" s="57">
        <v>3.3460000000000001</v>
      </c>
      <c r="G1262" s="57">
        <v>5.1539999999999999</v>
      </c>
      <c r="H1262" s="57">
        <v>0.18738793000000001</v>
      </c>
      <c r="I1262" s="57">
        <v>0</v>
      </c>
      <c r="J1262" s="49" t="e">
        <v>#DIV/0!</v>
      </c>
    </row>
    <row r="1263" spans="1:10" x14ac:dyDescent="0.2">
      <c r="A1263" s="91" t="s">
        <v>9</v>
      </c>
      <c r="B1263" s="53" t="s">
        <v>20</v>
      </c>
      <c r="C1263" s="92">
        <v>10</v>
      </c>
      <c r="D1263" s="48"/>
      <c r="E1263" s="48">
        <v>2.4350000000000001</v>
      </c>
      <c r="F1263" s="48">
        <v>3.2530000000000001</v>
      </c>
      <c r="G1263" s="48">
        <v>5.0149999999999997</v>
      </c>
      <c r="H1263" s="48">
        <v>0.20688595000000001</v>
      </c>
      <c r="I1263" s="48">
        <v>0</v>
      </c>
      <c r="J1263" s="52">
        <v>0</v>
      </c>
    </row>
    <row r="1264" spans="1:10" x14ac:dyDescent="0.2">
      <c r="A1264" s="85"/>
      <c r="B1264" s="53" t="s">
        <v>21</v>
      </c>
      <c r="C1264" s="89"/>
      <c r="D1264" s="48">
        <v>732</v>
      </c>
      <c r="E1264" s="48">
        <v>2.4470000000000001</v>
      </c>
      <c r="F1264" s="48">
        <v>3.1629999999999998</v>
      </c>
      <c r="G1264" s="48">
        <v>4.9809999999999999</v>
      </c>
      <c r="H1264" s="48">
        <v>0.19886184000000001</v>
      </c>
      <c r="I1264" s="48">
        <v>586.43313309999996</v>
      </c>
      <c r="J1264" s="52" t="e">
        <v>#DIV/0!</v>
      </c>
    </row>
    <row r="1265" spans="1:10" x14ac:dyDescent="0.2">
      <c r="A1265" s="87"/>
      <c r="B1265" s="56" t="s">
        <v>22</v>
      </c>
      <c r="C1265" s="90"/>
      <c r="D1265" s="57"/>
      <c r="E1265" s="57">
        <v>2.4529999999999998</v>
      </c>
      <c r="F1265" s="57">
        <v>3.18</v>
      </c>
      <c r="G1265" s="57">
        <v>4.9619999999999997</v>
      </c>
      <c r="H1265" s="57">
        <v>0.21100629000000001</v>
      </c>
      <c r="I1265" s="57">
        <v>0</v>
      </c>
      <c r="J1265" s="49" t="e">
        <v>#DIV/0!</v>
      </c>
    </row>
    <row r="1266" spans="1:10" x14ac:dyDescent="0.2">
      <c r="A1266" s="91" t="s">
        <v>10</v>
      </c>
      <c r="B1266" s="53" t="s">
        <v>20</v>
      </c>
      <c r="C1266" s="92">
        <v>10</v>
      </c>
      <c r="D1266" s="48"/>
      <c r="E1266" s="48">
        <v>2.4409999999999998</v>
      </c>
      <c r="F1266" s="48">
        <v>3.109</v>
      </c>
      <c r="G1266" s="48">
        <v>4.931</v>
      </c>
      <c r="H1266" s="48">
        <v>0.19909938999999999</v>
      </c>
      <c r="I1266" s="48">
        <v>0</v>
      </c>
      <c r="J1266" s="52">
        <v>0</v>
      </c>
    </row>
    <row r="1267" spans="1:10" x14ac:dyDescent="0.2">
      <c r="A1267" s="85"/>
      <c r="B1267" s="53" t="s">
        <v>21</v>
      </c>
      <c r="C1267" s="89"/>
      <c r="D1267" s="48">
        <v>847</v>
      </c>
      <c r="E1267" s="48">
        <v>2.4390000000000001</v>
      </c>
      <c r="F1267" s="48">
        <v>3.1579999999999999</v>
      </c>
      <c r="G1267" s="48">
        <v>4.9509999999999996</v>
      </c>
      <c r="H1267" s="48">
        <v>0.20455984999999999</v>
      </c>
      <c r="I1267" s="48">
        <v>673.73780869999996</v>
      </c>
      <c r="J1267" s="52" t="e">
        <v>#DIV/0!</v>
      </c>
    </row>
    <row r="1268" spans="1:10" x14ac:dyDescent="0.2">
      <c r="A1268" s="87"/>
      <c r="B1268" s="56" t="s">
        <v>22</v>
      </c>
      <c r="C1268" s="90"/>
      <c r="D1268" s="57"/>
      <c r="E1268" s="57">
        <v>2.4569999999999999</v>
      </c>
      <c r="F1268" s="57">
        <v>3.0659999999999998</v>
      </c>
      <c r="G1268" s="57">
        <v>4.8650000000000002</v>
      </c>
      <c r="H1268" s="57">
        <v>0.21461187000000001</v>
      </c>
      <c r="I1268" s="57">
        <v>0</v>
      </c>
      <c r="J1268" s="49" t="e">
        <v>#DIV/0!</v>
      </c>
    </row>
    <row r="1269" spans="1:10" x14ac:dyDescent="0.2">
      <c r="A1269" s="91" t="s">
        <v>11</v>
      </c>
      <c r="B1269" s="53" t="s">
        <v>20</v>
      </c>
      <c r="C1269" s="92">
        <v>10</v>
      </c>
      <c r="D1269" s="48"/>
      <c r="E1269" s="48">
        <v>2.456</v>
      </c>
      <c r="F1269" s="48">
        <v>3.508</v>
      </c>
      <c r="G1269" s="48">
        <v>5.2210000000000001</v>
      </c>
      <c r="H1269" s="48">
        <v>0.21180160000000001</v>
      </c>
      <c r="I1269" s="48">
        <v>0</v>
      </c>
      <c r="J1269" s="52">
        <v>0</v>
      </c>
    </row>
    <row r="1270" spans="1:10" x14ac:dyDescent="0.2">
      <c r="A1270" s="85"/>
      <c r="B1270" s="53" t="s">
        <v>21</v>
      </c>
      <c r="C1270" s="89"/>
      <c r="D1270" s="48">
        <v>719</v>
      </c>
      <c r="E1270" s="48">
        <v>2.4329999999999998</v>
      </c>
      <c r="F1270" s="48">
        <v>3.0950000000000002</v>
      </c>
      <c r="G1270" s="48">
        <v>4.8630000000000004</v>
      </c>
      <c r="H1270" s="48">
        <v>0.21486268</v>
      </c>
      <c r="I1270" s="48">
        <v>564.51373179999996</v>
      </c>
      <c r="J1270" s="52" t="e">
        <v>#DIV/0!</v>
      </c>
    </row>
    <row r="1271" spans="1:10" x14ac:dyDescent="0.2">
      <c r="A1271" s="87"/>
      <c r="B1271" s="56" t="s">
        <v>22</v>
      </c>
      <c r="C1271" s="90"/>
      <c r="D1271" s="57"/>
      <c r="E1271" s="57">
        <v>2.452</v>
      </c>
      <c r="F1271" s="57">
        <v>3.641</v>
      </c>
      <c r="G1271" s="57">
        <v>5.3390000000000004</v>
      </c>
      <c r="H1271" s="57">
        <v>0.20708597000000001</v>
      </c>
      <c r="I1271" s="57">
        <v>0</v>
      </c>
      <c r="J1271" s="49" t="e">
        <v>#DIV/0!</v>
      </c>
    </row>
    <row r="1272" spans="1:10" x14ac:dyDescent="0.2">
      <c r="A1272" s="91" t="s">
        <v>12</v>
      </c>
      <c r="B1272" s="53" t="s">
        <v>20</v>
      </c>
      <c r="C1272" s="92">
        <v>10</v>
      </c>
      <c r="D1272" s="48"/>
      <c r="E1272" s="48">
        <v>2.4249999999999998</v>
      </c>
      <c r="F1272" s="48">
        <v>3.032</v>
      </c>
      <c r="G1272" s="48">
        <v>4.8250000000000002</v>
      </c>
      <c r="H1272" s="48">
        <v>0.20844327000000001</v>
      </c>
      <c r="I1272" s="48">
        <v>0</v>
      </c>
      <c r="J1272" s="52">
        <v>0</v>
      </c>
    </row>
    <row r="1273" spans="1:10" x14ac:dyDescent="0.2">
      <c r="A1273" s="85"/>
      <c r="B1273" s="53" t="s">
        <v>21</v>
      </c>
      <c r="C1273" s="89"/>
      <c r="D1273" s="48">
        <v>739</v>
      </c>
      <c r="E1273" s="48">
        <v>2.431</v>
      </c>
      <c r="F1273" s="48">
        <v>3.069</v>
      </c>
      <c r="G1273" s="48">
        <v>4.8319999999999999</v>
      </c>
      <c r="H1273" s="48">
        <v>0.21766047999999999</v>
      </c>
      <c r="I1273" s="48">
        <v>578.14890839999998</v>
      </c>
      <c r="J1273" s="52" t="e">
        <v>#DIV/0!</v>
      </c>
    </row>
    <row r="1274" spans="1:10" x14ac:dyDescent="0.2">
      <c r="A1274" s="87"/>
      <c r="B1274" s="56" t="s">
        <v>22</v>
      </c>
      <c r="C1274" s="90"/>
      <c r="D1274" s="57"/>
      <c r="E1274" s="57">
        <v>2.4279999999999999</v>
      </c>
      <c r="F1274" s="57">
        <v>3.347</v>
      </c>
      <c r="G1274" s="57">
        <v>5.0140000000000002</v>
      </c>
      <c r="H1274" s="57">
        <v>0.22736778999999999</v>
      </c>
      <c r="I1274" s="57">
        <v>0</v>
      </c>
      <c r="J1274" s="49" t="e">
        <v>#DIV/0!</v>
      </c>
    </row>
    <row r="1275" spans="1:10" x14ac:dyDescent="0.2">
      <c r="A1275" s="91" t="s">
        <v>13</v>
      </c>
      <c r="B1275" s="53" t="s">
        <v>20</v>
      </c>
      <c r="C1275" s="92">
        <v>10</v>
      </c>
      <c r="D1275" s="48"/>
      <c r="E1275" s="48">
        <v>2.411</v>
      </c>
      <c r="F1275" s="48">
        <v>3.1680000000000001</v>
      </c>
      <c r="G1275" s="48">
        <v>4.9450000000000003</v>
      </c>
      <c r="H1275" s="48">
        <v>0.20012626</v>
      </c>
      <c r="I1275" s="48">
        <v>0</v>
      </c>
      <c r="J1275" s="52">
        <v>0</v>
      </c>
    </row>
    <row r="1276" spans="1:10" x14ac:dyDescent="0.2">
      <c r="A1276" s="85"/>
      <c r="B1276" s="53" t="s">
        <v>21</v>
      </c>
      <c r="C1276" s="89"/>
      <c r="D1276" s="48">
        <v>745</v>
      </c>
      <c r="E1276" s="48">
        <v>2.4390000000000001</v>
      </c>
      <c r="F1276" s="48">
        <v>3.1749999999999998</v>
      </c>
      <c r="G1276" s="48">
        <v>4.9480000000000004</v>
      </c>
      <c r="H1276" s="48">
        <v>0.20976378000000001</v>
      </c>
      <c r="I1276" s="48">
        <v>588.72598430000005</v>
      </c>
      <c r="J1276" s="52" t="e">
        <v>#DIV/0!</v>
      </c>
    </row>
    <row r="1277" spans="1:10" x14ac:dyDescent="0.2">
      <c r="A1277" s="87"/>
      <c r="B1277" s="56" t="s">
        <v>22</v>
      </c>
      <c r="C1277" s="90"/>
      <c r="D1277" s="57"/>
      <c r="E1277" s="57">
        <v>2.4670000000000001</v>
      </c>
      <c r="F1277" s="57">
        <v>3.0619999999999998</v>
      </c>
      <c r="G1277" s="57">
        <v>4.8879999999999999</v>
      </c>
      <c r="H1277" s="57">
        <v>0.20934030000000001</v>
      </c>
      <c r="I1277" s="57">
        <v>0</v>
      </c>
      <c r="J1277" s="49" t="e">
        <v>#DIV/0!</v>
      </c>
    </row>
    <row r="1278" spans="1:10" x14ac:dyDescent="0.2">
      <c r="A1278" s="91" t="s">
        <v>14</v>
      </c>
      <c r="B1278" s="53" t="s">
        <v>20</v>
      </c>
      <c r="C1278" s="92">
        <v>10</v>
      </c>
      <c r="D1278" s="48"/>
      <c r="E1278" s="48">
        <v>2.4500000000000002</v>
      </c>
      <c r="F1278" s="48">
        <v>3.0880000000000001</v>
      </c>
      <c r="G1278" s="48">
        <v>4.9359999999999999</v>
      </c>
      <c r="H1278" s="48">
        <v>0.19494818999999999</v>
      </c>
      <c r="I1278" s="48">
        <v>0</v>
      </c>
      <c r="J1278" s="52">
        <v>0</v>
      </c>
    </row>
    <row r="1279" spans="1:10" x14ac:dyDescent="0.2">
      <c r="A1279" s="85"/>
      <c r="B1279" s="53" t="s">
        <v>21</v>
      </c>
      <c r="C1279" s="89"/>
      <c r="D1279" s="48">
        <v>699</v>
      </c>
      <c r="E1279" s="48">
        <v>2.4430000000000001</v>
      </c>
      <c r="F1279" s="48">
        <v>3.4079999999999999</v>
      </c>
      <c r="G1279" s="48">
        <v>5.1669999999999998</v>
      </c>
      <c r="H1279" s="48">
        <v>0.20070423000000001</v>
      </c>
      <c r="I1279" s="48">
        <v>558.70774649999998</v>
      </c>
      <c r="J1279" s="52" t="e">
        <v>#DIV/0!</v>
      </c>
    </row>
    <row r="1280" spans="1:10" ht="16" thickBot="1" x14ac:dyDescent="0.25">
      <c r="A1280" s="93"/>
      <c r="B1280" s="58" t="s">
        <v>22</v>
      </c>
      <c r="C1280" s="94"/>
      <c r="D1280" s="59"/>
      <c r="E1280" s="59">
        <v>2.4380000000000002</v>
      </c>
      <c r="F1280" s="59">
        <v>3.069</v>
      </c>
      <c r="G1280" s="59">
        <v>4.8600000000000003</v>
      </c>
      <c r="H1280" s="59">
        <v>0.21081786</v>
      </c>
      <c r="I1280" s="59">
        <v>0</v>
      </c>
      <c r="J1280" s="50" t="e">
        <v>#DIV/0!</v>
      </c>
    </row>
    <row r="1281" spans="1:10" ht="16" thickBot="1" x14ac:dyDescent="0.25">
      <c r="A1281" s="60" t="s">
        <v>1</v>
      </c>
      <c r="B1281" s="61"/>
      <c r="C1281" s="62"/>
      <c r="D1281" s="63" t="s">
        <v>49</v>
      </c>
      <c r="E1281" s="64"/>
      <c r="F1281" s="58" t="s">
        <v>0</v>
      </c>
      <c r="G1281" s="18">
        <v>44156</v>
      </c>
      <c r="H1281" s="65" t="s">
        <v>24</v>
      </c>
      <c r="I1281" s="66"/>
      <c r="J1281" s="49">
        <v>100</v>
      </c>
    </row>
    <row r="1282" spans="1:10" ht="16" thickBot="1" x14ac:dyDescent="0.25">
      <c r="A1282" s="67" t="s">
        <v>2</v>
      </c>
      <c r="B1282" s="68"/>
      <c r="C1282" s="69"/>
      <c r="D1282" s="70"/>
      <c r="E1282" s="71"/>
      <c r="F1282" s="72"/>
      <c r="G1282" s="73"/>
      <c r="H1282" s="74" t="s">
        <v>25</v>
      </c>
      <c r="I1282" s="75"/>
      <c r="J1282" s="49">
        <v>25</v>
      </c>
    </row>
    <row r="1283" spans="1:10" ht="16" thickBot="1" x14ac:dyDescent="0.25">
      <c r="A1283" s="76" t="s">
        <v>27</v>
      </c>
      <c r="B1283" s="77"/>
      <c r="C1283" s="78"/>
      <c r="D1283" s="79" t="s">
        <v>32</v>
      </c>
      <c r="E1283" s="80"/>
      <c r="F1283" s="48" t="s">
        <v>30</v>
      </c>
      <c r="G1283" s="48">
        <v>3.81</v>
      </c>
      <c r="H1283" s="81" t="s">
        <v>26</v>
      </c>
      <c r="I1283" s="82"/>
      <c r="J1283" s="50">
        <v>50</v>
      </c>
    </row>
    <row r="1284" spans="1:10" x14ac:dyDescent="0.2">
      <c r="A1284" s="83"/>
      <c r="B1284" s="84"/>
      <c r="C1284" s="51" t="s">
        <v>29</v>
      </c>
      <c r="D1284" s="51" t="s">
        <v>19</v>
      </c>
      <c r="E1284" s="51" t="s">
        <v>15</v>
      </c>
      <c r="F1284" s="51" t="s">
        <v>18</v>
      </c>
      <c r="G1284" s="51" t="s">
        <v>17</v>
      </c>
      <c r="H1284" s="48" t="s">
        <v>28</v>
      </c>
      <c r="I1284" s="48" t="s">
        <v>16</v>
      </c>
      <c r="J1284" s="52" t="s">
        <v>23</v>
      </c>
    </row>
    <row r="1285" spans="1:10" x14ac:dyDescent="0.2">
      <c r="A1285" s="86" t="s">
        <v>3</v>
      </c>
      <c r="B1285" s="53" t="s">
        <v>20</v>
      </c>
      <c r="C1285" s="88">
        <v>10</v>
      </c>
      <c r="D1285" s="54"/>
      <c r="E1285" s="54">
        <v>2.4460000000000002</v>
      </c>
      <c r="F1285" s="54">
        <v>3.3839999999999999</v>
      </c>
      <c r="G1285" s="54">
        <v>4.8170000000000002</v>
      </c>
      <c r="H1285" s="54">
        <v>0.29934988000000001</v>
      </c>
      <c r="I1285" s="54">
        <v>0</v>
      </c>
      <c r="J1285" s="55">
        <v>0</v>
      </c>
    </row>
    <row r="1286" spans="1:10" x14ac:dyDescent="0.2">
      <c r="A1286" s="85"/>
      <c r="B1286" s="53" t="s">
        <v>21</v>
      </c>
      <c r="C1286" s="89"/>
      <c r="D1286" s="48">
        <v>795</v>
      </c>
      <c r="E1286" s="48">
        <v>2.4540000000000002</v>
      </c>
      <c r="F1286" s="48">
        <v>3.0449999999999999</v>
      </c>
      <c r="G1286" s="48">
        <v>4.8650000000000002</v>
      </c>
      <c r="H1286" s="48">
        <v>0.20821017999999999</v>
      </c>
      <c r="I1286" s="48">
        <v>629.47290640000006</v>
      </c>
      <c r="J1286" s="52" t="e">
        <v>#DIV/0!</v>
      </c>
    </row>
    <row r="1287" spans="1:10" x14ac:dyDescent="0.2">
      <c r="A1287" s="87"/>
      <c r="B1287" s="56" t="s">
        <v>22</v>
      </c>
      <c r="C1287" s="90"/>
      <c r="D1287" s="57"/>
      <c r="E1287" s="57">
        <v>2.4340000000000002</v>
      </c>
      <c r="F1287" s="57">
        <v>3.6080000000000001</v>
      </c>
      <c r="G1287" s="57">
        <v>5.3250000000000002</v>
      </c>
      <c r="H1287" s="57">
        <v>0.19872506000000001</v>
      </c>
      <c r="I1287" s="57">
        <v>0</v>
      </c>
      <c r="J1287" s="49" t="e">
        <v>#DIV/0!</v>
      </c>
    </row>
    <row r="1288" spans="1:10" x14ac:dyDescent="0.2">
      <c r="A1288" s="91" t="s">
        <v>4</v>
      </c>
      <c r="B1288" s="53" t="s">
        <v>20</v>
      </c>
      <c r="C1288" s="92">
        <v>10</v>
      </c>
      <c r="D1288" s="48"/>
      <c r="E1288" s="48">
        <v>2.4180000000000001</v>
      </c>
      <c r="F1288" s="48">
        <v>3.3929999999999998</v>
      </c>
      <c r="G1288" s="48">
        <v>5.3650000000000002</v>
      </c>
      <c r="H1288" s="48">
        <v>0.13144710000000001</v>
      </c>
      <c r="I1288" s="48">
        <v>0</v>
      </c>
      <c r="J1288" s="52">
        <v>0</v>
      </c>
    </row>
    <row r="1289" spans="1:10" x14ac:dyDescent="0.2">
      <c r="A1289" s="85"/>
      <c r="B1289" s="53" t="s">
        <v>21</v>
      </c>
      <c r="C1289" s="89"/>
      <c r="D1289" s="48">
        <v>760</v>
      </c>
      <c r="E1289" s="48">
        <v>2.4470000000000001</v>
      </c>
      <c r="F1289" s="48">
        <v>3.484</v>
      </c>
      <c r="G1289" s="48">
        <v>5.3250000000000002</v>
      </c>
      <c r="H1289" s="48">
        <v>0.17393800000000001</v>
      </c>
      <c r="I1289" s="48">
        <v>627.80711829999996</v>
      </c>
      <c r="J1289" s="52" t="e">
        <v>#DIV/0!</v>
      </c>
    </row>
    <row r="1290" spans="1:10" x14ac:dyDescent="0.2">
      <c r="A1290" s="87"/>
      <c r="B1290" s="56" t="s">
        <v>22</v>
      </c>
      <c r="C1290" s="90"/>
      <c r="D1290" s="57"/>
      <c r="E1290" s="57">
        <v>2.4710000000000001</v>
      </c>
      <c r="F1290" s="57">
        <v>3.62</v>
      </c>
      <c r="G1290" s="57">
        <v>5.4710000000000001</v>
      </c>
      <c r="H1290" s="57">
        <v>0.17127071999999999</v>
      </c>
      <c r="I1290" s="57">
        <v>0</v>
      </c>
      <c r="J1290" s="49" t="e">
        <v>#DIV/0!</v>
      </c>
    </row>
    <row r="1291" spans="1:10" x14ac:dyDescent="0.2">
      <c r="A1291" s="91" t="s">
        <v>5</v>
      </c>
      <c r="B1291" s="53" t="s">
        <v>20</v>
      </c>
      <c r="C1291" s="92">
        <v>10</v>
      </c>
      <c r="D1291" s="48"/>
      <c r="E1291" s="48">
        <v>2.4319999999999999</v>
      </c>
      <c r="F1291" s="48">
        <v>3.0409999999999999</v>
      </c>
      <c r="G1291" s="48">
        <v>4.97</v>
      </c>
      <c r="H1291" s="48">
        <v>0.16540611999999999</v>
      </c>
      <c r="I1291" s="48">
        <v>0</v>
      </c>
      <c r="J1291" s="52">
        <v>0</v>
      </c>
    </row>
    <row r="1292" spans="1:10" x14ac:dyDescent="0.2">
      <c r="A1292" s="85"/>
      <c r="B1292" s="53" t="s">
        <v>21</v>
      </c>
      <c r="C1292" s="89"/>
      <c r="D1292" s="48">
        <v>757</v>
      </c>
      <c r="E1292" s="48">
        <v>2.4409999999999998</v>
      </c>
      <c r="F1292" s="48">
        <v>3.29</v>
      </c>
      <c r="G1292" s="48">
        <v>5.1760000000000002</v>
      </c>
      <c r="H1292" s="48">
        <v>0.16869301</v>
      </c>
      <c r="I1292" s="48">
        <v>629.29939209999998</v>
      </c>
      <c r="J1292" s="52" t="e">
        <v>#DIV/0!</v>
      </c>
    </row>
    <row r="1293" spans="1:10" x14ac:dyDescent="0.2">
      <c r="A1293" s="87"/>
      <c r="B1293" s="56" t="s">
        <v>22</v>
      </c>
      <c r="C1293" s="90"/>
      <c r="D1293" s="57"/>
      <c r="E1293" s="57">
        <v>2.4239999999999999</v>
      </c>
      <c r="F1293" s="57">
        <v>3.03</v>
      </c>
      <c r="G1293" s="57">
        <v>4.944</v>
      </c>
      <c r="H1293" s="57">
        <v>0.16831683</v>
      </c>
      <c r="I1293" s="57">
        <v>0</v>
      </c>
      <c r="J1293" s="49" t="e">
        <v>#DIV/0!</v>
      </c>
    </row>
    <row r="1294" spans="1:10" x14ac:dyDescent="0.2">
      <c r="A1294" s="91" t="s">
        <v>6</v>
      </c>
      <c r="B1294" s="53" t="s">
        <v>20</v>
      </c>
      <c r="C1294" s="92">
        <v>10</v>
      </c>
      <c r="D1294" s="48"/>
      <c r="E1294" s="48">
        <v>2.468</v>
      </c>
      <c r="F1294" s="48">
        <v>3.0070000000000001</v>
      </c>
      <c r="G1294" s="48">
        <v>4.9390000000000001</v>
      </c>
      <c r="H1294" s="48">
        <v>0.17825075000000001</v>
      </c>
      <c r="I1294" s="48">
        <v>0</v>
      </c>
      <c r="J1294" s="52">
        <v>0</v>
      </c>
    </row>
    <row r="1295" spans="1:10" x14ac:dyDescent="0.2">
      <c r="A1295" s="85"/>
      <c r="B1295" s="53" t="s">
        <v>21</v>
      </c>
      <c r="C1295" s="89"/>
      <c r="D1295" s="48">
        <v>875</v>
      </c>
      <c r="E1295" s="48">
        <v>2.4540000000000002</v>
      </c>
      <c r="F1295" s="48">
        <v>3.0720000000000001</v>
      </c>
      <c r="G1295" s="48">
        <v>4.9219999999999997</v>
      </c>
      <c r="H1295" s="48">
        <v>0.19661458000000001</v>
      </c>
      <c r="I1295" s="48">
        <v>702.96223959999998</v>
      </c>
      <c r="J1295" s="52" t="e">
        <v>#DIV/0!</v>
      </c>
    </row>
    <row r="1296" spans="1:10" x14ac:dyDescent="0.2">
      <c r="A1296" s="87"/>
      <c r="B1296" s="56" t="s">
        <v>22</v>
      </c>
      <c r="C1296" s="90"/>
      <c r="D1296" s="57"/>
      <c r="E1296" s="57">
        <v>2.4449999999999998</v>
      </c>
      <c r="F1296" s="57">
        <v>3.0830000000000002</v>
      </c>
      <c r="G1296" s="57">
        <v>4.8970000000000002</v>
      </c>
      <c r="H1296" s="57">
        <v>0.20467078</v>
      </c>
      <c r="I1296" s="57">
        <v>0</v>
      </c>
      <c r="J1296" s="49" t="e">
        <v>#DIV/0!</v>
      </c>
    </row>
    <row r="1297" spans="1:10" x14ac:dyDescent="0.2">
      <c r="A1297" s="91" t="s">
        <v>7</v>
      </c>
      <c r="B1297" s="53" t="s">
        <v>20</v>
      </c>
      <c r="C1297" s="92">
        <v>10</v>
      </c>
      <c r="D1297" s="48"/>
      <c r="E1297" s="48">
        <v>2.4689999999999999</v>
      </c>
      <c r="F1297" s="48">
        <v>3.5880000000000001</v>
      </c>
      <c r="G1297" s="48">
        <v>5.407</v>
      </c>
      <c r="H1297" s="48">
        <v>0.18115941999999999</v>
      </c>
      <c r="I1297" s="48">
        <v>0</v>
      </c>
      <c r="J1297" s="52">
        <v>0</v>
      </c>
    </row>
    <row r="1298" spans="1:10" x14ac:dyDescent="0.2">
      <c r="A1298" s="85"/>
      <c r="B1298" s="53" t="s">
        <v>21</v>
      </c>
      <c r="C1298" s="89"/>
      <c r="D1298" s="48">
        <v>800</v>
      </c>
      <c r="E1298" s="48">
        <v>2.4820000000000002</v>
      </c>
      <c r="F1298" s="48">
        <v>3.754</v>
      </c>
      <c r="G1298" s="48">
        <v>5.55</v>
      </c>
      <c r="H1298" s="48">
        <v>0.18273840999999999</v>
      </c>
      <c r="I1298" s="48">
        <v>653.80927010000005</v>
      </c>
      <c r="J1298" s="52" t="e">
        <v>#DIV/0!</v>
      </c>
    </row>
    <row r="1299" spans="1:10" x14ac:dyDescent="0.2">
      <c r="A1299" s="87"/>
      <c r="B1299" s="56" t="s">
        <v>22</v>
      </c>
      <c r="C1299" s="90"/>
      <c r="D1299" s="57"/>
      <c r="E1299" s="57">
        <v>2.4700000000000002</v>
      </c>
      <c r="F1299" s="57">
        <v>3.1349999999999998</v>
      </c>
      <c r="G1299" s="57">
        <v>5.0190000000000001</v>
      </c>
      <c r="H1299" s="57">
        <v>0.18692185</v>
      </c>
      <c r="I1299" s="57">
        <v>0</v>
      </c>
      <c r="J1299" s="49" t="e">
        <v>#DIV/0!</v>
      </c>
    </row>
    <row r="1300" spans="1:10" x14ac:dyDescent="0.2">
      <c r="A1300" s="91" t="s">
        <v>8</v>
      </c>
      <c r="B1300" s="53" t="s">
        <v>20</v>
      </c>
      <c r="C1300" s="92">
        <v>10</v>
      </c>
      <c r="D1300" s="48"/>
      <c r="E1300" s="48">
        <v>2.4390000000000001</v>
      </c>
      <c r="F1300" s="48">
        <v>3.7389999999999999</v>
      </c>
      <c r="G1300" s="48">
        <v>5.25</v>
      </c>
      <c r="H1300" s="48">
        <v>0.24819469999999999</v>
      </c>
      <c r="I1300" s="48">
        <v>0</v>
      </c>
      <c r="J1300" s="52">
        <v>0</v>
      </c>
    </row>
    <row r="1301" spans="1:10" x14ac:dyDescent="0.2">
      <c r="A1301" s="85"/>
      <c r="B1301" s="53" t="s">
        <v>21</v>
      </c>
      <c r="C1301" s="89"/>
      <c r="D1301" s="48">
        <v>817</v>
      </c>
      <c r="E1301" s="48">
        <v>2.4380000000000002</v>
      </c>
      <c r="F1301" s="48">
        <v>3.2509999999999999</v>
      </c>
      <c r="G1301" s="48">
        <v>5.0890000000000004</v>
      </c>
      <c r="H1301" s="48">
        <v>0.18455859999999999</v>
      </c>
      <c r="I1301" s="48">
        <v>666.21562600000004</v>
      </c>
      <c r="J1301" s="52" t="e">
        <v>#DIV/0!</v>
      </c>
    </row>
    <row r="1302" spans="1:10" x14ac:dyDescent="0.2">
      <c r="A1302" s="87"/>
      <c r="B1302" s="56" t="s">
        <v>22</v>
      </c>
      <c r="C1302" s="90"/>
      <c r="D1302" s="57"/>
      <c r="E1302" s="57">
        <v>2.44</v>
      </c>
      <c r="F1302" s="57">
        <v>3.3159999999999998</v>
      </c>
      <c r="G1302" s="57">
        <v>5.1459999999999999</v>
      </c>
      <c r="H1302" s="57">
        <v>0.18395657000000001</v>
      </c>
      <c r="I1302" s="57">
        <v>0</v>
      </c>
      <c r="J1302" s="49" t="e">
        <v>#DIV/0!</v>
      </c>
    </row>
    <row r="1303" spans="1:10" x14ac:dyDescent="0.2">
      <c r="A1303" s="91" t="s">
        <v>9</v>
      </c>
      <c r="B1303" s="53" t="s">
        <v>20</v>
      </c>
      <c r="C1303" s="92">
        <v>10</v>
      </c>
      <c r="D1303" s="48"/>
      <c r="E1303" s="48">
        <v>2.4329999999999998</v>
      </c>
      <c r="F1303" s="48">
        <v>3.8490000000000002</v>
      </c>
      <c r="G1303" s="48">
        <v>5.5460000000000003</v>
      </c>
      <c r="H1303" s="48">
        <v>0.19121850000000001</v>
      </c>
      <c r="I1303" s="48">
        <v>0</v>
      </c>
      <c r="J1303" s="52">
        <v>0</v>
      </c>
    </row>
    <row r="1304" spans="1:10" x14ac:dyDescent="0.2">
      <c r="A1304" s="85"/>
      <c r="B1304" s="53" t="s">
        <v>21</v>
      </c>
      <c r="C1304" s="89"/>
      <c r="D1304" s="48">
        <v>837</v>
      </c>
      <c r="E1304" s="48">
        <v>2.4449999999999998</v>
      </c>
      <c r="F1304" s="48">
        <v>3.16</v>
      </c>
      <c r="G1304" s="48">
        <v>5</v>
      </c>
      <c r="H1304" s="48">
        <v>0.19145570000000001</v>
      </c>
      <c r="I1304" s="48">
        <v>676.7515823</v>
      </c>
      <c r="J1304" s="52" t="e">
        <v>#DIV/0!</v>
      </c>
    </row>
    <row r="1305" spans="1:10" x14ac:dyDescent="0.2">
      <c r="A1305" s="87"/>
      <c r="B1305" s="56" t="s">
        <v>22</v>
      </c>
      <c r="C1305" s="90"/>
      <c r="D1305" s="57"/>
      <c r="E1305" s="57">
        <v>2.403</v>
      </c>
      <c r="F1305" s="57">
        <v>3.7160000000000002</v>
      </c>
      <c r="G1305" s="57">
        <v>5.4649999999999999</v>
      </c>
      <c r="H1305" s="57">
        <v>0.17599569000000001</v>
      </c>
      <c r="I1305" s="57">
        <v>0</v>
      </c>
      <c r="J1305" s="49" t="e">
        <v>#DIV/0!</v>
      </c>
    </row>
    <row r="1306" spans="1:10" x14ac:dyDescent="0.2">
      <c r="A1306" s="91" t="s">
        <v>10</v>
      </c>
      <c r="B1306" s="53" t="s">
        <v>20</v>
      </c>
      <c r="C1306" s="92">
        <v>10</v>
      </c>
      <c r="D1306" s="48"/>
      <c r="E1306" s="48">
        <v>2.452</v>
      </c>
      <c r="F1306" s="48">
        <v>3.4780000000000002</v>
      </c>
      <c r="G1306" s="48">
        <v>5.3109999999999999</v>
      </c>
      <c r="H1306" s="48">
        <v>0.17797584999999999</v>
      </c>
      <c r="I1306" s="48">
        <v>0</v>
      </c>
      <c r="J1306" s="52">
        <v>0</v>
      </c>
    </row>
    <row r="1307" spans="1:10" x14ac:dyDescent="0.2">
      <c r="A1307" s="85"/>
      <c r="B1307" s="53" t="s">
        <v>21</v>
      </c>
      <c r="C1307" s="89"/>
      <c r="D1307" s="48">
        <v>759</v>
      </c>
      <c r="E1307" s="48">
        <v>2.456</v>
      </c>
      <c r="F1307" s="48">
        <v>3.871</v>
      </c>
      <c r="G1307" s="48">
        <v>3.726</v>
      </c>
      <c r="H1307" s="48">
        <v>0.67191939999999994</v>
      </c>
      <c r="I1307" s="48">
        <v>249.0131749</v>
      </c>
      <c r="J1307" s="52" t="e">
        <v>#DIV/0!</v>
      </c>
    </row>
    <row r="1308" spans="1:10" x14ac:dyDescent="0.2">
      <c r="A1308" s="87"/>
      <c r="B1308" s="56" t="s">
        <v>22</v>
      </c>
      <c r="C1308" s="90"/>
      <c r="D1308" s="57"/>
      <c r="E1308" s="57">
        <v>2.4510000000000001</v>
      </c>
      <c r="F1308" s="57">
        <v>3.8740000000000001</v>
      </c>
      <c r="G1308" s="57">
        <v>3.6960000000000002</v>
      </c>
      <c r="H1308" s="57">
        <v>0.67862674000000001</v>
      </c>
      <c r="I1308" s="57">
        <v>0</v>
      </c>
      <c r="J1308" s="49" t="e">
        <v>#DIV/0!</v>
      </c>
    </row>
    <row r="1309" spans="1:10" x14ac:dyDescent="0.2">
      <c r="A1309" s="91" t="s">
        <v>11</v>
      </c>
      <c r="B1309" s="53" t="s">
        <v>20</v>
      </c>
      <c r="C1309" s="92">
        <v>10</v>
      </c>
      <c r="D1309" s="48"/>
      <c r="E1309" s="48">
        <v>2.407</v>
      </c>
      <c r="F1309" s="48">
        <v>3.1880000000000002</v>
      </c>
      <c r="G1309" s="48">
        <v>5.1280000000000001</v>
      </c>
      <c r="H1309" s="48">
        <v>0.14648683000000001</v>
      </c>
      <c r="I1309" s="48">
        <v>0</v>
      </c>
      <c r="J1309" s="52">
        <v>0</v>
      </c>
    </row>
    <row r="1310" spans="1:10" x14ac:dyDescent="0.2">
      <c r="A1310" s="85"/>
      <c r="B1310" s="53" t="s">
        <v>21</v>
      </c>
      <c r="C1310" s="89"/>
      <c r="D1310" s="48">
        <v>778</v>
      </c>
      <c r="E1310" s="48">
        <v>2.4340000000000002</v>
      </c>
      <c r="F1310" s="48">
        <v>3.1339999999999999</v>
      </c>
      <c r="G1310" s="48">
        <v>5.0860000000000003</v>
      </c>
      <c r="H1310" s="48">
        <v>0.15379706000000001</v>
      </c>
      <c r="I1310" s="48">
        <v>658.34588389999999</v>
      </c>
      <c r="J1310" s="52" t="e">
        <v>#DIV/0!</v>
      </c>
    </row>
    <row r="1311" spans="1:10" x14ac:dyDescent="0.2">
      <c r="A1311" s="87"/>
      <c r="B1311" s="56" t="s">
        <v>22</v>
      </c>
      <c r="C1311" s="90"/>
      <c r="D1311" s="57"/>
      <c r="E1311" s="57">
        <v>2.4340000000000002</v>
      </c>
      <c r="F1311" s="57">
        <v>3.3180000000000001</v>
      </c>
      <c r="G1311" s="57">
        <v>5.2720000000000002</v>
      </c>
      <c r="H1311" s="57">
        <v>0.14466546</v>
      </c>
      <c r="I1311" s="57">
        <v>0</v>
      </c>
      <c r="J1311" s="49" t="e">
        <v>#DIV/0!</v>
      </c>
    </row>
    <row r="1312" spans="1:10" x14ac:dyDescent="0.2">
      <c r="A1312" s="91" t="s">
        <v>12</v>
      </c>
      <c r="B1312" s="53" t="s">
        <v>20</v>
      </c>
      <c r="C1312" s="92">
        <v>10</v>
      </c>
      <c r="D1312" s="48"/>
      <c r="E1312" s="48">
        <v>2.484</v>
      </c>
      <c r="F1312" s="48">
        <v>3.097</v>
      </c>
      <c r="G1312" s="48">
        <v>5.2089999999999996</v>
      </c>
      <c r="H1312" s="48">
        <v>0.12011624</v>
      </c>
      <c r="I1312" s="48">
        <v>0</v>
      </c>
      <c r="J1312" s="52">
        <v>0</v>
      </c>
    </row>
    <row r="1313" spans="1:10" x14ac:dyDescent="0.2">
      <c r="A1313" s="85"/>
      <c r="B1313" s="53" t="s">
        <v>21</v>
      </c>
      <c r="C1313" s="89"/>
      <c r="D1313" s="48">
        <v>742</v>
      </c>
      <c r="E1313" s="48">
        <v>2.4380000000000002</v>
      </c>
      <c r="F1313" s="48">
        <v>3.0640000000000001</v>
      </c>
      <c r="G1313" s="48">
        <v>4.9669999999999996</v>
      </c>
      <c r="H1313" s="48">
        <v>0.17460835999999999</v>
      </c>
      <c r="I1313" s="48">
        <v>612.44060049999996</v>
      </c>
      <c r="J1313" s="52" t="e">
        <v>#DIV/0!</v>
      </c>
    </row>
    <row r="1314" spans="1:10" x14ac:dyDescent="0.2">
      <c r="A1314" s="87"/>
      <c r="B1314" s="56" t="s">
        <v>22</v>
      </c>
      <c r="C1314" s="90"/>
      <c r="D1314" s="57"/>
      <c r="E1314" s="57">
        <v>2.44</v>
      </c>
      <c r="F1314" s="57">
        <v>3.254</v>
      </c>
      <c r="G1314" s="57">
        <v>5.1219999999999999</v>
      </c>
      <c r="H1314" s="57">
        <v>0.17578365000000001</v>
      </c>
      <c r="I1314" s="57">
        <v>0</v>
      </c>
      <c r="J1314" s="49" t="e">
        <v>#DIV/0!</v>
      </c>
    </row>
    <row r="1315" spans="1:10" x14ac:dyDescent="0.2">
      <c r="A1315" s="91" t="s">
        <v>13</v>
      </c>
      <c r="B1315" s="53" t="s">
        <v>20</v>
      </c>
      <c r="C1315" s="92">
        <v>10</v>
      </c>
      <c r="D1315" s="48"/>
      <c r="E1315" s="48"/>
      <c r="F1315" s="48"/>
      <c r="G1315" s="48"/>
      <c r="H1315" s="48" t="e">
        <v>#DIV/0!</v>
      </c>
      <c r="I1315" s="48" t="e">
        <v>#DIV/0!</v>
      </c>
      <c r="J1315" s="52" t="e">
        <v>#DIV/0!</v>
      </c>
    </row>
    <row r="1316" spans="1:10" x14ac:dyDescent="0.2">
      <c r="A1316" s="85"/>
      <c r="B1316" s="53" t="s">
        <v>21</v>
      </c>
      <c r="C1316" s="89"/>
      <c r="D1316" s="48"/>
      <c r="E1316" s="48"/>
      <c r="F1316" s="48"/>
      <c r="G1316" s="48"/>
      <c r="H1316" s="48" t="e">
        <v>#DIV/0!</v>
      </c>
      <c r="I1316" s="48" t="e">
        <v>#DIV/0!</v>
      </c>
      <c r="J1316" s="52" t="e">
        <v>#DIV/0!</v>
      </c>
    </row>
    <row r="1317" spans="1:10" x14ac:dyDescent="0.2">
      <c r="A1317" s="87"/>
      <c r="B1317" s="56" t="s">
        <v>22</v>
      </c>
      <c r="C1317" s="90"/>
      <c r="D1317" s="57"/>
      <c r="E1317" s="57"/>
      <c r="F1317" s="57"/>
      <c r="G1317" s="57"/>
      <c r="H1317" s="57" t="e">
        <v>#DIV/0!</v>
      </c>
      <c r="I1317" s="57" t="e">
        <v>#DIV/0!</v>
      </c>
      <c r="J1317" s="49" t="e">
        <v>#DIV/0!</v>
      </c>
    </row>
    <row r="1318" spans="1:10" x14ac:dyDescent="0.2">
      <c r="A1318" s="91" t="s">
        <v>14</v>
      </c>
      <c r="B1318" s="53" t="s">
        <v>20</v>
      </c>
      <c r="C1318" s="92">
        <v>10</v>
      </c>
      <c r="D1318" s="48"/>
      <c r="E1318" s="48"/>
      <c r="F1318" s="48"/>
      <c r="G1318" s="48"/>
      <c r="H1318" s="48" t="e">
        <v>#DIV/0!</v>
      </c>
      <c r="I1318" s="48" t="e">
        <v>#DIV/0!</v>
      </c>
      <c r="J1318" s="52" t="e">
        <v>#DIV/0!</v>
      </c>
    </row>
    <row r="1319" spans="1:10" x14ac:dyDescent="0.2">
      <c r="A1319" s="85"/>
      <c r="B1319" s="53" t="s">
        <v>21</v>
      </c>
      <c r="C1319" s="89"/>
      <c r="D1319" s="48"/>
      <c r="E1319" s="48"/>
      <c r="F1319" s="48"/>
      <c r="G1319" s="48"/>
      <c r="H1319" s="48" t="e">
        <v>#DIV/0!</v>
      </c>
      <c r="I1319" s="48" t="e">
        <v>#DIV/0!</v>
      </c>
      <c r="J1319" s="52" t="e">
        <v>#DIV/0!</v>
      </c>
    </row>
    <row r="1320" spans="1:10" ht="16" thickBot="1" x14ac:dyDescent="0.25">
      <c r="A1320" s="93"/>
      <c r="B1320" s="58" t="s">
        <v>22</v>
      </c>
      <c r="C1320" s="94"/>
      <c r="D1320" s="59"/>
      <c r="E1320" s="59"/>
      <c r="F1320" s="59"/>
      <c r="G1320" s="59"/>
      <c r="H1320" s="59" t="e">
        <v>#DIV/0!</v>
      </c>
      <c r="I1320" s="59" t="e">
        <v>#DIV/0!</v>
      </c>
      <c r="J1320" s="50" t="e">
        <v>#DIV/0!</v>
      </c>
    </row>
    <row r="1321" spans="1:10" ht="16" thickBot="1" x14ac:dyDescent="0.25">
      <c r="A1321" s="60" t="s">
        <v>1</v>
      </c>
      <c r="B1321" s="61"/>
      <c r="C1321" s="62"/>
      <c r="D1321" s="63" t="s">
        <v>49</v>
      </c>
      <c r="E1321" s="64"/>
      <c r="F1321" s="58" t="s">
        <v>0</v>
      </c>
      <c r="G1321" s="18">
        <v>44156</v>
      </c>
      <c r="H1321" s="65" t="s">
        <v>24</v>
      </c>
      <c r="I1321" s="66"/>
      <c r="J1321" s="49">
        <v>110</v>
      </c>
    </row>
    <row r="1322" spans="1:10" ht="16" thickBot="1" x14ac:dyDescent="0.25">
      <c r="A1322" s="67" t="s">
        <v>2</v>
      </c>
      <c r="B1322" s="68"/>
      <c r="C1322" s="69"/>
      <c r="D1322" s="70"/>
      <c r="E1322" s="71"/>
      <c r="F1322" s="72"/>
      <c r="G1322" s="73"/>
      <c r="H1322" s="74" t="s">
        <v>25</v>
      </c>
      <c r="I1322" s="75"/>
      <c r="J1322" s="49">
        <v>25</v>
      </c>
    </row>
    <row r="1323" spans="1:10" ht="16" thickBot="1" x14ac:dyDescent="0.25">
      <c r="A1323" s="76" t="s">
        <v>27</v>
      </c>
      <c r="B1323" s="77"/>
      <c r="C1323" s="78"/>
      <c r="D1323" s="79" t="s">
        <v>33</v>
      </c>
      <c r="E1323" s="80"/>
      <c r="F1323" s="48" t="s">
        <v>30</v>
      </c>
      <c r="G1323" s="48">
        <v>3.81</v>
      </c>
      <c r="H1323" s="81" t="s">
        <v>26</v>
      </c>
      <c r="I1323" s="82"/>
      <c r="J1323" s="50">
        <v>40</v>
      </c>
    </row>
    <row r="1324" spans="1:10" x14ac:dyDescent="0.2">
      <c r="A1324" s="83"/>
      <c r="B1324" s="84"/>
      <c r="C1324" s="51" t="s">
        <v>29</v>
      </c>
      <c r="D1324" s="51" t="s">
        <v>19</v>
      </c>
      <c r="E1324" s="51" t="s">
        <v>15</v>
      </c>
      <c r="F1324" s="51" t="s">
        <v>18</v>
      </c>
      <c r="G1324" s="51" t="s">
        <v>17</v>
      </c>
      <c r="H1324" s="48" t="s">
        <v>28</v>
      </c>
      <c r="I1324" s="48" t="s">
        <v>16</v>
      </c>
      <c r="J1324" s="52" t="s">
        <v>23</v>
      </c>
    </row>
    <row r="1325" spans="1:10" x14ac:dyDescent="0.2">
      <c r="A1325" s="86" t="s">
        <v>3</v>
      </c>
      <c r="B1325" s="53" t="s">
        <v>20</v>
      </c>
      <c r="C1325" s="88">
        <v>10</v>
      </c>
      <c r="D1325" s="54">
        <v>2.4380000000000002</v>
      </c>
      <c r="E1325" s="54">
        <v>3.161</v>
      </c>
      <c r="F1325" s="54">
        <v>4.8550000000000004</v>
      </c>
      <c r="G1325" s="54"/>
      <c r="H1325" s="54">
        <v>1.6510813600000001</v>
      </c>
      <c r="I1325" s="54">
        <v>-1.5873363540000001</v>
      </c>
      <c r="J1325" s="55">
        <v>-3.4807200000000001E-3</v>
      </c>
    </row>
    <row r="1326" spans="1:10" x14ac:dyDescent="0.2">
      <c r="A1326" s="85"/>
      <c r="B1326" s="53" t="s">
        <v>21</v>
      </c>
      <c r="C1326" s="89"/>
      <c r="D1326" s="48">
        <v>2.4300000000000002</v>
      </c>
      <c r="E1326" s="48">
        <v>3.367</v>
      </c>
      <c r="F1326" s="48">
        <v>5.0199999999999996</v>
      </c>
      <c r="G1326" s="48"/>
      <c r="H1326" s="48">
        <v>1.6707171300000001</v>
      </c>
      <c r="I1326" s="48">
        <v>-1.6298426290000001</v>
      </c>
      <c r="J1326" s="52" t="e">
        <v>#DIV/0!</v>
      </c>
    </row>
    <row r="1327" spans="1:10" x14ac:dyDescent="0.2">
      <c r="A1327" s="87"/>
      <c r="B1327" s="56" t="s">
        <v>22</v>
      </c>
      <c r="C1327" s="90"/>
      <c r="D1327" s="57">
        <v>2.4430000000000001</v>
      </c>
      <c r="E1327" s="57">
        <v>3.3220000000000001</v>
      </c>
      <c r="F1327" s="57">
        <v>5.03</v>
      </c>
      <c r="G1327" s="57"/>
      <c r="H1327" s="57">
        <v>1.6604373800000001</v>
      </c>
      <c r="I1327" s="57">
        <v>-1.6134485089999999</v>
      </c>
      <c r="J1327" s="49" t="e">
        <v>#DIV/0!</v>
      </c>
    </row>
    <row r="1328" spans="1:10" x14ac:dyDescent="0.2">
      <c r="A1328" s="91" t="s">
        <v>4</v>
      </c>
      <c r="B1328" s="53" t="s">
        <v>20</v>
      </c>
      <c r="C1328" s="92">
        <v>10</v>
      </c>
      <c r="D1328" s="48">
        <v>2.468</v>
      </c>
      <c r="E1328" s="48">
        <v>3.7029999999999998</v>
      </c>
      <c r="F1328" s="48">
        <v>5.4409999999999998</v>
      </c>
      <c r="G1328" s="48"/>
      <c r="H1328" s="48">
        <v>1.68057342</v>
      </c>
      <c r="I1328" s="48">
        <v>-1.67965521</v>
      </c>
      <c r="J1328" s="52">
        <v>-3.6831580000000002E-3</v>
      </c>
    </row>
    <row r="1329" spans="1:10" x14ac:dyDescent="0.2">
      <c r="A1329" s="85"/>
      <c r="B1329" s="53" t="s">
        <v>21</v>
      </c>
      <c r="C1329" s="89"/>
      <c r="D1329" s="48">
        <v>2.4329999999999998</v>
      </c>
      <c r="E1329" s="48">
        <v>3.3479999999999999</v>
      </c>
      <c r="F1329" s="48">
        <v>5.1109999999999998</v>
      </c>
      <c r="G1329" s="48"/>
      <c r="H1329" s="48">
        <v>1.6550577200000001</v>
      </c>
      <c r="I1329" s="48">
        <v>-1.593755429</v>
      </c>
      <c r="J1329" s="52" t="e">
        <v>#DIV/0!</v>
      </c>
    </row>
    <row r="1330" spans="1:10" x14ac:dyDescent="0.2">
      <c r="A1330" s="87"/>
      <c r="B1330" s="56" t="s">
        <v>22</v>
      </c>
      <c r="C1330" s="90"/>
      <c r="D1330" s="57">
        <v>2.4489999999999998</v>
      </c>
      <c r="E1330" s="57">
        <v>3.4790000000000001</v>
      </c>
      <c r="F1330" s="57">
        <v>5.2409999999999997</v>
      </c>
      <c r="G1330" s="57"/>
      <c r="H1330" s="57">
        <v>1.6638046200000001</v>
      </c>
      <c r="I1330" s="57">
        <v>-1.625657508</v>
      </c>
      <c r="J1330" s="49" t="e">
        <v>#DIV/0!</v>
      </c>
    </row>
    <row r="1331" spans="1:10" x14ac:dyDescent="0.2">
      <c r="A1331" s="91" t="s">
        <v>5</v>
      </c>
      <c r="B1331" s="53" t="s">
        <v>20</v>
      </c>
      <c r="C1331" s="92">
        <v>10</v>
      </c>
      <c r="D1331" s="48">
        <v>2.4620000000000002</v>
      </c>
      <c r="E1331" s="48">
        <v>3.383</v>
      </c>
      <c r="F1331" s="48">
        <v>5.2519999999999998</v>
      </c>
      <c r="G1331" s="48"/>
      <c r="H1331" s="48">
        <v>1.64413557</v>
      </c>
      <c r="I1331" s="48">
        <v>-1.5858617669999999</v>
      </c>
      <c r="J1331" s="52">
        <v>-3.477487E-3</v>
      </c>
    </row>
    <row r="1332" spans="1:10" x14ac:dyDescent="0.2">
      <c r="A1332" s="85"/>
      <c r="B1332" s="53" t="s">
        <v>21</v>
      </c>
      <c r="C1332" s="89"/>
      <c r="D1332" s="48">
        <v>2.448</v>
      </c>
      <c r="E1332" s="48">
        <v>3.121</v>
      </c>
      <c r="F1332" s="48">
        <v>5.0979999999999999</v>
      </c>
      <c r="G1332" s="48"/>
      <c r="H1332" s="48">
        <v>1.61220086</v>
      </c>
      <c r="I1332" s="48">
        <v>-1.4986677129999999</v>
      </c>
      <c r="J1332" s="52" t="e">
        <v>#DIV/0!</v>
      </c>
    </row>
    <row r="1333" spans="1:10" x14ac:dyDescent="0.2">
      <c r="A1333" s="87"/>
      <c r="B1333" s="56" t="s">
        <v>22</v>
      </c>
      <c r="C1333" s="90"/>
      <c r="D1333" s="57">
        <v>2.4390000000000001</v>
      </c>
      <c r="E1333" s="57">
        <v>3.5830000000000002</v>
      </c>
      <c r="F1333" s="57">
        <v>5.4169999999999998</v>
      </c>
      <c r="G1333" s="57"/>
      <c r="H1333" s="57">
        <v>1.6614362199999999</v>
      </c>
      <c r="I1333" s="57">
        <v>-1.613242939</v>
      </c>
      <c r="J1333" s="49" t="e">
        <v>#DIV/0!</v>
      </c>
    </row>
    <row r="1334" spans="1:10" x14ac:dyDescent="0.2">
      <c r="A1334" s="91" t="s">
        <v>6</v>
      </c>
      <c r="B1334" s="53" t="s">
        <v>20</v>
      </c>
      <c r="C1334" s="92">
        <v>10</v>
      </c>
      <c r="D1334" s="48">
        <v>2.4260000000000002</v>
      </c>
      <c r="E1334" s="48">
        <v>3.2160000000000002</v>
      </c>
      <c r="F1334" s="48">
        <v>5.0919999999999996</v>
      </c>
      <c r="G1334" s="48"/>
      <c r="H1334" s="48">
        <v>1.63157895</v>
      </c>
      <c r="I1334" s="48">
        <v>-1.5322105260000001</v>
      </c>
      <c r="J1334" s="52">
        <v>-3.3598399999999998E-3</v>
      </c>
    </row>
    <row r="1335" spans="1:10" x14ac:dyDescent="0.2">
      <c r="A1335" s="85"/>
      <c r="B1335" s="53" t="s">
        <v>21</v>
      </c>
      <c r="C1335" s="89"/>
      <c r="D1335" s="48">
        <v>2.4329999999999998</v>
      </c>
      <c r="E1335" s="48">
        <v>3.0830000000000002</v>
      </c>
      <c r="F1335" s="48">
        <v>5.0570000000000004</v>
      </c>
      <c r="G1335" s="48"/>
      <c r="H1335" s="48">
        <v>1.6096499900000001</v>
      </c>
      <c r="I1335" s="48">
        <v>-1.483278426</v>
      </c>
      <c r="J1335" s="52" t="e">
        <v>#DIV/0!</v>
      </c>
    </row>
    <row r="1336" spans="1:10" x14ac:dyDescent="0.2">
      <c r="A1336" s="87"/>
      <c r="B1336" s="56" t="s">
        <v>22</v>
      </c>
      <c r="C1336" s="90"/>
      <c r="D1336" s="57">
        <v>2.4009999999999998</v>
      </c>
      <c r="E1336" s="57">
        <v>3.032</v>
      </c>
      <c r="F1336" s="57">
        <v>5.9649999999999999</v>
      </c>
      <c r="G1336" s="57"/>
      <c r="H1336" s="57">
        <v>1.5082984100000001</v>
      </c>
      <c r="I1336" s="57">
        <v>-1.220424476</v>
      </c>
      <c r="J1336" s="49" t="e">
        <v>#DIV/0!</v>
      </c>
    </row>
    <row r="1337" spans="1:10" x14ac:dyDescent="0.2">
      <c r="A1337" s="91" t="s">
        <v>7</v>
      </c>
      <c r="B1337" s="53" t="s">
        <v>20</v>
      </c>
      <c r="C1337" s="92">
        <v>10</v>
      </c>
      <c r="D1337" s="48">
        <v>2.4769999999999999</v>
      </c>
      <c r="E1337" s="48">
        <v>3.2370000000000001</v>
      </c>
      <c r="F1337" s="48">
        <v>5.0739999999999998</v>
      </c>
      <c r="G1337" s="48"/>
      <c r="H1337" s="48">
        <v>1.63795822</v>
      </c>
      <c r="I1337" s="48">
        <v>-1.580222507</v>
      </c>
      <c r="J1337" s="52">
        <v>-3.4651209999999998E-3</v>
      </c>
    </row>
    <row r="1338" spans="1:10" x14ac:dyDescent="0.2">
      <c r="A1338" s="85"/>
      <c r="B1338" s="53" t="s">
        <v>21</v>
      </c>
      <c r="C1338" s="89"/>
      <c r="D1338" s="48">
        <v>2.4689999999999999</v>
      </c>
      <c r="E1338" s="48">
        <v>3.19</v>
      </c>
      <c r="F1338" s="48">
        <v>5.0439999999999996</v>
      </c>
      <c r="G1338" s="48"/>
      <c r="H1338" s="48">
        <v>1.63243458</v>
      </c>
      <c r="I1338" s="48">
        <v>-1.5614809670000001</v>
      </c>
      <c r="J1338" s="52" t="e">
        <v>#DIV/0!</v>
      </c>
    </row>
    <row r="1339" spans="1:10" x14ac:dyDescent="0.2">
      <c r="A1339" s="87"/>
      <c r="B1339" s="56" t="s">
        <v>22</v>
      </c>
      <c r="C1339" s="90"/>
      <c r="D1339" s="57">
        <v>2.4350000000000001</v>
      </c>
      <c r="E1339" s="57">
        <v>3.177</v>
      </c>
      <c r="F1339" s="57">
        <v>5.0170000000000003</v>
      </c>
      <c r="G1339" s="57"/>
      <c r="H1339" s="57">
        <v>1.6332469599999999</v>
      </c>
      <c r="I1339" s="57">
        <v>-1.541956348</v>
      </c>
      <c r="J1339" s="49" t="e">
        <v>#DIV/0!</v>
      </c>
    </row>
    <row r="1340" spans="1:10" x14ac:dyDescent="0.2">
      <c r="A1340" s="91" t="s">
        <v>8</v>
      </c>
      <c r="B1340" s="53" t="s">
        <v>20</v>
      </c>
      <c r="C1340" s="92">
        <v>10</v>
      </c>
      <c r="D1340" s="48">
        <v>2.448</v>
      </c>
      <c r="E1340" s="48">
        <v>3.7949999999999999</v>
      </c>
      <c r="F1340" s="48">
        <v>5.5019999999999998</v>
      </c>
      <c r="G1340" s="48"/>
      <c r="H1340" s="48">
        <v>1.68974918</v>
      </c>
      <c r="I1340" s="48">
        <v>-1.6885059979999999</v>
      </c>
      <c r="J1340" s="52">
        <v>-3.702566E-3</v>
      </c>
    </row>
    <row r="1341" spans="1:10" x14ac:dyDescent="0.2">
      <c r="A1341" s="85"/>
      <c r="B1341" s="53" t="s">
        <v>21</v>
      </c>
      <c r="C1341" s="89"/>
      <c r="D1341" s="48">
        <v>2.4420000000000002</v>
      </c>
      <c r="E1341" s="48">
        <v>3.0350000000000001</v>
      </c>
      <c r="F1341" s="48">
        <v>4.907</v>
      </c>
      <c r="G1341" s="48"/>
      <c r="H1341" s="48">
        <v>1.61850418</v>
      </c>
      <c r="I1341" s="48">
        <v>-1.510387202</v>
      </c>
      <c r="J1341" s="52" t="e">
        <v>#DIV/0!</v>
      </c>
    </row>
    <row r="1342" spans="1:10" x14ac:dyDescent="0.2">
      <c r="A1342" s="87"/>
      <c r="B1342" s="56" t="s">
        <v>22</v>
      </c>
      <c r="C1342" s="90"/>
      <c r="D1342" s="57">
        <v>2.4359999999999999</v>
      </c>
      <c r="E1342" s="57">
        <v>3.0840000000000001</v>
      </c>
      <c r="F1342" s="57">
        <v>4.9530000000000003</v>
      </c>
      <c r="G1342" s="57"/>
      <c r="H1342" s="57">
        <v>1.62265294</v>
      </c>
      <c r="I1342" s="57">
        <v>-1.5167825559999999</v>
      </c>
      <c r="J1342" s="49" t="e">
        <v>#DIV/0!</v>
      </c>
    </row>
    <row r="1343" spans="1:10" x14ac:dyDescent="0.2">
      <c r="A1343" s="91" t="s">
        <v>9</v>
      </c>
      <c r="B1343" s="53" t="s">
        <v>20</v>
      </c>
      <c r="C1343" s="92">
        <v>10</v>
      </c>
      <c r="D1343" s="48">
        <v>2.4500000000000002</v>
      </c>
      <c r="E1343" s="48">
        <v>3.8490000000000002</v>
      </c>
      <c r="F1343" s="48">
        <v>5.6040000000000001</v>
      </c>
      <c r="G1343" s="48"/>
      <c r="H1343" s="48">
        <v>1.6868308400000001</v>
      </c>
      <c r="I1343" s="48">
        <v>-1.682735546</v>
      </c>
      <c r="J1343" s="52">
        <v>-3.6899120000000001E-3</v>
      </c>
    </row>
    <row r="1344" spans="1:10" x14ac:dyDescent="0.2">
      <c r="A1344" s="85"/>
      <c r="B1344" s="53" t="s">
        <v>21</v>
      </c>
      <c r="C1344" s="89"/>
      <c r="D1344" s="48">
        <v>2.4689999999999999</v>
      </c>
      <c r="E1344" s="48">
        <v>3.085</v>
      </c>
      <c r="F1344" s="48">
        <v>4.9630000000000001</v>
      </c>
      <c r="G1344" s="48"/>
      <c r="H1344" s="48">
        <v>1.62159984</v>
      </c>
      <c r="I1344" s="48">
        <v>-1.5347300020000001</v>
      </c>
      <c r="J1344" s="52" t="e">
        <v>#DIV/0!</v>
      </c>
    </row>
    <row r="1345" spans="1:10" x14ac:dyDescent="0.2">
      <c r="A1345" s="87"/>
      <c r="B1345" s="56" t="s">
        <v>22</v>
      </c>
      <c r="C1345" s="90"/>
      <c r="D1345" s="57">
        <v>2.4649999999999999</v>
      </c>
      <c r="E1345" s="57">
        <v>3.4580000000000002</v>
      </c>
      <c r="F1345" s="57">
        <v>5.3609999999999998</v>
      </c>
      <c r="G1345" s="57"/>
      <c r="H1345" s="57">
        <v>1.64502891</v>
      </c>
      <c r="I1345" s="57">
        <v>-1.589996269</v>
      </c>
      <c r="J1345" s="49" t="e">
        <v>#DIV/0!</v>
      </c>
    </row>
    <row r="1346" spans="1:10" x14ac:dyDescent="0.2">
      <c r="A1346" s="91" t="s">
        <v>10</v>
      </c>
      <c r="B1346" s="53" t="s">
        <v>20</v>
      </c>
      <c r="C1346" s="92">
        <v>10</v>
      </c>
      <c r="D1346" s="48">
        <v>2.4409999999999998</v>
      </c>
      <c r="E1346" s="48">
        <v>3.1480000000000001</v>
      </c>
      <c r="F1346" s="48">
        <v>4.91</v>
      </c>
      <c r="G1346" s="48"/>
      <c r="H1346" s="48">
        <v>1.6411405299999999</v>
      </c>
      <c r="I1346" s="48">
        <v>-1.565024033</v>
      </c>
      <c r="J1346" s="52">
        <v>-3.4317940000000002E-3</v>
      </c>
    </row>
    <row r="1347" spans="1:10" x14ac:dyDescent="0.2">
      <c r="A1347" s="85"/>
      <c r="B1347" s="53" t="s">
        <v>21</v>
      </c>
      <c r="C1347" s="89"/>
      <c r="D1347" s="48">
        <v>2.44</v>
      </c>
      <c r="E1347" s="48">
        <v>3.097</v>
      </c>
      <c r="F1347" s="48">
        <v>4.8899999999999997</v>
      </c>
      <c r="G1347" s="48"/>
      <c r="H1347" s="48">
        <v>1.6333333299999999</v>
      </c>
      <c r="I1347" s="48">
        <v>-1.5453333330000001</v>
      </c>
      <c r="J1347" s="52" t="e">
        <v>#DIV/0!</v>
      </c>
    </row>
    <row r="1348" spans="1:10" x14ac:dyDescent="0.2">
      <c r="A1348" s="87"/>
      <c r="B1348" s="56" t="s">
        <v>22</v>
      </c>
      <c r="C1348" s="90"/>
      <c r="D1348" s="57">
        <v>2.4390000000000001</v>
      </c>
      <c r="E1348" s="57">
        <v>3.0070000000000001</v>
      </c>
      <c r="F1348" s="57">
        <v>4.8029999999999999</v>
      </c>
      <c r="G1348" s="57"/>
      <c r="H1348" s="57">
        <v>1.6260670399999999</v>
      </c>
      <c r="I1348" s="57">
        <v>-1.5269775139999999</v>
      </c>
      <c r="J1348" s="49" t="e">
        <v>#DIV/0!</v>
      </c>
    </row>
    <row r="1349" spans="1:10" x14ac:dyDescent="0.2">
      <c r="A1349" s="91" t="s">
        <v>11</v>
      </c>
      <c r="B1349" s="53" t="s">
        <v>20</v>
      </c>
      <c r="C1349" s="92">
        <v>10</v>
      </c>
      <c r="D1349" s="48">
        <v>2.4039999999999999</v>
      </c>
      <c r="E1349" s="48">
        <v>3.6389999999999998</v>
      </c>
      <c r="F1349" s="48">
        <v>5.4379999999999997</v>
      </c>
      <c r="G1349" s="48"/>
      <c r="H1349" s="48">
        <v>1.6691798499999999</v>
      </c>
      <c r="I1349" s="48">
        <v>-1.608708349</v>
      </c>
      <c r="J1349" s="52">
        <v>-3.5275850000000002E-3</v>
      </c>
    </row>
    <row r="1350" spans="1:10" x14ac:dyDescent="0.2">
      <c r="A1350" s="85"/>
      <c r="B1350" s="53" t="s">
        <v>21</v>
      </c>
      <c r="C1350" s="89"/>
      <c r="D1350" s="48">
        <v>2.4889999999999999</v>
      </c>
      <c r="E1350" s="48">
        <v>3.4710000000000001</v>
      </c>
      <c r="F1350" s="48">
        <v>5.2750000000000004</v>
      </c>
      <c r="G1350" s="48"/>
      <c r="H1350" s="48">
        <v>1.65800948</v>
      </c>
      <c r="I1350" s="48">
        <v>-1.637785592</v>
      </c>
      <c r="J1350" s="52" t="e">
        <v>#DIV/0!</v>
      </c>
    </row>
    <row r="1351" spans="1:10" x14ac:dyDescent="0.2">
      <c r="A1351" s="87"/>
      <c r="B1351" s="56" t="s">
        <v>22</v>
      </c>
      <c r="C1351" s="90"/>
      <c r="D1351" s="57">
        <v>2.415</v>
      </c>
      <c r="E1351" s="57">
        <v>3.101</v>
      </c>
      <c r="F1351" s="57">
        <v>4.9489999999999998</v>
      </c>
      <c r="G1351" s="57"/>
      <c r="H1351" s="57">
        <v>1.6265912300000001</v>
      </c>
      <c r="I1351" s="57">
        <v>-1.5132178220000001</v>
      </c>
      <c r="J1351" s="49" t="e">
        <v>#DIV/0!</v>
      </c>
    </row>
    <row r="1352" spans="1:10" x14ac:dyDescent="0.2">
      <c r="A1352" s="91" t="s">
        <v>12</v>
      </c>
      <c r="B1352" s="53" t="s">
        <v>20</v>
      </c>
      <c r="C1352" s="92">
        <v>10</v>
      </c>
      <c r="D1352" s="48">
        <v>2.456</v>
      </c>
      <c r="E1352" s="48">
        <v>3.3969999999999998</v>
      </c>
      <c r="F1352" s="48">
        <v>5.2240000000000002</v>
      </c>
      <c r="G1352" s="48"/>
      <c r="H1352" s="48">
        <v>1.6502679899999999</v>
      </c>
      <c r="I1352" s="48">
        <v>-1.5970581930000001</v>
      </c>
      <c r="J1352" s="52">
        <v>-3.5020390000000002E-3</v>
      </c>
    </row>
    <row r="1353" spans="1:10" x14ac:dyDescent="0.2">
      <c r="A1353" s="85"/>
      <c r="B1353" s="53" t="s">
        <v>21</v>
      </c>
      <c r="C1353" s="89"/>
      <c r="D1353" s="48">
        <v>2.4590000000000001</v>
      </c>
      <c r="E1353" s="48">
        <v>3.0790000000000002</v>
      </c>
      <c r="F1353" s="48">
        <v>4.9800000000000004</v>
      </c>
      <c r="G1353" s="48"/>
      <c r="H1353" s="48">
        <v>1.61827309</v>
      </c>
      <c r="I1353" s="48">
        <v>-1.5203335339999999</v>
      </c>
      <c r="J1353" s="52" t="e">
        <v>#DIV/0!</v>
      </c>
    </row>
    <row r="1354" spans="1:10" x14ac:dyDescent="0.2">
      <c r="A1354" s="87"/>
      <c r="B1354" s="56" t="s">
        <v>22</v>
      </c>
      <c r="C1354" s="90"/>
      <c r="D1354" s="57">
        <v>2.4300000000000002</v>
      </c>
      <c r="E1354" s="57">
        <v>3.3679999999999999</v>
      </c>
      <c r="F1354" s="57">
        <v>5.2030000000000003</v>
      </c>
      <c r="G1354" s="57"/>
      <c r="H1354" s="57">
        <v>1.64731885</v>
      </c>
      <c r="I1354" s="57">
        <v>-1.572984816</v>
      </c>
      <c r="J1354" s="49" t="e">
        <v>#DIV/0!</v>
      </c>
    </row>
    <row r="1355" spans="1:10" x14ac:dyDescent="0.2">
      <c r="A1355" s="91" t="s">
        <v>13</v>
      </c>
      <c r="B1355" s="53" t="s">
        <v>20</v>
      </c>
      <c r="C1355" s="92">
        <v>10</v>
      </c>
      <c r="D1355" s="48">
        <v>2.4060000000000001</v>
      </c>
      <c r="E1355" s="48">
        <v>3.7109999999999999</v>
      </c>
      <c r="F1355" s="48">
        <v>3.4809999999999999</v>
      </c>
      <c r="G1355" s="48"/>
      <c r="H1355" s="48">
        <v>2.06607297</v>
      </c>
      <c r="I1355" s="48">
        <v>-2.56497156</v>
      </c>
      <c r="J1355" s="52">
        <v>-5.6244850000000002E-3</v>
      </c>
    </row>
    <row r="1356" spans="1:10" x14ac:dyDescent="0.2">
      <c r="A1356" s="85"/>
      <c r="B1356" s="53" t="s">
        <v>21</v>
      </c>
      <c r="C1356" s="89"/>
      <c r="D1356" s="48">
        <v>2.4300000000000002</v>
      </c>
      <c r="E1356" s="48">
        <v>3.1320000000000001</v>
      </c>
      <c r="F1356" s="48">
        <v>4.7539999999999996</v>
      </c>
      <c r="G1356" s="48"/>
      <c r="H1356" s="48">
        <v>1.65881363</v>
      </c>
      <c r="I1356" s="48">
        <v>-1.600917122</v>
      </c>
      <c r="J1356" s="52" t="e">
        <v>#DIV/0!</v>
      </c>
    </row>
    <row r="1357" spans="1:10" x14ac:dyDescent="0.2">
      <c r="A1357" s="87"/>
      <c r="B1357" s="56" t="s">
        <v>22</v>
      </c>
      <c r="C1357" s="90"/>
      <c r="D1357" s="57">
        <v>2.4049999999999998</v>
      </c>
      <c r="E1357" s="57">
        <v>3.0670000000000002</v>
      </c>
      <c r="F1357" s="57">
        <v>4.78</v>
      </c>
      <c r="G1357" s="57"/>
      <c r="H1357" s="57">
        <v>1.6416318000000001</v>
      </c>
      <c r="I1357" s="57">
        <v>-1.5431244770000001</v>
      </c>
      <c r="J1357" s="49" t="e">
        <v>#DIV/0!</v>
      </c>
    </row>
    <row r="1358" spans="1:10" x14ac:dyDescent="0.2">
      <c r="A1358" s="91" t="s">
        <v>14</v>
      </c>
      <c r="B1358" s="53" t="s">
        <v>20</v>
      </c>
      <c r="C1358" s="92">
        <v>10</v>
      </c>
      <c r="D1358" s="48"/>
      <c r="E1358" s="48"/>
      <c r="F1358" s="48"/>
      <c r="G1358" s="48"/>
      <c r="H1358" s="48" t="e">
        <v>#DIV/0!</v>
      </c>
      <c r="I1358" s="48" t="e">
        <v>#DIV/0!</v>
      </c>
      <c r="J1358" s="52" t="e">
        <v>#DIV/0!</v>
      </c>
    </row>
    <row r="1359" spans="1:10" x14ac:dyDescent="0.2">
      <c r="A1359" s="85"/>
      <c r="B1359" s="53" t="s">
        <v>21</v>
      </c>
      <c r="C1359" s="89"/>
      <c r="D1359" s="48"/>
      <c r="E1359" s="48"/>
      <c r="F1359" s="48"/>
      <c r="G1359" s="48"/>
      <c r="H1359" s="48" t="e">
        <v>#DIV/0!</v>
      </c>
      <c r="I1359" s="48" t="e">
        <v>#DIV/0!</v>
      </c>
      <c r="J1359" s="52" t="e">
        <v>#DIV/0!</v>
      </c>
    </row>
    <row r="1360" spans="1:10" ht="16" thickBot="1" x14ac:dyDescent="0.25">
      <c r="A1360" s="93"/>
      <c r="B1360" s="58" t="s">
        <v>22</v>
      </c>
      <c r="C1360" s="94"/>
      <c r="D1360" s="59"/>
      <c r="E1360" s="59"/>
      <c r="F1360" s="59"/>
      <c r="G1360" s="59"/>
      <c r="H1360" s="59" t="e">
        <v>#DIV/0!</v>
      </c>
      <c r="I1360" s="59" t="e">
        <v>#DIV/0!</v>
      </c>
      <c r="J1360" s="50" t="e">
        <v>#DIV/0!</v>
      </c>
    </row>
    <row r="1361" spans="1:10" ht="16" thickBot="1" x14ac:dyDescent="0.25">
      <c r="A1361" s="60" t="s">
        <v>1</v>
      </c>
      <c r="B1361" s="61"/>
      <c r="C1361" s="62"/>
      <c r="D1361" s="63" t="s">
        <v>50</v>
      </c>
      <c r="E1361" s="64"/>
      <c r="F1361" s="58" t="s">
        <v>0</v>
      </c>
      <c r="G1361" s="18">
        <v>44157</v>
      </c>
      <c r="H1361" s="65" t="s">
        <v>24</v>
      </c>
      <c r="I1361" s="66"/>
      <c r="J1361" s="49">
        <v>90</v>
      </c>
    </row>
    <row r="1362" spans="1:10" ht="16" thickBot="1" x14ac:dyDescent="0.25">
      <c r="A1362" s="67" t="s">
        <v>2</v>
      </c>
      <c r="B1362" s="68"/>
      <c r="C1362" s="69"/>
      <c r="D1362" s="70"/>
      <c r="E1362" s="71"/>
      <c r="F1362" s="72"/>
      <c r="G1362" s="73"/>
      <c r="H1362" s="74" t="s">
        <v>25</v>
      </c>
      <c r="I1362" s="75"/>
      <c r="J1362" s="49">
        <v>30</v>
      </c>
    </row>
    <row r="1363" spans="1:10" ht="16" thickBot="1" x14ac:dyDescent="0.25">
      <c r="A1363" s="76" t="s">
        <v>27</v>
      </c>
      <c r="B1363" s="77"/>
      <c r="C1363" s="78"/>
      <c r="D1363" s="79" t="s">
        <v>36</v>
      </c>
      <c r="E1363" s="80"/>
      <c r="F1363" s="48" t="s">
        <v>30</v>
      </c>
      <c r="G1363" s="48">
        <v>3.81</v>
      </c>
      <c r="H1363" s="81" t="s">
        <v>26</v>
      </c>
      <c r="I1363" s="82"/>
      <c r="J1363" s="50">
        <v>50</v>
      </c>
    </row>
    <row r="1364" spans="1:10" x14ac:dyDescent="0.2">
      <c r="A1364" s="83"/>
      <c r="B1364" s="84"/>
      <c r="C1364" s="51" t="s">
        <v>29</v>
      </c>
      <c r="D1364" s="51" t="s">
        <v>19</v>
      </c>
      <c r="E1364" s="51" t="s">
        <v>15</v>
      </c>
      <c r="F1364" s="51" t="s">
        <v>18</v>
      </c>
      <c r="G1364" s="51" t="s">
        <v>17</v>
      </c>
      <c r="H1364" s="48" t="s">
        <v>28</v>
      </c>
      <c r="I1364" s="48" t="s">
        <v>16</v>
      </c>
      <c r="J1364" s="52" t="s">
        <v>23</v>
      </c>
    </row>
    <row r="1365" spans="1:10" x14ac:dyDescent="0.2">
      <c r="A1365" s="86" t="s">
        <v>3</v>
      </c>
      <c r="B1365" s="53" t="s">
        <v>20</v>
      </c>
      <c r="C1365" s="88">
        <v>10</v>
      </c>
      <c r="D1365" s="54"/>
      <c r="E1365" s="54">
        <v>2.4359999999999999</v>
      </c>
      <c r="F1365" s="54">
        <v>3.2120000000000002</v>
      </c>
      <c r="G1365" s="54">
        <v>5.2329999999999997</v>
      </c>
      <c r="H1365" s="54">
        <v>0.12920298999999999</v>
      </c>
      <c r="I1365" s="54">
        <v>0</v>
      </c>
      <c r="J1365" s="55">
        <v>0</v>
      </c>
    </row>
    <row r="1366" spans="1:10" x14ac:dyDescent="0.2">
      <c r="A1366" s="85"/>
      <c r="B1366" s="53" t="s">
        <v>21</v>
      </c>
      <c r="C1366" s="89"/>
      <c r="D1366" s="48">
        <v>444</v>
      </c>
      <c r="E1366" s="48">
        <v>2.2320000000000002</v>
      </c>
      <c r="F1366" s="48">
        <v>3.073</v>
      </c>
      <c r="G1366" s="48">
        <v>5.0549999999999997</v>
      </c>
      <c r="H1366" s="48">
        <v>8.1353729999999999E-2</v>
      </c>
      <c r="I1366" s="48">
        <v>407.87894569999997</v>
      </c>
      <c r="J1366" s="52" t="e">
        <v>#DIV/0!</v>
      </c>
    </row>
    <row r="1367" spans="1:10" x14ac:dyDescent="0.2">
      <c r="A1367" s="87"/>
      <c r="B1367" s="56" t="s">
        <v>22</v>
      </c>
      <c r="C1367" s="90"/>
      <c r="D1367" s="57"/>
      <c r="E1367" s="57">
        <v>2.4359999999999999</v>
      </c>
      <c r="F1367" s="57">
        <v>3.0209999999999999</v>
      </c>
      <c r="G1367" s="57">
        <v>5.0620000000000003</v>
      </c>
      <c r="H1367" s="57">
        <v>0.13075141000000001</v>
      </c>
      <c r="I1367" s="57">
        <v>0</v>
      </c>
      <c r="J1367" s="49" t="e">
        <v>#DIV/0!</v>
      </c>
    </row>
    <row r="1368" spans="1:10" x14ac:dyDescent="0.2">
      <c r="A1368" s="91" t="s">
        <v>4</v>
      </c>
      <c r="B1368" s="53" t="s">
        <v>20</v>
      </c>
      <c r="C1368" s="92">
        <v>10</v>
      </c>
      <c r="D1368" s="48"/>
      <c r="E1368" s="48">
        <v>2.4409999999999998</v>
      </c>
      <c r="F1368" s="48">
        <v>3.6219999999999999</v>
      </c>
      <c r="G1368" s="48">
        <v>5.5250000000000004</v>
      </c>
      <c r="H1368" s="48">
        <v>0.14853672000000001</v>
      </c>
      <c r="I1368" s="48">
        <v>0</v>
      </c>
      <c r="J1368" s="52">
        <v>0</v>
      </c>
    </row>
    <row r="1369" spans="1:10" x14ac:dyDescent="0.2">
      <c r="A1369" s="85"/>
      <c r="B1369" s="53" t="s">
        <v>21</v>
      </c>
      <c r="C1369" s="89"/>
      <c r="D1369" s="48">
        <v>688</v>
      </c>
      <c r="E1369" s="48">
        <v>2.4369999999999998</v>
      </c>
      <c r="F1369" s="48">
        <v>3.093</v>
      </c>
      <c r="G1369" s="48">
        <v>5.0869999999999997</v>
      </c>
      <c r="H1369" s="48">
        <v>0.14322663999999999</v>
      </c>
      <c r="I1369" s="48">
        <v>589.46007110000005</v>
      </c>
      <c r="J1369" s="52" t="e">
        <v>#DIV/0!</v>
      </c>
    </row>
    <row r="1370" spans="1:10" x14ac:dyDescent="0.2">
      <c r="A1370" s="87"/>
      <c r="B1370" s="56" t="s">
        <v>22</v>
      </c>
      <c r="C1370" s="90"/>
      <c r="D1370" s="57"/>
      <c r="E1370" s="57">
        <v>2.4470000000000001</v>
      </c>
      <c r="F1370" s="57">
        <v>3.0579999999999998</v>
      </c>
      <c r="G1370" s="57">
        <v>5.0030000000000001</v>
      </c>
      <c r="H1370" s="57">
        <v>0.16415958</v>
      </c>
      <c r="I1370" s="57">
        <v>0</v>
      </c>
      <c r="J1370" s="49" t="e">
        <v>#DIV/0!</v>
      </c>
    </row>
    <row r="1371" spans="1:10" x14ac:dyDescent="0.2">
      <c r="A1371" s="91" t="s">
        <v>5</v>
      </c>
      <c r="B1371" s="53" t="s">
        <v>20</v>
      </c>
      <c r="C1371" s="92">
        <v>10</v>
      </c>
      <c r="D1371" s="48"/>
      <c r="E1371" s="48">
        <v>2.4470000000000001</v>
      </c>
      <c r="F1371" s="48">
        <v>3.5129999999999999</v>
      </c>
      <c r="G1371" s="48">
        <v>5.4729999999999999</v>
      </c>
      <c r="H1371" s="48">
        <v>0.13862795</v>
      </c>
      <c r="I1371" s="48">
        <v>0</v>
      </c>
      <c r="J1371" s="52">
        <v>0</v>
      </c>
    </row>
    <row r="1372" spans="1:10" x14ac:dyDescent="0.2">
      <c r="A1372" s="85"/>
      <c r="B1372" s="53" t="s">
        <v>21</v>
      </c>
      <c r="C1372" s="89"/>
      <c r="D1372" s="48">
        <v>706</v>
      </c>
      <c r="E1372" s="48">
        <v>2.4609999999999999</v>
      </c>
      <c r="F1372" s="48">
        <v>3.5939999999999999</v>
      </c>
      <c r="G1372" s="48">
        <v>5.6449999999999996</v>
      </c>
      <c r="H1372" s="48">
        <v>0.11407902</v>
      </c>
      <c r="I1372" s="48">
        <v>625.46021150000001</v>
      </c>
      <c r="J1372" s="52" t="e">
        <v>#DIV/0!</v>
      </c>
    </row>
    <row r="1373" spans="1:10" x14ac:dyDescent="0.2">
      <c r="A1373" s="87"/>
      <c r="B1373" s="56" t="s">
        <v>22</v>
      </c>
      <c r="C1373" s="90"/>
      <c r="D1373" s="57"/>
      <c r="E1373" s="57">
        <v>2.4260000000000002</v>
      </c>
      <c r="F1373" s="57">
        <v>3.0630000000000002</v>
      </c>
      <c r="G1373" s="57">
        <v>5.077</v>
      </c>
      <c r="H1373" s="57">
        <v>0.13450865000000001</v>
      </c>
      <c r="I1373" s="57">
        <v>0</v>
      </c>
      <c r="J1373" s="49" t="e">
        <v>#DIV/0!</v>
      </c>
    </row>
    <row r="1374" spans="1:10" x14ac:dyDescent="0.2">
      <c r="A1374" s="91" t="s">
        <v>6</v>
      </c>
      <c r="B1374" s="53" t="s">
        <v>20</v>
      </c>
      <c r="C1374" s="92">
        <v>10</v>
      </c>
      <c r="D1374" s="48"/>
      <c r="E1374" s="48">
        <v>2.4609999999999999</v>
      </c>
      <c r="F1374" s="48">
        <v>3.3279999999999998</v>
      </c>
      <c r="G1374" s="48">
        <v>5.4969999999999999</v>
      </c>
      <c r="H1374" s="48">
        <v>8.7740380000000007E-2</v>
      </c>
      <c r="I1374" s="48">
        <v>0</v>
      </c>
      <c r="J1374" s="52">
        <v>0</v>
      </c>
    </row>
    <row r="1375" spans="1:10" x14ac:dyDescent="0.2">
      <c r="A1375" s="85"/>
      <c r="B1375" s="53" t="s">
        <v>21</v>
      </c>
      <c r="C1375" s="89"/>
      <c r="D1375" s="48">
        <v>797</v>
      </c>
      <c r="E1375" s="48">
        <v>2.4780000000000002</v>
      </c>
      <c r="F1375" s="48">
        <v>3.1890000000000001</v>
      </c>
      <c r="G1375" s="48">
        <v>5.3540000000000001</v>
      </c>
      <c r="H1375" s="48">
        <v>9.8149890000000004E-2</v>
      </c>
      <c r="I1375" s="48">
        <v>718.77453749999995</v>
      </c>
      <c r="J1375" s="52" t="e">
        <v>#DIV/0!</v>
      </c>
    </row>
    <row r="1376" spans="1:10" x14ac:dyDescent="0.2">
      <c r="A1376" s="87"/>
      <c r="B1376" s="56" t="s">
        <v>22</v>
      </c>
      <c r="C1376" s="90"/>
      <c r="D1376" s="57"/>
      <c r="E1376" s="57">
        <v>2.4500000000000002</v>
      </c>
      <c r="F1376" s="57">
        <v>3.2559999999999998</v>
      </c>
      <c r="G1376" s="57">
        <v>5.38</v>
      </c>
      <c r="H1376" s="57">
        <v>0.10012285</v>
      </c>
      <c r="I1376" s="57">
        <v>0</v>
      </c>
      <c r="J1376" s="49" t="e">
        <v>#DIV/0!</v>
      </c>
    </row>
    <row r="1377" spans="1:10" x14ac:dyDescent="0.2">
      <c r="A1377" s="91" t="s">
        <v>7</v>
      </c>
      <c r="B1377" s="53" t="s">
        <v>20</v>
      </c>
      <c r="C1377" s="92">
        <v>10</v>
      </c>
      <c r="D1377" s="48"/>
      <c r="E1377" s="48">
        <v>2.4119999999999999</v>
      </c>
      <c r="F1377" s="48">
        <v>3.7189999999999999</v>
      </c>
      <c r="G1377" s="48">
        <v>5.8529999999999998</v>
      </c>
      <c r="H1377" s="48">
        <v>7.4751280000000003E-2</v>
      </c>
      <c r="I1377" s="48">
        <v>0</v>
      </c>
      <c r="J1377" s="52">
        <v>0</v>
      </c>
    </row>
    <row r="1378" spans="1:10" x14ac:dyDescent="0.2">
      <c r="A1378" s="85"/>
      <c r="B1378" s="53" t="s">
        <v>21</v>
      </c>
      <c r="C1378" s="89"/>
      <c r="D1378" s="48">
        <v>859</v>
      </c>
      <c r="E1378" s="48">
        <v>2.4550000000000001</v>
      </c>
      <c r="F1378" s="48">
        <v>3.2650000000000001</v>
      </c>
      <c r="G1378" s="48">
        <v>5.4720000000000004</v>
      </c>
      <c r="H1378" s="48">
        <v>7.5957120000000003E-2</v>
      </c>
      <c r="I1378" s="48">
        <v>793.75283309999998</v>
      </c>
      <c r="J1378" s="52" t="e">
        <v>#DIV/0!</v>
      </c>
    </row>
    <row r="1379" spans="1:10" x14ac:dyDescent="0.2">
      <c r="A1379" s="87"/>
      <c r="B1379" s="56" t="s">
        <v>22</v>
      </c>
      <c r="C1379" s="90"/>
      <c r="D1379" s="57"/>
      <c r="E1379" s="57">
        <v>2.4289999999999998</v>
      </c>
      <c r="F1379" s="57">
        <v>3.4550000000000001</v>
      </c>
      <c r="G1379" s="57">
        <v>5.6230000000000002</v>
      </c>
      <c r="H1379" s="57">
        <v>7.5542689999999996E-2</v>
      </c>
      <c r="I1379" s="57">
        <v>0</v>
      </c>
      <c r="J1379" s="49" t="e">
        <v>#DIV/0!</v>
      </c>
    </row>
    <row r="1380" spans="1:10" x14ac:dyDescent="0.2">
      <c r="A1380" s="91" t="s">
        <v>8</v>
      </c>
      <c r="B1380" s="53" t="s">
        <v>20</v>
      </c>
      <c r="C1380" s="92">
        <v>10</v>
      </c>
      <c r="D1380" s="48"/>
      <c r="E1380" s="48">
        <v>2.4390000000000001</v>
      </c>
      <c r="F1380" s="48">
        <v>3.0640000000000001</v>
      </c>
      <c r="G1380" s="48">
        <v>5.3380000000000001</v>
      </c>
      <c r="H1380" s="48">
        <v>5.3851169999999997E-2</v>
      </c>
      <c r="I1380" s="48">
        <v>0</v>
      </c>
      <c r="J1380" s="52">
        <v>0</v>
      </c>
    </row>
    <row r="1381" spans="1:10" x14ac:dyDescent="0.2">
      <c r="A1381" s="85"/>
      <c r="B1381" s="53" t="s">
        <v>21</v>
      </c>
      <c r="C1381" s="89"/>
      <c r="D1381" s="48">
        <v>718</v>
      </c>
      <c r="E1381" s="48">
        <v>2.4319999999999999</v>
      </c>
      <c r="F1381" s="48">
        <v>3.0089999999999999</v>
      </c>
      <c r="G1381" s="48">
        <v>5.2629999999999999</v>
      </c>
      <c r="H1381" s="48">
        <v>5.9155869999999999E-2</v>
      </c>
      <c r="I1381" s="48">
        <v>675.52608840000005</v>
      </c>
      <c r="J1381" s="52" t="e">
        <v>#DIV/0!</v>
      </c>
    </row>
    <row r="1382" spans="1:10" x14ac:dyDescent="0.2">
      <c r="A1382" s="87"/>
      <c r="B1382" s="56" t="s">
        <v>22</v>
      </c>
      <c r="C1382" s="90"/>
      <c r="D1382" s="57"/>
      <c r="E1382" s="57">
        <v>2.4279999999999999</v>
      </c>
      <c r="F1382" s="57">
        <v>3.1219999999999999</v>
      </c>
      <c r="G1382" s="57">
        <v>5.3680000000000003</v>
      </c>
      <c r="H1382" s="57">
        <v>5.8295960000000001E-2</v>
      </c>
      <c r="I1382" s="57">
        <v>0</v>
      </c>
      <c r="J1382" s="49" t="e">
        <v>#DIV/0!</v>
      </c>
    </row>
    <row r="1383" spans="1:10" x14ac:dyDescent="0.2">
      <c r="A1383" s="91" t="s">
        <v>9</v>
      </c>
      <c r="B1383" s="53" t="s">
        <v>20</v>
      </c>
      <c r="C1383" s="92">
        <v>10</v>
      </c>
      <c r="D1383" s="48"/>
      <c r="E1383" s="48">
        <v>2.4340000000000002</v>
      </c>
      <c r="F1383" s="48">
        <v>3.0659999999999998</v>
      </c>
      <c r="G1383" s="48">
        <v>5.298</v>
      </c>
      <c r="H1383" s="48">
        <v>6.5883890000000001E-2</v>
      </c>
      <c r="I1383" s="48">
        <v>0</v>
      </c>
      <c r="J1383" s="52">
        <v>0</v>
      </c>
    </row>
    <row r="1384" spans="1:10" x14ac:dyDescent="0.2">
      <c r="A1384" s="85"/>
      <c r="B1384" s="53" t="s">
        <v>21</v>
      </c>
      <c r="C1384" s="89"/>
      <c r="D1384" s="48">
        <v>837</v>
      </c>
      <c r="E1384" s="48">
        <v>2.4359999999999999</v>
      </c>
      <c r="F1384" s="48">
        <v>3.5329999999999999</v>
      </c>
      <c r="G1384" s="48">
        <v>5.7610000000000001</v>
      </c>
      <c r="H1384" s="48">
        <v>5.8873479999999999E-2</v>
      </c>
      <c r="I1384" s="48">
        <v>787.72289839999996</v>
      </c>
      <c r="J1384" s="52" t="e">
        <v>#DIV/0!</v>
      </c>
    </row>
    <row r="1385" spans="1:10" x14ac:dyDescent="0.2">
      <c r="A1385" s="87"/>
      <c r="B1385" s="56" t="s">
        <v>22</v>
      </c>
      <c r="C1385" s="90"/>
      <c r="D1385" s="57"/>
      <c r="E1385" s="57">
        <v>2.4409999999999998</v>
      </c>
      <c r="F1385" s="57">
        <v>3.0150000000000001</v>
      </c>
      <c r="G1385" s="57">
        <v>5.27</v>
      </c>
      <c r="H1385" s="57">
        <v>6.1691540000000003E-2</v>
      </c>
      <c r="I1385" s="57">
        <v>0</v>
      </c>
      <c r="J1385" s="49" t="e">
        <v>#DIV/0!</v>
      </c>
    </row>
    <row r="1386" spans="1:10" x14ac:dyDescent="0.2">
      <c r="A1386" s="91" t="s">
        <v>10</v>
      </c>
      <c r="B1386" s="53" t="s">
        <v>20</v>
      </c>
      <c r="C1386" s="92">
        <v>10</v>
      </c>
      <c r="D1386" s="48"/>
      <c r="E1386" s="48">
        <v>2.4279999999999999</v>
      </c>
      <c r="F1386" s="48">
        <v>3.0750000000000002</v>
      </c>
      <c r="G1386" s="48">
        <v>5.3079999999999998</v>
      </c>
      <c r="H1386" s="48">
        <v>6.341463E-2</v>
      </c>
      <c r="I1386" s="48">
        <v>0</v>
      </c>
      <c r="J1386" s="52">
        <v>0</v>
      </c>
    </row>
    <row r="1387" spans="1:10" x14ac:dyDescent="0.2">
      <c r="A1387" s="85"/>
      <c r="B1387" s="53" t="s">
        <v>21</v>
      </c>
      <c r="C1387" s="89"/>
      <c r="D1387" s="48">
        <v>967</v>
      </c>
      <c r="E1387" s="48">
        <v>2.4449999999999998</v>
      </c>
      <c r="F1387" s="48">
        <v>3.1549999999999998</v>
      </c>
      <c r="G1387" s="48">
        <v>5.3860000000000001</v>
      </c>
      <c r="H1387" s="48">
        <v>6.7828840000000001E-2</v>
      </c>
      <c r="I1387" s="48">
        <v>901.40950869999995</v>
      </c>
      <c r="J1387" s="52" t="e">
        <v>#DIV/0!</v>
      </c>
    </row>
    <row r="1388" spans="1:10" x14ac:dyDescent="0.2">
      <c r="A1388" s="87"/>
      <c r="B1388" s="56" t="s">
        <v>22</v>
      </c>
      <c r="C1388" s="90"/>
      <c r="D1388" s="57"/>
      <c r="E1388" s="57">
        <v>2.4529999999999998</v>
      </c>
      <c r="F1388" s="57">
        <v>3.3679999999999999</v>
      </c>
      <c r="G1388" s="57">
        <v>5.6020000000000003</v>
      </c>
      <c r="H1388" s="57">
        <v>6.5023750000000005E-2</v>
      </c>
      <c r="I1388" s="57">
        <v>0</v>
      </c>
      <c r="J1388" s="49" t="e">
        <v>#DIV/0!</v>
      </c>
    </row>
    <row r="1389" spans="1:10" x14ac:dyDescent="0.2">
      <c r="A1389" s="91" t="s">
        <v>11</v>
      </c>
      <c r="B1389" s="53" t="s">
        <v>20</v>
      </c>
      <c r="C1389" s="92">
        <v>10</v>
      </c>
      <c r="D1389" s="48"/>
      <c r="E1389" s="48">
        <v>2.4830000000000001</v>
      </c>
      <c r="F1389" s="48">
        <v>3.746</v>
      </c>
      <c r="G1389" s="48">
        <v>5.9749999999999996</v>
      </c>
      <c r="H1389" s="48">
        <v>6.7805660000000004E-2</v>
      </c>
      <c r="I1389" s="48">
        <v>0</v>
      </c>
      <c r="J1389" s="52">
        <v>0</v>
      </c>
    </row>
    <row r="1390" spans="1:10" x14ac:dyDescent="0.2">
      <c r="A1390" s="85"/>
      <c r="B1390" s="53" t="s">
        <v>21</v>
      </c>
      <c r="C1390" s="89"/>
      <c r="D1390" s="48">
        <v>743</v>
      </c>
      <c r="E1390" s="48">
        <v>2.4860000000000002</v>
      </c>
      <c r="F1390" s="48">
        <v>3.74</v>
      </c>
      <c r="G1390" s="48">
        <v>5.9790000000000001</v>
      </c>
      <c r="H1390" s="48">
        <v>6.6042779999999995E-2</v>
      </c>
      <c r="I1390" s="48">
        <v>693.93021390000001</v>
      </c>
      <c r="J1390" s="52" t="e">
        <v>#DIV/0!</v>
      </c>
    </row>
    <row r="1391" spans="1:10" x14ac:dyDescent="0.2">
      <c r="A1391" s="87"/>
      <c r="B1391" s="56" t="s">
        <v>22</v>
      </c>
      <c r="C1391" s="90"/>
      <c r="D1391" s="57"/>
      <c r="E1391" s="57">
        <v>2.4809999999999999</v>
      </c>
      <c r="F1391" s="57">
        <v>3.1850000000000001</v>
      </c>
      <c r="G1391" s="57">
        <v>5.4480000000000004</v>
      </c>
      <c r="H1391" s="57">
        <v>6.8445839999999994E-2</v>
      </c>
      <c r="I1391" s="57">
        <v>0</v>
      </c>
      <c r="J1391" s="49" t="e">
        <v>#DIV/0!</v>
      </c>
    </row>
    <row r="1392" spans="1:10" x14ac:dyDescent="0.2">
      <c r="A1392" s="91" t="s">
        <v>12</v>
      </c>
      <c r="B1392" s="53" t="s">
        <v>20</v>
      </c>
      <c r="C1392" s="92">
        <v>10</v>
      </c>
      <c r="D1392" s="48"/>
      <c r="E1392" s="48"/>
      <c r="F1392" s="48"/>
      <c r="G1392" s="48"/>
      <c r="H1392" s="48" t="e">
        <v>#DIV/0!</v>
      </c>
      <c r="I1392" s="48" t="e">
        <v>#DIV/0!</v>
      </c>
      <c r="J1392" s="52" t="e">
        <v>#DIV/0!</v>
      </c>
    </row>
    <row r="1393" spans="1:10" x14ac:dyDescent="0.2">
      <c r="A1393" s="85"/>
      <c r="B1393" s="53" t="s">
        <v>21</v>
      </c>
      <c r="C1393" s="89"/>
      <c r="D1393" s="48"/>
      <c r="E1393" s="48"/>
      <c r="F1393" s="48"/>
      <c r="G1393" s="48"/>
      <c r="H1393" s="48" t="e">
        <v>#DIV/0!</v>
      </c>
      <c r="I1393" s="48" t="e">
        <v>#DIV/0!</v>
      </c>
      <c r="J1393" s="52" t="e">
        <v>#DIV/0!</v>
      </c>
    </row>
    <row r="1394" spans="1:10" x14ac:dyDescent="0.2">
      <c r="A1394" s="87"/>
      <c r="B1394" s="56" t="s">
        <v>22</v>
      </c>
      <c r="C1394" s="90"/>
      <c r="D1394" s="57"/>
      <c r="E1394" s="57"/>
      <c r="F1394" s="57"/>
      <c r="G1394" s="57"/>
      <c r="H1394" s="57" t="e">
        <v>#DIV/0!</v>
      </c>
      <c r="I1394" s="57" t="e">
        <v>#DIV/0!</v>
      </c>
      <c r="J1394" s="49" t="e">
        <v>#DIV/0!</v>
      </c>
    </row>
    <row r="1395" spans="1:10" x14ac:dyDescent="0.2">
      <c r="A1395" s="91" t="s">
        <v>13</v>
      </c>
      <c r="B1395" s="53" t="s">
        <v>20</v>
      </c>
      <c r="C1395" s="92">
        <v>10</v>
      </c>
      <c r="D1395" s="48"/>
      <c r="E1395" s="48"/>
      <c r="F1395" s="48"/>
      <c r="G1395" s="48"/>
      <c r="H1395" s="48" t="e">
        <v>#DIV/0!</v>
      </c>
      <c r="I1395" s="48" t="e">
        <v>#DIV/0!</v>
      </c>
      <c r="J1395" s="52" t="e">
        <v>#DIV/0!</v>
      </c>
    </row>
    <row r="1396" spans="1:10" x14ac:dyDescent="0.2">
      <c r="A1396" s="85"/>
      <c r="B1396" s="53" t="s">
        <v>21</v>
      </c>
      <c r="C1396" s="89"/>
      <c r="D1396" s="48"/>
      <c r="E1396" s="48"/>
      <c r="F1396" s="48"/>
      <c r="G1396" s="48"/>
      <c r="H1396" s="48" t="e">
        <v>#DIV/0!</v>
      </c>
      <c r="I1396" s="48" t="e">
        <v>#DIV/0!</v>
      </c>
      <c r="J1396" s="52" t="e">
        <v>#DIV/0!</v>
      </c>
    </row>
    <row r="1397" spans="1:10" x14ac:dyDescent="0.2">
      <c r="A1397" s="87"/>
      <c r="B1397" s="56" t="s">
        <v>22</v>
      </c>
      <c r="C1397" s="90"/>
      <c r="D1397" s="57"/>
      <c r="E1397" s="57"/>
      <c r="F1397" s="57"/>
      <c r="G1397" s="57"/>
      <c r="H1397" s="57" t="e">
        <v>#DIV/0!</v>
      </c>
      <c r="I1397" s="57" t="e">
        <v>#DIV/0!</v>
      </c>
      <c r="J1397" s="49" t="e">
        <v>#DIV/0!</v>
      </c>
    </row>
    <row r="1398" spans="1:10" x14ac:dyDescent="0.2">
      <c r="A1398" s="91" t="s">
        <v>14</v>
      </c>
      <c r="B1398" s="53" t="s">
        <v>20</v>
      </c>
      <c r="C1398" s="92">
        <v>10</v>
      </c>
      <c r="D1398" s="48"/>
      <c r="E1398" s="48"/>
      <c r="F1398" s="48"/>
      <c r="G1398" s="48"/>
      <c r="H1398" s="48" t="e">
        <v>#DIV/0!</v>
      </c>
      <c r="I1398" s="48" t="e">
        <v>#DIV/0!</v>
      </c>
      <c r="J1398" s="52" t="e">
        <v>#DIV/0!</v>
      </c>
    </row>
    <row r="1399" spans="1:10" x14ac:dyDescent="0.2">
      <c r="A1399" s="85"/>
      <c r="B1399" s="53" t="s">
        <v>21</v>
      </c>
      <c r="C1399" s="89"/>
      <c r="D1399" s="48"/>
      <c r="E1399" s="48"/>
      <c r="F1399" s="48"/>
      <c r="G1399" s="48"/>
      <c r="H1399" s="48" t="e">
        <v>#DIV/0!</v>
      </c>
      <c r="I1399" s="48" t="e">
        <v>#DIV/0!</v>
      </c>
      <c r="J1399" s="52" t="e">
        <v>#DIV/0!</v>
      </c>
    </row>
    <row r="1400" spans="1:10" ht="16" thickBot="1" x14ac:dyDescent="0.25">
      <c r="A1400" s="93"/>
      <c r="B1400" s="58" t="s">
        <v>22</v>
      </c>
      <c r="C1400" s="94"/>
      <c r="D1400" s="59"/>
      <c r="E1400" s="59"/>
      <c r="F1400" s="59"/>
      <c r="G1400" s="59"/>
      <c r="H1400" s="59" t="e">
        <v>#DIV/0!</v>
      </c>
      <c r="I1400" s="59" t="e">
        <v>#DIV/0!</v>
      </c>
      <c r="J1400" s="50" t="e">
        <v>#DIV/0!</v>
      </c>
    </row>
    <row r="1401" spans="1:10" ht="16" thickBot="1" x14ac:dyDescent="0.25">
      <c r="A1401" s="60" t="s">
        <v>1</v>
      </c>
      <c r="B1401" s="61"/>
      <c r="C1401" s="62"/>
      <c r="D1401" s="63" t="s">
        <v>50</v>
      </c>
      <c r="E1401" s="64"/>
      <c r="F1401" s="58" t="s">
        <v>0</v>
      </c>
      <c r="G1401" s="18">
        <v>44157</v>
      </c>
      <c r="H1401" s="65" t="s">
        <v>24</v>
      </c>
      <c r="I1401" s="66"/>
      <c r="J1401" s="49">
        <v>80</v>
      </c>
    </row>
    <row r="1402" spans="1:10" ht="16" thickBot="1" x14ac:dyDescent="0.25">
      <c r="A1402" s="67" t="s">
        <v>2</v>
      </c>
      <c r="B1402" s="68"/>
      <c r="C1402" s="69"/>
      <c r="D1402" s="70"/>
      <c r="E1402" s="71"/>
      <c r="F1402" s="72"/>
      <c r="G1402" s="73"/>
      <c r="H1402" s="74" t="s">
        <v>25</v>
      </c>
      <c r="I1402" s="75"/>
      <c r="J1402" s="49">
        <v>30</v>
      </c>
    </row>
    <row r="1403" spans="1:10" ht="16" thickBot="1" x14ac:dyDescent="0.25">
      <c r="A1403" s="76" t="s">
        <v>27</v>
      </c>
      <c r="B1403" s="77"/>
      <c r="C1403" s="78"/>
      <c r="D1403" s="79" t="s">
        <v>32</v>
      </c>
      <c r="E1403" s="80"/>
      <c r="F1403" s="48" t="s">
        <v>30</v>
      </c>
      <c r="G1403" s="48">
        <v>3.81</v>
      </c>
      <c r="H1403" s="81" t="s">
        <v>26</v>
      </c>
      <c r="I1403" s="82"/>
      <c r="J1403" s="50">
        <v>60</v>
      </c>
    </row>
    <row r="1404" spans="1:10" x14ac:dyDescent="0.2">
      <c r="A1404" s="83"/>
      <c r="B1404" s="84"/>
      <c r="C1404" s="51" t="s">
        <v>29</v>
      </c>
      <c r="D1404" s="51" t="s">
        <v>19</v>
      </c>
      <c r="E1404" s="51" t="s">
        <v>15</v>
      </c>
      <c r="F1404" s="51" t="s">
        <v>18</v>
      </c>
      <c r="G1404" s="51" t="s">
        <v>17</v>
      </c>
      <c r="H1404" s="48" t="s">
        <v>28</v>
      </c>
      <c r="I1404" s="48" t="s">
        <v>16</v>
      </c>
      <c r="J1404" s="52" t="s">
        <v>23</v>
      </c>
    </row>
    <row r="1405" spans="1:10" x14ac:dyDescent="0.2">
      <c r="A1405" s="86" t="s">
        <v>3</v>
      </c>
      <c r="B1405" s="53" t="s">
        <v>20</v>
      </c>
      <c r="C1405" s="88">
        <v>10</v>
      </c>
      <c r="D1405" s="54"/>
      <c r="E1405" s="54">
        <v>2.4350000000000001</v>
      </c>
      <c r="F1405" s="54">
        <v>3.7160000000000002</v>
      </c>
      <c r="G1405" s="54">
        <v>5.5279999999999996</v>
      </c>
      <c r="H1405" s="54">
        <v>0.16765339000000001</v>
      </c>
      <c r="I1405" s="54">
        <v>0</v>
      </c>
      <c r="J1405" s="55">
        <v>0</v>
      </c>
    </row>
    <row r="1406" spans="1:10" x14ac:dyDescent="0.2">
      <c r="A1406" s="85"/>
      <c r="B1406" s="53" t="s">
        <v>21</v>
      </c>
      <c r="C1406" s="89"/>
      <c r="D1406" s="48">
        <v>535</v>
      </c>
      <c r="E1406" s="48">
        <v>2.4319999999999999</v>
      </c>
      <c r="F1406" s="48">
        <v>3.028</v>
      </c>
      <c r="G1406" s="48">
        <v>4.9649999999999999</v>
      </c>
      <c r="H1406" s="48">
        <v>0.16347423999999999</v>
      </c>
      <c r="I1406" s="48">
        <v>447.5412814</v>
      </c>
      <c r="J1406" s="52" t="e">
        <v>#DIV/0!</v>
      </c>
    </row>
    <row r="1407" spans="1:10" x14ac:dyDescent="0.2">
      <c r="A1407" s="87"/>
      <c r="B1407" s="56" t="s">
        <v>22</v>
      </c>
      <c r="C1407" s="90"/>
      <c r="D1407" s="57"/>
      <c r="E1407" s="57">
        <v>2.4300000000000002</v>
      </c>
      <c r="F1407" s="57">
        <v>3.5529999999999999</v>
      </c>
      <c r="G1407" s="57">
        <v>5.4249999999999998</v>
      </c>
      <c r="H1407" s="57">
        <v>0.15705037999999999</v>
      </c>
      <c r="I1407" s="57">
        <v>0</v>
      </c>
      <c r="J1407" s="49" t="e">
        <v>#DIV/0!</v>
      </c>
    </row>
    <row r="1408" spans="1:10" x14ac:dyDescent="0.2">
      <c r="A1408" s="91" t="s">
        <v>4</v>
      </c>
      <c r="B1408" s="53" t="s">
        <v>20</v>
      </c>
      <c r="C1408" s="92">
        <v>10</v>
      </c>
      <c r="D1408" s="48"/>
      <c r="E1408" s="48">
        <v>2.4289999999999998</v>
      </c>
      <c r="F1408" s="48">
        <v>3.073</v>
      </c>
      <c r="G1408" s="48">
        <v>5.0359999999999996</v>
      </c>
      <c r="H1408" s="48">
        <v>0.15164335000000001</v>
      </c>
      <c r="I1408" s="48">
        <v>0</v>
      </c>
      <c r="J1408" s="52">
        <v>0</v>
      </c>
    </row>
    <row r="1409" spans="1:10" x14ac:dyDescent="0.2">
      <c r="A1409" s="85"/>
      <c r="B1409" s="53" t="s">
        <v>21</v>
      </c>
      <c r="C1409" s="89"/>
      <c r="D1409" s="48">
        <v>5.82</v>
      </c>
      <c r="E1409" s="48">
        <v>2.4460000000000002</v>
      </c>
      <c r="F1409" s="48">
        <v>3.028</v>
      </c>
      <c r="G1409" s="48">
        <v>4.992</v>
      </c>
      <c r="H1409" s="48">
        <v>0.15918098</v>
      </c>
      <c r="I1409" s="48">
        <v>4.8935667110000001</v>
      </c>
      <c r="J1409" s="52" t="e">
        <v>#DIV/0!</v>
      </c>
    </row>
    <row r="1410" spans="1:10" x14ac:dyDescent="0.2">
      <c r="A1410" s="87"/>
      <c r="B1410" s="56" t="s">
        <v>22</v>
      </c>
      <c r="C1410" s="90"/>
      <c r="D1410" s="57"/>
      <c r="E1410" s="57">
        <v>2.4289999999999998</v>
      </c>
      <c r="F1410" s="57">
        <v>3.5630000000000002</v>
      </c>
      <c r="G1410" s="57">
        <v>5.4409999999999998</v>
      </c>
      <c r="H1410" s="57">
        <v>0.15464496</v>
      </c>
      <c r="I1410" s="57">
        <v>0</v>
      </c>
      <c r="J1410" s="49" t="e">
        <v>#DIV/0!</v>
      </c>
    </row>
    <row r="1411" spans="1:10" x14ac:dyDescent="0.2">
      <c r="A1411" s="91" t="s">
        <v>5</v>
      </c>
      <c r="B1411" s="53" t="s">
        <v>20</v>
      </c>
      <c r="C1411" s="92">
        <v>10</v>
      </c>
      <c r="D1411" s="48"/>
      <c r="E1411" s="48">
        <v>2.4569999999999999</v>
      </c>
      <c r="F1411" s="48">
        <v>3.6749999999999998</v>
      </c>
      <c r="G1411" s="48">
        <v>5.6059999999999999</v>
      </c>
      <c r="H1411" s="48">
        <v>0.14312925000000001</v>
      </c>
      <c r="I1411" s="48">
        <v>0</v>
      </c>
      <c r="J1411" s="52">
        <v>0</v>
      </c>
    </row>
    <row r="1412" spans="1:10" x14ac:dyDescent="0.2">
      <c r="A1412" s="85"/>
      <c r="B1412" s="53" t="s">
        <v>21</v>
      </c>
      <c r="C1412" s="89"/>
      <c r="D1412" s="48">
        <v>780</v>
      </c>
      <c r="E1412" s="48">
        <v>2.4420000000000002</v>
      </c>
      <c r="F1412" s="48">
        <v>3.2749999999999999</v>
      </c>
      <c r="G1412" s="48">
        <v>5.2729999999999997</v>
      </c>
      <c r="H1412" s="48">
        <v>0.13557252</v>
      </c>
      <c r="I1412" s="48">
        <v>674.25343510000005</v>
      </c>
      <c r="J1412" s="52" t="e">
        <v>#DIV/0!</v>
      </c>
    </row>
    <row r="1413" spans="1:10" x14ac:dyDescent="0.2">
      <c r="A1413" s="87"/>
      <c r="B1413" s="56" t="s">
        <v>22</v>
      </c>
      <c r="C1413" s="90"/>
      <c r="D1413" s="57"/>
      <c r="E1413" s="57">
        <v>2.4350000000000001</v>
      </c>
      <c r="F1413" s="57">
        <v>3.1120000000000001</v>
      </c>
      <c r="G1413" s="57">
        <v>5.1269999999999998</v>
      </c>
      <c r="H1413" s="57">
        <v>0.13496143999999999</v>
      </c>
      <c r="I1413" s="57">
        <v>0</v>
      </c>
      <c r="J1413" s="49" t="e">
        <v>#DIV/0!</v>
      </c>
    </row>
    <row r="1414" spans="1:10" x14ac:dyDescent="0.2">
      <c r="A1414" s="91" t="s">
        <v>6</v>
      </c>
      <c r="B1414" s="53" t="s">
        <v>20</v>
      </c>
      <c r="C1414" s="92">
        <v>10</v>
      </c>
      <c r="D1414" s="48"/>
      <c r="E1414" s="48">
        <v>2.4529999999999998</v>
      </c>
      <c r="F1414" s="48">
        <v>3.0070000000000001</v>
      </c>
      <c r="G1414" s="48">
        <v>5.0529999999999999</v>
      </c>
      <c r="H1414" s="48">
        <v>0.13535084999999999</v>
      </c>
      <c r="I1414" s="48">
        <v>0</v>
      </c>
      <c r="J1414" s="52">
        <v>0</v>
      </c>
    </row>
    <row r="1415" spans="1:10" x14ac:dyDescent="0.2">
      <c r="A1415" s="85"/>
      <c r="B1415" s="53" t="s">
        <v>21</v>
      </c>
      <c r="C1415" s="89"/>
      <c r="D1415" s="48">
        <v>869</v>
      </c>
      <c r="E1415" s="48">
        <v>2.4369999999999998</v>
      </c>
      <c r="F1415" s="48">
        <v>3.2839999999999998</v>
      </c>
      <c r="G1415" s="48">
        <v>5.2859999999999996</v>
      </c>
      <c r="H1415" s="48">
        <v>0.13246041</v>
      </c>
      <c r="I1415" s="48">
        <v>753.89190010000004</v>
      </c>
      <c r="J1415" s="52" t="e">
        <v>#DIV/0!</v>
      </c>
    </row>
    <row r="1416" spans="1:10" x14ac:dyDescent="0.2">
      <c r="A1416" s="87"/>
      <c r="B1416" s="56" t="s">
        <v>22</v>
      </c>
      <c r="C1416" s="90"/>
      <c r="D1416" s="57"/>
      <c r="E1416" s="57">
        <v>2.431</v>
      </c>
      <c r="F1416" s="57">
        <v>3.4780000000000002</v>
      </c>
      <c r="G1416" s="57">
        <v>5.4409999999999998</v>
      </c>
      <c r="H1416" s="57">
        <v>0.13456008999999999</v>
      </c>
      <c r="I1416" s="57">
        <v>0</v>
      </c>
      <c r="J1416" s="49" t="e">
        <v>#DIV/0!</v>
      </c>
    </row>
    <row r="1417" spans="1:10" x14ac:dyDescent="0.2">
      <c r="A1417" s="91" t="s">
        <v>7</v>
      </c>
      <c r="B1417" s="53" t="s">
        <v>20</v>
      </c>
      <c r="C1417" s="92">
        <v>10</v>
      </c>
      <c r="D1417" s="48"/>
      <c r="E1417" s="48">
        <v>2.4489999999999998</v>
      </c>
      <c r="F1417" s="48">
        <v>3.294</v>
      </c>
      <c r="G1417" s="48">
        <v>5.4569999999999999</v>
      </c>
      <c r="H1417" s="48">
        <v>8.6824529999999997E-2</v>
      </c>
      <c r="I1417" s="48">
        <v>0</v>
      </c>
      <c r="J1417" s="52">
        <v>0</v>
      </c>
    </row>
    <row r="1418" spans="1:10" x14ac:dyDescent="0.2">
      <c r="A1418" s="85"/>
      <c r="B1418" s="53" t="s">
        <v>21</v>
      </c>
      <c r="C1418" s="89"/>
      <c r="D1418" s="48">
        <v>871</v>
      </c>
      <c r="E1418" s="48">
        <v>2.456</v>
      </c>
      <c r="F1418" s="48">
        <v>3.306</v>
      </c>
      <c r="G1418" s="48">
        <v>5.4279999999999999</v>
      </c>
      <c r="H1418" s="48">
        <v>0.10102843</v>
      </c>
      <c r="I1418" s="48">
        <v>783.00423469999998</v>
      </c>
      <c r="J1418" s="52" t="e">
        <v>#DIV/0!</v>
      </c>
    </row>
    <row r="1419" spans="1:10" x14ac:dyDescent="0.2">
      <c r="A1419" s="87"/>
      <c r="B1419" s="56" t="s">
        <v>22</v>
      </c>
      <c r="C1419" s="90"/>
      <c r="D1419" s="57"/>
      <c r="E1419" s="57">
        <v>2.431</v>
      </c>
      <c r="F1419" s="57">
        <v>3.0859999999999999</v>
      </c>
      <c r="G1419" s="57">
        <v>5.2140000000000004</v>
      </c>
      <c r="H1419" s="57">
        <v>9.8185350000000005E-2</v>
      </c>
      <c r="I1419" s="57">
        <v>0</v>
      </c>
      <c r="J1419" s="49" t="e">
        <v>#DIV/0!</v>
      </c>
    </row>
    <row r="1420" spans="1:10" x14ac:dyDescent="0.2">
      <c r="A1420" s="91" t="s">
        <v>8</v>
      </c>
      <c r="B1420" s="53" t="s">
        <v>20</v>
      </c>
      <c r="C1420" s="92">
        <v>10</v>
      </c>
      <c r="D1420" s="48"/>
      <c r="E1420" s="48">
        <v>2.4580000000000002</v>
      </c>
      <c r="F1420" s="48">
        <v>3.4449999999999998</v>
      </c>
      <c r="G1420" s="48">
        <v>5.6529999999999996</v>
      </c>
      <c r="H1420" s="48">
        <v>7.2568939999999998E-2</v>
      </c>
      <c r="I1420" s="48">
        <v>0</v>
      </c>
      <c r="J1420" s="52">
        <v>0</v>
      </c>
    </row>
    <row r="1421" spans="1:10" x14ac:dyDescent="0.2">
      <c r="A1421" s="85"/>
      <c r="B1421" s="53" t="s">
        <v>21</v>
      </c>
      <c r="C1421" s="89"/>
      <c r="D1421" s="48">
        <v>966</v>
      </c>
      <c r="E1421" s="48">
        <v>2.4009999999999998</v>
      </c>
      <c r="F1421" s="48">
        <v>3.649</v>
      </c>
      <c r="G1421" s="48">
        <v>5.74</v>
      </c>
      <c r="H1421" s="48">
        <v>8.4954779999999994E-2</v>
      </c>
      <c r="I1421" s="48">
        <v>883.93368050000004</v>
      </c>
      <c r="J1421" s="52" t="e">
        <v>#DIV/0!</v>
      </c>
    </row>
    <row r="1422" spans="1:10" x14ac:dyDescent="0.2">
      <c r="A1422" s="87"/>
      <c r="B1422" s="56" t="s">
        <v>22</v>
      </c>
      <c r="C1422" s="90"/>
      <c r="D1422" s="57"/>
      <c r="E1422" s="57">
        <v>2.423</v>
      </c>
      <c r="F1422" s="57">
        <v>3.363</v>
      </c>
      <c r="G1422" s="57">
        <v>5.42</v>
      </c>
      <c r="H1422" s="57">
        <v>0.10883139999999999</v>
      </c>
      <c r="I1422" s="57">
        <v>0</v>
      </c>
      <c r="J1422" s="49" t="e">
        <v>#DIV/0!</v>
      </c>
    </row>
    <row r="1423" spans="1:10" x14ac:dyDescent="0.2">
      <c r="A1423" s="91" t="s">
        <v>9</v>
      </c>
      <c r="B1423" s="53" t="s">
        <v>20</v>
      </c>
      <c r="C1423" s="92">
        <v>10</v>
      </c>
      <c r="D1423" s="48"/>
      <c r="E1423" s="48">
        <v>2.4340000000000002</v>
      </c>
      <c r="F1423" s="48">
        <v>3.774</v>
      </c>
      <c r="G1423" s="48">
        <v>5.952</v>
      </c>
      <c r="H1423" s="48">
        <v>6.7832539999999997E-2</v>
      </c>
      <c r="I1423" s="48">
        <v>0</v>
      </c>
      <c r="J1423" s="52">
        <v>0</v>
      </c>
    </row>
    <row r="1424" spans="1:10" x14ac:dyDescent="0.2">
      <c r="A1424" s="85"/>
      <c r="B1424" s="53" t="s">
        <v>21</v>
      </c>
      <c r="C1424" s="89"/>
      <c r="D1424" s="48">
        <v>797</v>
      </c>
      <c r="E1424" s="48">
        <v>2.452</v>
      </c>
      <c r="F1424" s="48">
        <v>3.2370000000000001</v>
      </c>
      <c r="G1424" s="48">
        <v>5.4710000000000001</v>
      </c>
      <c r="H1424" s="48">
        <v>6.7346310000000006E-2</v>
      </c>
      <c r="I1424" s="48">
        <v>743.32499229999996</v>
      </c>
      <c r="J1424" s="52" t="e">
        <v>#DIV/0!</v>
      </c>
    </row>
    <row r="1425" spans="1:10" x14ac:dyDescent="0.2">
      <c r="A1425" s="87"/>
      <c r="B1425" s="56" t="s">
        <v>22</v>
      </c>
      <c r="C1425" s="90"/>
      <c r="D1425" s="57"/>
      <c r="E1425" s="57">
        <v>2.4660000000000002</v>
      </c>
      <c r="F1425" s="57">
        <v>3.214</v>
      </c>
      <c r="G1425" s="57">
        <v>5.4649999999999999</v>
      </c>
      <c r="H1425" s="57">
        <v>6.6894839999999997E-2</v>
      </c>
      <c r="I1425" s="57">
        <v>0</v>
      </c>
      <c r="J1425" s="49" t="e">
        <v>#DIV/0!</v>
      </c>
    </row>
    <row r="1426" spans="1:10" x14ac:dyDescent="0.2">
      <c r="A1426" s="91" t="s">
        <v>10</v>
      </c>
      <c r="B1426" s="53" t="s">
        <v>20</v>
      </c>
      <c r="C1426" s="92">
        <v>10</v>
      </c>
      <c r="D1426" s="48"/>
      <c r="E1426" s="48">
        <v>2.44</v>
      </c>
      <c r="F1426" s="48">
        <v>3.0230000000000001</v>
      </c>
      <c r="G1426" s="48">
        <v>5.2839999999999998</v>
      </c>
      <c r="H1426" s="48">
        <v>5.92127E-2</v>
      </c>
      <c r="I1426" s="48">
        <v>0</v>
      </c>
      <c r="J1426" s="52">
        <v>0</v>
      </c>
    </row>
    <row r="1427" spans="1:10" x14ac:dyDescent="0.2">
      <c r="A1427" s="85"/>
      <c r="B1427" s="53" t="s">
        <v>21</v>
      </c>
      <c r="C1427" s="89"/>
      <c r="D1427" s="48">
        <v>768</v>
      </c>
      <c r="E1427" s="48">
        <v>2.4340000000000002</v>
      </c>
      <c r="F1427" s="48">
        <v>3.173</v>
      </c>
      <c r="G1427" s="48">
        <v>5.4180000000000001</v>
      </c>
      <c r="H1427" s="48">
        <v>5.9565079999999999E-2</v>
      </c>
      <c r="I1427" s="48">
        <v>722.25401829999998</v>
      </c>
      <c r="J1427" s="52" t="e">
        <v>#DIV/0!</v>
      </c>
    </row>
    <row r="1428" spans="1:10" x14ac:dyDescent="0.2">
      <c r="A1428" s="87"/>
      <c r="B1428" s="56" t="s">
        <v>22</v>
      </c>
      <c r="C1428" s="90"/>
      <c r="D1428" s="57"/>
      <c r="E1428" s="57">
        <v>2.456</v>
      </c>
      <c r="F1428" s="57">
        <v>3.214</v>
      </c>
      <c r="G1428" s="57">
        <v>5.4770000000000003</v>
      </c>
      <c r="H1428" s="57">
        <v>6.0049779999999997E-2</v>
      </c>
      <c r="I1428" s="57">
        <v>0</v>
      </c>
      <c r="J1428" s="49" t="e">
        <v>#DIV/0!</v>
      </c>
    </row>
    <row r="1429" spans="1:10" x14ac:dyDescent="0.2">
      <c r="A1429" s="91" t="s">
        <v>11</v>
      </c>
      <c r="B1429" s="53" t="s">
        <v>20</v>
      </c>
      <c r="C1429" s="92">
        <v>10</v>
      </c>
      <c r="D1429" s="48"/>
      <c r="E1429" s="48"/>
      <c r="F1429" s="48"/>
      <c r="G1429" s="48"/>
      <c r="H1429" s="48" t="e">
        <v>#DIV/0!</v>
      </c>
      <c r="I1429" s="48" t="e">
        <v>#DIV/0!</v>
      </c>
      <c r="J1429" s="52" t="e">
        <v>#DIV/0!</v>
      </c>
    </row>
    <row r="1430" spans="1:10" x14ac:dyDescent="0.2">
      <c r="A1430" s="85"/>
      <c r="B1430" s="53" t="s">
        <v>21</v>
      </c>
      <c r="C1430" s="89"/>
      <c r="D1430" s="48"/>
      <c r="E1430" s="48"/>
      <c r="F1430" s="48"/>
      <c r="G1430" s="48"/>
      <c r="H1430" s="48" t="e">
        <v>#DIV/0!</v>
      </c>
      <c r="I1430" s="48" t="e">
        <v>#DIV/0!</v>
      </c>
      <c r="J1430" s="52" t="e">
        <v>#DIV/0!</v>
      </c>
    </row>
    <row r="1431" spans="1:10" x14ac:dyDescent="0.2">
      <c r="A1431" s="87"/>
      <c r="B1431" s="56" t="s">
        <v>22</v>
      </c>
      <c r="C1431" s="90"/>
      <c r="D1431" s="57"/>
      <c r="E1431" s="57"/>
      <c r="F1431" s="57"/>
      <c r="G1431" s="57"/>
      <c r="H1431" s="57" t="e">
        <v>#DIV/0!</v>
      </c>
      <c r="I1431" s="57" t="e">
        <v>#DIV/0!</v>
      </c>
      <c r="J1431" s="49" t="e">
        <v>#DIV/0!</v>
      </c>
    </row>
    <row r="1432" spans="1:10" x14ac:dyDescent="0.2">
      <c r="A1432" s="91" t="s">
        <v>12</v>
      </c>
      <c r="B1432" s="53" t="s">
        <v>20</v>
      </c>
      <c r="C1432" s="92">
        <v>10</v>
      </c>
      <c r="D1432" s="48"/>
      <c r="E1432" s="48"/>
      <c r="F1432" s="48"/>
      <c r="G1432" s="48"/>
      <c r="H1432" s="48" t="e">
        <v>#DIV/0!</v>
      </c>
      <c r="I1432" s="48" t="e">
        <v>#DIV/0!</v>
      </c>
      <c r="J1432" s="52" t="e">
        <v>#DIV/0!</v>
      </c>
    </row>
    <row r="1433" spans="1:10" x14ac:dyDescent="0.2">
      <c r="A1433" s="85"/>
      <c r="B1433" s="53" t="s">
        <v>21</v>
      </c>
      <c r="C1433" s="89"/>
      <c r="D1433" s="48"/>
      <c r="E1433" s="48"/>
      <c r="F1433" s="48"/>
      <c r="G1433" s="48"/>
      <c r="H1433" s="48" t="e">
        <v>#DIV/0!</v>
      </c>
      <c r="I1433" s="48" t="e">
        <v>#DIV/0!</v>
      </c>
      <c r="J1433" s="52" t="e">
        <v>#DIV/0!</v>
      </c>
    </row>
    <row r="1434" spans="1:10" x14ac:dyDescent="0.2">
      <c r="A1434" s="87"/>
      <c r="B1434" s="56" t="s">
        <v>22</v>
      </c>
      <c r="C1434" s="90"/>
      <c r="D1434" s="57"/>
      <c r="E1434" s="57"/>
      <c r="F1434" s="57"/>
      <c r="G1434" s="57"/>
      <c r="H1434" s="57" t="e">
        <v>#DIV/0!</v>
      </c>
      <c r="I1434" s="57" t="e">
        <v>#DIV/0!</v>
      </c>
      <c r="J1434" s="49" t="e">
        <v>#DIV/0!</v>
      </c>
    </row>
    <row r="1435" spans="1:10" x14ac:dyDescent="0.2">
      <c r="A1435" s="91" t="s">
        <v>13</v>
      </c>
      <c r="B1435" s="53" t="s">
        <v>20</v>
      </c>
      <c r="C1435" s="92">
        <v>10</v>
      </c>
      <c r="D1435" s="48"/>
      <c r="E1435" s="48"/>
      <c r="F1435" s="48"/>
      <c r="G1435" s="48"/>
      <c r="H1435" s="48" t="e">
        <v>#DIV/0!</v>
      </c>
      <c r="I1435" s="48" t="e">
        <v>#DIV/0!</v>
      </c>
      <c r="J1435" s="52" t="e">
        <v>#DIV/0!</v>
      </c>
    </row>
    <row r="1436" spans="1:10" x14ac:dyDescent="0.2">
      <c r="A1436" s="85"/>
      <c r="B1436" s="53" t="s">
        <v>21</v>
      </c>
      <c r="C1436" s="89"/>
      <c r="D1436" s="48"/>
      <c r="E1436" s="48"/>
      <c r="F1436" s="48"/>
      <c r="G1436" s="48"/>
      <c r="H1436" s="48" t="e">
        <v>#DIV/0!</v>
      </c>
      <c r="I1436" s="48" t="e">
        <v>#DIV/0!</v>
      </c>
      <c r="J1436" s="52" t="e">
        <v>#DIV/0!</v>
      </c>
    </row>
    <row r="1437" spans="1:10" x14ac:dyDescent="0.2">
      <c r="A1437" s="87"/>
      <c r="B1437" s="56" t="s">
        <v>22</v>
      </c>
      <c r="C1437" s="90"/>
      <c r="D1437" s="57"/>
      <c r="E1437" s="57"/>
      <c r="F1437" s="57"/>
      <c r="G1437" s="57"/>
      <c r="H1437" s="57" t="e">
        <v>#DIV/0!</v>
      </c>
      <c r="I1437" s="57" t="e">
        <v>#DIV/0!</v>
      </c>
      <c r="J1437" s="49" t="e">
        <v>#DIV/0!</v>
      </c>
    </row>
    <row r="1438" spans="1:10" x14ac:dyDescent="0.2">
      <c r="A1438" s="91" t="s">
        <v>14</v>
      </c>
      <c r="B1438" s="53" t="s">
        <v>20</v>
      </c>
      <c r="C1438" s="92">
        <v>10</v>
      </c>
      <c r="D1438" s="48"/>
      <c r="E1438" s="48"/>
      <c r="F1438" s="48"/>
      <c r="G1438" s="48"/>
      <c r="H1438" s="48" t="e">
        <v>#DIV/0!</v>
      </c>
      <c r="I1438" s="48" t="e">
        <v>#DIV/0!</v>
      </c>
      <c r="J1438" s="52" t="e">
        <v>#DIV/0!</v>
      </c>
    </row>
    <row r="1439" spans="1:10" x14ac:dyDescent="0.2">
      <c r="A1439" s="85"/>
      <c r="B1439" s="53" t="s">
        <v>21</v>
      </c>
      <c r="C1439" s="89"/>
      <c r="D1439" s="48"/>
      <c r="E1439" s="48"/>
      <c r="F1439" s="48"/>
      <c r="G1439" s="48"/>
      <c r="H1439" s="48" t="e">
        <v>#DIV/0!</v>
      </c>
      <c r="I1439" s="48" t="e">
        <v>#DIV/0!</v>
      </c>
      <c r="J1439" s="52" t="e">
        <v>#DIV/0!</v>
      </c>
    </row>
    <row r="1440" spans="1:10" ht="16" thickBot="1" x14ac:dyDescent="0.25">
      <c r="A1440" s="93"/>
      <c r="B1440" s="58" t="s">
        <v>22</v>
      </c>
      <c r="C1440" s="94"/>
      <c r="D1440" s="59"/>
      <c r="E1440" s="59"/>
      <c r="F1440" s="59"/>
      <c r="G1440" s="59"/>
      <c r="H1440" s="59" t="e">
        <v>#DIV/0!</v>
      </c>
      <c r="I1440" s="59" t="e">
        <v>#DIV/0!</v>
      </c>
      <c r="J1440" s="50" t="e">
        <v>#DIV/0!</v>
      </c>
    </row>
    <row r="1441" spans="1:10" ht="16" thickBot="1" x14ac:dyDescent="0.25">
      <c r="A1441" s="60" t="s">
        <v>1</v>
      </c>
      <c r="B1441" s="61"/>
      <c r="C1441" s="62"/>
      <c r="D1441" s="63" t="s">
        <v>50</v>
      </c>
      <c r="E1441" s="64"/>
      <c r="F1441" s="58" t="s">
        <v>0</v>
      </c>
      <c r="G1441" s="18">
        <v>44157</v>
      </c>
      <c r="H1441" s="65" t="s">
        <v>24</v>
      </c>
      <c r="I1441" s="66"/>
      <c r="J1441" s="49">
        <v>81.5</v>
      </c>
    </row>
    <row r="1442" spans="1:10" ht="16" thickBot="1" x14ac:dyDescent="0.25">
      <c r="A1442" s="67" t="s">
        <v>2</v>
      </c>
      <c r="B1442" s="68"/>
      <c r="C1442" s="69"/>
      <c r="D1442" s="70"/>
      <c r="E1442" s="71"/>
      <c r="F1442" s="72"/>
      <c r="G1442" s="73"/>
      <c r="H1442" s="74" t="s">
        <v>25</v>
      </c>
      <c r="I1442" s="75"/>
      <c r="J1442" s="49">
        <v>36.5</v>
      </c>
    </row>
    <row r="1443" spans="1:10" ht="16" thickBot="1" x14ac:dyDescent="0.25">
      <c r="A1443" s="76" t="s">
        <v>27</v>
      </c>
      <c r="B1443" s="77"/>
      <c r="C1443" s="78"/>
      <c r="D1443" s="79" t="s">
        <v>33</v>
      </c>
      <c r="E1443" s="80"/>
      <c r="F1443" s="48" t="s">
        <v>30</v>
      </c>
      <c r="G1443" s="48">
        <v>3.81</v>
      </c>
      <c r="H1443" s="81" t="s">
        <v>26</v>
      </c>
      <c r="I1443" s="82"/>
      <c r="J1443" s="50">
        <v>58</v>
      </c>
    </row>
    <row r="1444" spans="1:10" x14ac:dyDescent="0.2">
      <c r="A1444" s="83"/>
      <c r="B1444" s="84"/>
      <c r="C1444" s="51" t="s">
        <v>29</v>
      </c>
      <c r="D1444" s="51" t="s">
        <v>19</v>
      </c>
      <c r="E1444" s="51" t="s">
        <v>15</v>
      </c>
      <c r="F1444" s="51" t="s">
        <v>18</v>
      </c>
      <c r="G1444" s="51" t="s">
        <v>17</v>
      </c>
      <c r="H1444" s="48" t="s">
        <v>28</v>
      </c>
      <c r="I1444" s="48" t="s">
        <v>16</v>
      </c>
      <c r="J1444" s="52" t="s">
        <v>23</v>
      </c>
    </row>
    <row r="1445" spans="1:10" x14ac:dyDescent="0.2">
      <c r="A1445" s="86" t="s">
        <v>3</v>
      </c>
      <c r="B1445" s="53" t="s">
        <v>20</v>
      </c>
      <c r="C1445" s="88">
        <v>10</v>
      </c>
      <c r="D1445" s="54"/>
      <c r="E1445" s="54">
        <v>2.4390000000000001</v>
      </c>
      <c r="F1445" s="54">
        <v>3.4590000000000001</v>
      </c>
      <c r="G1445" s="54">
        <v>5.3170000000000002</v>
      </c>
      <c r="H1445" s="54">
        <v>0.16796762000000001</v>
      </c>
      <c r="I1445" s="54">
        <v>0</v>
      </c>
      <c r="J1445" s="55">
        <v>0</v>
      </c>
    </row>
    <row r="1446" spans="1:10" x14ac:dyDescent="0.2">
      <c r="A1446" s="85"/>
      <c r="B1446" s="53" t="s">
        <v>21</v>
      </c>
      <c r="C1446" s="89"/>
      <c r="D1446" s="48">
        <v>451</v>
      </c>
      <c r="E1446" s="48">
        <v>2.4390000000000001</v>
      </c>
      <c r="F1446" s="48">
        <v>3.375</v>
      </c>
      <c r="G1446" s="48">
        <v>5.3550000000000004</v>
      </c>
      <c r="H1446" s="48">
        <v>0.13600000000000001</v>
      </c>
      <c r="I1446" s="48">
        <v>389.66399999999999</v>
      </c>
      <c r="J1446" s="52" t="e">
        <v>#DIV/0!</v>
      </c>
    </row>
    <row r="1447" spans="1:10" x14ac:dyDescent="0.2">
      <c r="A1447" s="87"/>
      <c r="B1447" s="56" t="s">
        <v>22</v>
      </c>
      <c r="C1447" s="90"/>
      <c r="D1447" s="57"/>
      <c r="E1447" s="57">
        <v>2.4279999999999999</v>
      </c>
      <c r="F1447" s="57">
        <v>3.5739999999999998</v>
      </c>
      <c r="G1447" s="57">
        <v>5.3079999999999998</v>
      </c>
      <c r="H1447" s="57">
        <v>0.19418019</v>
      </c>
      <c r="I1447" s="57">
        <v>0</v>
      </c>
      <c r="J1447" s="49" t="e">
        <v>#DIV/0!</v>
      </c>
    </row>
    <row r="1448" spans="1:10" x14ac:dyDescent="0.2">
      <c r="A1448" s="91" t="s">
        <v>4</v>
      </c>
      <c r="B1448" s="53" t="s">
        <v>20</v>
      </c>
      <c r="C1448" s="92">
        <v>10</v>
      </c>
      <c r="D1448" s="48"/>
      <c r="E1448" s="48">
        <v>2.4420000000000002</v>
      </c>
      <c r="F1448" s="48">
        <v>3.2959999999999998</v>
      </c>
      <c r="G1448" s="48">
        <v>5.258</v>
      </c>
      <c r="H1448" s="48">
        <v>0.14563107</v>
      </c>
      <c r="I1448" s="48">
        <v>0</v>
      </c>
      <c r="J1448" s="52">
        <v>0</v>
      </c>
    </row>
    <row r="1449" spans="1:10" x14ac:dyDescent="0.2">
      <c r="A1449" s="85"/>
      <c r="B1449" s="53" t="s">
        <v>21</v>
      </c>
      <c r="C1449" s="89"/>
      <c r="D1449" s="48">
        <v>732</v>
      </c>
      <c r="E1449" s="48">
        <v>2.4359999999999999</v>
      </c>
      <c r="F1449" s="48">
        <v>3.0859999999999999</v>
      </c>
      <c r="G1449" s="48">
        <v>5.056</v>
      </c>
      <c r="H1449" s="48">
        <v>0.15100453999999999</v>
      </c>
      <c r="I1449" s="48">
        <v>621.46467919999998</v>
      </c>
      <c r="J1449" s="52" t="e">
        <v>#DIV/0!</v>
      </c>
    </row>
    <row r="1450" spans="1:10" x14ac:dyDescent="0.2">
      <c r="A1450" s="87"/>
      <c r="B1450" s="56" t="s">
        <v>22</v>
      </c>
      <c r="C1450" s="90"/>
      <c r="D1450" s="57"/>
      <c r="E1450" s="57">
        <v>2.4569999999999999</v>
      </c>
      <c r="F1450" s="57">
        <v>3.06</v>
      </c>
      <c r="G1450" s="57">
        <v>5.0940000000000003</v>
      </c>
      <c r="H1450" s="57">
        <v>0.13823529000000001</v>
      </c>
      <c r="I1450" s="57">
        <v>0</v>
      </c>
      <c r="J1450" s="49" t="e">
        <v>#DIV/0!</v>
      </c>
    </row>
    <row r="1451" spans="1:10" x14ac:dyDescent="0.2">
      <c r="A1451" s="91" t="s">
        <v>5</v>
      </c>
      <c r="B1451" s="53" t="s">
        <v>20</v>
      </c>
      <c r="C1451" s="92">
        <v>10</v>
      </c>
      <c r="D1451" s="48"/>
      <c r="E1451" s="48">
        <v>2.4340000000000002</v>
      </c>
      <c r="F1451" s="48">
        <v>3.1230000000000002</v>
      </c>
      <c r="G1451" s="48">
        <v>5.1630000000000003</v>
      </c>
      <c r="H1451" s="48">
        <v>0.12616073999999999</v>
      </c>
      <c r="I1451" s="48">
        <v>0</v>
      </c>
      <c r="J1451" s="52">
        <v>0</v>
      </c>
    </row>
    <row r="1452" spans="1:10" x14ac:dyDescent="0.2">
      <c r="A1452" s="85"/>
      <c r="B1452" s="53" t="s">
        <v>21</v>
      </c>
      <c r="C1452" s="89"/>
      <c r="D1452" s="48">
        <v>736</v>
      </c>
      <c r="E1452" s="48">
        <v>2.4510000000000001</v>
      </c>
      <c r="F1452" s="48">
        <v>3.5840000000000001</v>
      </c>
      <c r="G1452" s="48">
        <v>5.5780000000000003</v>
      </c>
      <c r="H1452" s="48">
        <v>0.12751116000000001</v>
      </c>
      <c r="I1452" s="48">
        <v>642.1517857</v>
      </c>
      <c r="J1452" s="52" t="e">
        <v>#DIV/0!</v>
      </c>
    </row>
    <row r="1453" spans="1:10" x14ac:dyDescent="0.2">
      <c r="A1453" s="87"/>
      <c r="B1453" s="56" t="s">
        <v>22</v>
      </c>
      <c r="C1453" s="90"/>
      <c r="D1453" s="57"/>
      <c r="E1453" s="57">
        <v>2.4969999999999999</v>
      </c>
      <c r="F1453" s="57">
        <v>3.4910000000000001</v>
      </c>
      <c r="G1453" s="57">
        <v>5.5060000000000002</v>
      </c>
      <c r="H1453" s="57">
        <v>0.13806932</v>
      </c>
      <c r="I1453" s="57">
        <v>0</v>
      </c>
      <c r="J1453" s="49" t="e">
        <v>#DIV/0!</v>
      </c>
    </row>
    <row r="1454" spans="1:10" x14ac:dyDescent="0.2">
      <c r="A1454" s="91" t="s">
        <v>6</v>
      </c>
      <c r="B1454" s="53" t="s">
        <v>20</v>
      </c>
      <c r="C1454" s="92">
        <v>10</v>
      </c>
      <c r="D1454" s="48"/>
      <c r="E1454" s="48">
        <v>2.4340000000000002</v>
      </c>
      <c r="F1454" s="48">
        <v>3.0070000000000001</v>
      </c>
      <c r="G1454" s="48">
        <v>5.03</v>
      </c>
      <c r="H1454" s="48">
        <v>0.13668108000000001</v>
      </c>
      <c r="I1454" s="48">
        <v>0</v>
      </c>
      <c r="J1454" s="52">
        <v>0</v>
      </c>
    </row>
    <row r="1455" spans="1:10" x14ac:dyDescent="0.2">
      <c r="A1455" s="85"/>
      <c r="B1455" s="53" t="s">
        <v>21</v>
      </c>
      <c r="C1455" s="89"/>
      <c r="D1455" s="48">
        <v>754</v>
      </c>
      <c r="E1455" s="48">
        <v>2.4620000000000002</v>
      </c>
      <c r="F1455" s="48">
        <v>3.89</v>
      </c>
      <c r="G1455" s="48">
        <v>5.8410000000000002</v>
      </c>
      <c r="H1455" s="48">
        <v>0.13136247000000001</v>
      </c>
      <c r="I1455" s="48">
        <v>654.95269919999998</v>
      </c>
      <c r="J1455" s="52" t="e">
        <v>#DIV/0!</v>
      </c>
    </row>
    <row r="1456" spans="1:10" x14ac:dyDescent="0.2">
      <c r="A1456" s="87"/>
      <c r="B1456" s="56" t="s">
        <v>22</v>
      </c>
      <c r="C1456" s="90"/>
      <c r="D1456" s="57"/>
      <c r="E1456" s="57">
        <v>2.4369999999999998</v>
      </c>
      <c r="F1456" s="57">
        <v>3.1179999999999999</v>
      </c>
      <c r="G1456" s="57">
        <v>5.1550000000000002</v>
      </c>
      <c r="H1456" s="57">
        <v>0.12828735999999999</v>
      </c>
      <c r="I1456" s="57">
        <v>0</v>
      </c>
      <c r="J1456" s="49" t="e">
        <v>#DIV/0!</v>
      </c>
    </row>
    <row r="1457" spans="1:10" x14ac:dyDescent="0.2">
      <c r="A1457" s="91" t="s">
        <v>7</v>
      </c>
      <c r="B1457" s="53" t="s">
        <v>20</v>
      </c>
      <c r="C1457" s="92">
        <v>10</v>
      </c>
      <c r="D1457" s="48"/>
      <c r="E1457" s="48">
        <v>2.4409999999999998</v>
      </c>
      <c r="F1457" s="48">
        <v>3.8290000000000002</v>
      </c>
      <c r="G1457" s="48">
        <v>5.9009999999999998</v>
      </c>
      <c r="H1457" s="48">
        <v>9.636981E-2</v>
      </c>
      <c r="I1457" s="48">
        <v>0</v>
      </c>
      <c r="J1457" s="52">
        <v>0</v>
      </c>
    </row>
    <row r="1458" spans="1:10" x14ac:dyDescent="0.2">
      <c r="A1458" s="85"/>
      <c r="B1458" s="53" t="s">
        <v>21</v>
      </c>
      <c r="C1458" s="89"/>
      <c r="D1458" s="48">
        <v>890</v>
      </c>
      <c r="E1458" s="48">
        <v>2.4849999999999999</v>
      </c>
      <c r="F1458" s="48">
        <v>3.1949999999999998</v>
      </c>
      <c r="G1458" s="48">
        <v>5.3860000000000001</v>
      </c>
      <c r="H1458" s="48">
        <v>9.2018779999999994E-2</v>
      </c>
      <c r="I1458" s="48">
        <v>808.1032864</v>
      </c>
      <c r="J1458" s="52" t="e">
        <v>#DIV/0!</v>
      </c>
    </row>
    <row r="1459" spans="1:10" x14ac:dyDescent="0.2">
      <c r="A1459" s="87"/>
      <c r="B1459" s="56" t="s">
        <v>22</v>
      </c>
      <c r="C1459" s="90"/>
      <c r="D1459" s="57"/>
      <c r="E1459" s="57">
        <v>2.4159999999999999</v>
      </c>
      <c r="F1459" s="57">
        <v>3.105</v>
      </c>
      <c r="G1459" s="57">
        <v>5.2460000000000004</v>
      </c>
      <c r="H1459" s="57">
        <v>8.8566829999999999E-2</v>
      </c>
      <c r="I1459" s="57">
        <v>0</v>
      </c>
      <c r="J1459" s="49" t="e">
        <v>#DIV/0!</v>
      </c>
    </row>
    <row r="1460" spans="1:10" x14ac:dyDescent="0.2">
      <c r="A1460" s="91" t="s">
        <v>8</v>
      </c>
      <c r="B1460" s="53" t="s">
        <v>20</v>
      </c>
      <c r="C1460" s="92">
        <v>10</v>
      </c>
      <c r="D1460" s="48"/>
      <c r="E1460" s="48">
        <v>2.472</v>
      </c>
      <c r="F1460" s="48">
        <v>3.0950000000000002</v>
      </c>
      <c r="G1460" s="48">
        <v>5.3220000000000001</v>
      </c>
      <c r="H1460" s="48">
        <v>7.9159939999999998E-2</v>
      </c>
      <c r="I1460" s="48">
        <v>0</v>
      </c>
      <c r="J1460" s="52">
        <v>0</v>
      </c>
    </row>
    <row r="1461" spans="1:10" x14ac:dyDescent="0.2">
      <c r="A1461" s="85"/>
      <c r="B1461" s="53" t="s">
        <v>21</v>
      </c>
      <c r="C1461" s="89"/>
      <c r="D1461" s="48">
        <v>750</v>
      </c>
      <c r="E1461" s="48">
        <v>2.4809999999999999</v>
      </c>
      <c r="F1461" s="48">
        <v>3.4340000000000002</v>
      </c>
      <c r="G1461" s="48">
        <v>5.665</v>
      </c>
      <c r="H1461" s="48">
        <v>7.2801400000000002E-2</v>
      </c>
      <c r="I1461" s="48">
        <v>695.3989517</v>
      </c>
      <c r="J1461" s="52" t="e">
        <v>#DIV/0!</v>
      </c>
    </row>
    <row r="1462" spans="1:10" x14ac:dyDescent="0.2">
      <c r="A1462" s="87"/>
      <c r="B1462" s="56" t="s">
        <v>22</v>
      </c>
      <c r="C1462" s="90"/>
      <c r="D1462" s="57"/>
      <c r="E1462" s="57">
        <v>2.4620000000000002</v>
      </c>
      <c r="F1462" s="57">
        <v>3.133</v>
      </c>
      <c r="G1462" s="57">
        <v>5.3620000000000001</v>
      </c>
      <c r="H1462" s="57">
        <v>7.4369610000000003E-2</v>
      </c>
      <c r="I1462" s="57">
        <v>0</v>
      </c>
      <c r="J1462" s="49" t="e">
        <v>#DIV/0!</v>
      </c>
    </row>
    <row r="1463" spans="1:10" x14ac:dyDescent="0.2">
      <c r="A1463" s="91" t="s">
        <v>9</v>
      </c>
      <c r="B1463" s="53" t="s">
        <v>20</v>
      </c>
      <c r="C1463" s="92">
        <v>10</v>
      </c>
      <c r="D1463" s="48"/>
      <c r="E1463" s="48">
        <v>2.4249999999999998</v>
      </c>
      <c r="F1463" s="48">
        <v>3.4950000000000001</v>
      </c>
      <c r="G1463" s="48">
        <v>5.6749999999999998</v>
      </c>
      <c r="H1463" s="48">
        <v>7.0100140000000005E-2</v>
      </c>
      <c r="I1463" s="48">
        <v>0</v>
      </c>
      <c r="J1463" s="52">
        <v>0</v>
      </c>
    </row>
    <row r="1464" spans="1:10" x14ac:dyDescent="0.2">
      <c r="A1464" s="85"/>
      <c r="B1464" s="53" t="s">
        <v>21</v>
      </c>
      <c r="C1464" s="89"/>
      <c r="D1464" s="48">
        <v>878</v>
      </c>
      <c r="E1464" s="48">
        <v>2.4279999999999999</v>
      </c>
      <c r="F1464" s="48">
        <v>3.3159999999999998</v>
      </c>
      <c r="G1464" s="48">
        <v>5.5529999999999999</v>
      </c>
      <c r="H1464" s="48">
        <v>5.7599520000000001E-2</v>
      </c>
      <c r="I1464" s="48">
        <v>827.42762359999995</v>
      </c>
      <c r="J1464" s="52" t="e">
        <v>#DIV/0!</v>
      </c>
    </row>
    <row r="1465" spans="1:10" x14ac:dyDescent="0.2">
      <c r="A1465" s="87"/>
      <c r="B1465" s="56" t="s">
        <v>22</v>
      </c>
      <c r="C1465" s="90"/>
      <c r="D1465" s="57"/>
      <c r="E1465" s="57">
        <v>2.46</v>
      </c>
      <c r="F1465" s="57">
        <v>3.6669999999999998</v>
      </c>
      <c r="G1465" s="57">
        <v>5.9050000000000002</v>
      </c>
      <c r="H1465" s="57">
        <v>6.0539950000000002E-2</v>
      </c>
      <c r="I1465" s="57">
        <v>0</v>
      </c>
      <c r="J1465" s="49" t="e">
        <v>#DIV/0!</v>
      </c>
    </row>
    <row r="1466" spans="1:10" x14ac:dyDescent="0.2">
      <c r="A1466" s="91" t="s">
        <v>10</v>
      </c>
      <c r="B1466" s="53" t="s">
        <v>20</v>
      </c>
      <c r="C1466" s="92">
        <v>10</v>
      </c>
      <c r="D1466" s="48"/>
      <c r="E1466" s="48">
        <v>2.4279999999999999</v>
      </c>
      <c r="F1466" s="48">
        <v>3.758</v>
      </c>
      <c r="G1466" s="48">
        <v>5.9450000000000003</v>
      </c>
      <c r="H1466" s="48">
        <v>6.4129859999999997E-2</v>
      </c>
      <c r="I1466" s="48">
        <v>0</v>
      </c>
      <c r="J1466" s="52">
        <v>0</v>
      </c>
    </row>
    <row r="1467" spans="1:10" x14ac:dyDescent="0.2">
      <c r="A1467" s="85"/>
      <c r="B1467" s="53" t="s">
        <v>21</v>
      </c>
      <c r="C1467" s="89"/>
      <c r="D1467" s="48">
        <v>950</v>
      </c>
      <c r="E1467" s="48">
        <v>2.4500000000000002</v>
      </c>
      <c r="F1467" s="48">
        <v>3.2559999999999998</v>
      </c>
      <c r="G1467" s="48">
        <v>5.4909999999999997</v>
      </c>
      <c r="H1467" s="48">
        <v>6.6031939999999997E-2</v>
      </c>
      <c r="I1467" s="48">
        <v>887.26965600000005</v>
      </c>
      <c r="J1467" s="52" t="e">
        <v>#DIV/0!</v>
      </c>
    </row>
    <row r="1468" spans="1:10" x14ac:dyDescent="0.2">
      <c r="A1468" s="87"/>
      <c r="B1468" s="56" t="s">
        <v>22</v>
      </c>
      <c r="C1468" s="90"/>
      <c r="D1468" s="57"/>
      <c r="E1468" s="57">
        <v>2.4489999999999998</v>
      </c>
      <c r="F1468" s="57">
        <v>3.7090000000000001</v>
      </c>
      <c r="G1468" s="57">
        <v>5.9429999999999996</v>
      </c>
      <c r="H1468" s="57">
        <v>5.7967110000000002E-2</v>
      </c>
      <c r="I1468" s="57">
        <v>0</v>
      </c>
      <c r="J1468" s="49" t="e">
        <v>#DIV/0!</v>
      </c>
    </row>
    <row r="1469" spans="1:10" x14ac:dyDescent="0.2">
      <c r="A1469" s="91" t="s">
        <v>11</v>
      </c>
      <c r="B1469" s="53" t="s">
        <v>20</v>
      </c>
      <c r="C1469" s="92">
        <v>10</v>
      </c>
      <c r="D1469" s="48"/>
      <c r="E1469" s="48"/>
      <c r="F1469" s="48"/>
      <c r="G1469" s="48"/>
      <c r="H1469" s="48" t="e">
        <v>#DIV/0!</v>
      </c>
      <c r="I1469" s="48" t="e">
        <v>#DIV/0!</v>
      </c>
      <c r="J1469" s="52" t="e">
        <v>#DIV/0!</v>
      </c>
    </row>
    <row r="1470" spans="1:10" x14ac:dyDescent="0.2">
      <c r="A1470" s="85"/>
      <c r="B1470" s="53" t="s">
        <v>21</v>
      </c>
      <c r="C1470" s="89"/>
      <c r="D1470" s="48"/>
      <c r="E1470" s="48"/>
      <c r="F1470" s="48"/>
      <c r="G1470" s="48"/>
      <c r="H1470" s="48" t="e">
        <v>#DIV/0!</v>
      </c>
      <c r="I1470" s="48" t="e">
        <v>#DIV/0!</v>
      </c>
      <c r="J1470" s="52" t="e">
        <v>#DIV/0!</v>
      </c>
    </row>
    <row r="1471" spans="1:10" x14ac:dyDescent="0.2">
      <c r="A1471" s="87"/>
      <c r="B1471" s="56" t="s">
        <v>22</v>
      </c>
      <c r="C1471" s="90"/>
      <c r="D1471" s="57"/>
      <c r="E1471" s="57"/>
      <c r="F1471" s="57"/>
      <c r="G1471" s="57"/>
      <c r="H1471" s="57" t="e">
        <v>#DIV/0!</v>
      </c>
      <c r="I1471" s="57" t="e">
        <v>#DIV/0!</v>
      </c>
      <c r="J1471" s="49" t="e">
        <v>#DIV/0!</v>
      </c>
    </row>
    <row r="1472" spans="1:10" x14ac:dyDescent="0.2">
      <c r="A1472" s="91" t="s">
        <v>12</v>
      </c>
      <c r="B1472" s="53" t="s">
        <v>20</v>
      </c>
      <c r="C1472" s="92">
        <v>10</v>
      </c>
      <c r="D1472" s="48"/>
      <c r="E1472" s="48"/>
      <c r="F1472" s="48"/>
      <c r="G1472" s="48"/>
      <c r="H1472" s="48" t="e">
        <v>#DIV/0!</v>
      </c>
      <c r="I1472" s="48" t="e">
        <v>#DIV/0!</v>
      </c>
      <c r="J1472" s="52" t="e">
        <v>#DIV/0!</v>
      </c>
    </row>
    <row r="1473" spans="1:10" x14ac:dyDescent="0.2">
      <c r="A1473" s="85"/>
      <c r="B1473" s="53" t="s">
        <v>21</v>
      </c>
      <c r="C1473" s="89"/>
      <c r="D1473" s="48"/>
      <c r="E1473" s="48"/>
      <c r="F1473" s="48"/>
      <c r="G1473" s="48"/>
      <c r="H1473" s="48" t="e">
        <v>#DIV/0!</v>
      </c>
      <c r="I1473" s="48" t="e">
        <v>#DIV/0!</v>
      </c>
      <c r="J1473" s="52" t="e">
        <v>#DIV/0!</v>
      </c>
    </row>
    <row r="1474" spans="1:10" x14ac:dyDescent="0.2">
      <c r="A1474" s="87"/>
      <c r="B1474" s="56" t="s">
        <v>22</v>
      </c>
      <c r="C1474" s="90"/>
      <c r="D1474" s="57"/>
      <c r="E1474" s="57"/>
      <c r="F1474" s="57"/>
      <c r="G1474" s="57"/>
      <c r="H1474" s="57" t="e">
        <v>#DIV/0!</v>
      </c>
      <c r="I1474" s="57" t="e">
        <v>#DIV/0!</v>
      </c>
      <c r="J1474" s="49" t="e">
        <v>#DIV/0!</v>
      </c>
    </row>
    <row r="1475" spans="1:10" x14ac:dyDescent="0.2">
      <c r="A1475" s="91" t="s">
        <v>13</v>
      </c>
      <c r="B1475" s="53" t="s">
        <v>20</v>
      </c>
      <c r="C1475" s="92">
        <v>10</v>
      </c>
      <c r="D1475" s="48"/>
      <c r="E1475" s="48"/>
      <c r="F1475" s="48"/>
      <c r="G1475" s="48"/>
      <c r="H1475" s="48" t="e">
        <v>#DIV/0!</v>
      </c>
      <c r="I1475" s="48" t="e">
        <v>#DIV/0!</v>
      </c>
      <c r="J1475" s="52" t="e">
        <v>#DIV/0!</v>
      </c>
    </row>
    <row r="1476" spans="1:10" x14ac:dyDescent="0.2">
      <c r="A1476" s="85"/>
      <c r="B1476" s="53" t="s">
        <v>21</v>
      </c>
      <c r="C1476" s="89"/>
      <c r="D1476" s="48"/>
      <c r="E1476" s="48"/>
      <c r="F1476" s="48"/>
      <c r="G1476" s="48"/>
      <c r="H1476" s="48" t="e">
        <v>#DIV/0!</v>
      </c>
      <c r="I1476" s="48" t="e">
        <v>#DIV/0!</v>
      </c>
      <c r="J1476" s="52" t="e">
        <v>#DIV/0!</v>
      </c>
    </row>
    <row r="1477" spans="1:10" x14ac:dyDescent="0.2">
      <c r="A1477" s="87"/>
      <c r="B1477" s="56" t="s">
        <v>22</v>
      </c>
      <c r="C1477" s="90"/>
      <c r="D1477" s="57"/>
      <c r="E1477" s="57"/>
      <c r="F1477" s="57"/>
      <c r="G1477" s="57"/>
      <c r="H1477" s="57" t="e">
        <v>#DIV/0!</v>
      </c>
      <c r="I1477" s="57" t="e">
        <v>#DIV/0!</v>
      </c>
      <c r="J1477" s="49" t="e">
        <v>#DIV/0!</v>
      </c>
    </row>
    <row r="1478" spans="1:10" x14ac:dyDescent="0.2">
      <c r="A1478" s="91" t="s">
        <v>14</v>
      </c>
      <c r="B1478" s="53" t="s">
        <v>20</v>
      </c>
      <c r="C1478" s="92">
        <v>10</v>
      </c>
      <c r="D1478" s="48"/>
      <c r="E1478" s="48"/>
      <c r="F1478" s="48"/>
      <c r="G1478" s="48"/>
      <c r="H1478" s="48" t="e">
        <v>#DIV/0!</v>
      </c>
      <c r="I1478" s="48" t="e">
        <v>#DIV/0!</v>
      </c>
      <c r="J1478" s="52" t="e">
        <v>#DIV/0!</v>
      </c>
    </row>
    <row r="1479" spans="1:10" x14ac:dyDescent="0.2">
      <c r="A1479" s="85"/>
      <c r="B1479" s="53" t="s">
        <v>21</v>
      </c>
      <c r="C1479" s="89"/>
      <c r="D1479" s="48"/>
      <c r="E1479" s="48"/>
      <c r="F1479" s="48"/>
      <c r="G1479" s="48"/>
      <c r="H1479" s="48" t="e">
        <v>#DIV/0!</v>
      </c>
      <c r="I1479" s="48" t="e">
        <v>#DIV/0!</v>
      </c>
      <c r="J1479" s="52" t="e">
        <v>#DIV/0!</v>
      </c>
    </row>
    <row r="1480" spans="1:10" ht="16" thickBot="1" x14ac:dyDescent="0.25">
      <c r="A1480" s="93"/>
      <c r="B1480" s="58" t="s">
        <v>22</v>
      </c>
      <c r="C1480" s="94"/>
      <c r="D1480" s="59"/>
      <c r="E1480" s="59"/>
      <c r="F1480" s="59"/>
      <c r="G1480" s="59"/>
      <c r="H1480" s="59" t="e">
        <v>#DIV/0!</v>
      </c>
      <c r="I1480" s="59" t="e">
        <v>#DIV/0!</v>
      </c>
      <c r="J1480" s="50" t="e">
        <v>#DIV/0!</v>
      </c>
    </row>
    <row r="1481" spans="1:10" ht="16" thickBot="1" x14ac:dyDescent="0.25">
      <c r="A1481" s="60" t="s">
        <v>1</v>
      </c>
      <c r="B1481" s="61"/>
      <c r="C1481" s="62"/>
      <c r="D1481" s="63" t="s">
        <v>51</v>
      </c>
      <c r="E1481" s="64"/>
      <c r="F1481" s="58" t="s">
        <v>0</v>
      </c>
      <c r="G1481" s="18">
        <v>44157</v>
      </c>
      <c r="H1481" s="65" t="s">
        <v>24</v>
      </c>
      <c r="I1481" s="66"/>
      <c r="J1481" s="49">
        <v>120</v>
      </c>
    </row>
    <row r="1482" spans="1:10" ht="16" thickBot="1" x14ac:dyDescent="0.25">
      <c r="A1482" s="67" t="s">
        <v>2</v>
      </c>
      <c r="B1482" s="68"/>
      <c r="C1482" s="69"/>
      <c r="D1482" s="70"/>
      <c r="E1482" s="71"/>
      <c r="F1482" s="72"/>
      <c r="G1482" s="73"/>
      <c r="H1482" s="74" t="s">
        <v>25</v>
      </c>
      <c r="I1482" s="75"/>
      <c r="J1482" s="49">
        <v>27.5</v>
      </c>
    </row>
    <row r="1483" spans="1:10" ht="16" thickBot="1" x14ac:dyDescent="0.25">
      <c r="A1483" s="76" t="s">
        <v>27</v>
      </c>
      <c r="B1483" s="77"/>
      <c r="C1483" s="78"/>
      <c r="D1483" s="79" t="s">
        <v>36</v>
      </c>
      <c r="E1483" s="80"/>
      <c r="F1483" s="48" t="s">
        <v>30</v>
      </c>
      <c r="G1483" s="48">
        <v>3.81</v>
      </c>
      <c r="H1483" s="81" t="s">
        <v>26</v>
      </c>
      <c r="I1483" s="82"/>
      <c r="J1483" s="50">
        <v>53.5</v>
      </c>
    </row>
    <row r="1484" spans="1:10" x14ac:dyDescent="0.2">
      <c r="A1484" s="83"/>
      <c r="B1484" s="84"/>
      <c r="C1484" s="51" t="s">
        <v>29</v>
      </c>
      <c r="D1484" s="51" t="s">
        <v>19</v>
      </c>
      <c r="E1484" s="51" t="s">
        <v>15</v>
      </c>
      <c r="F1484" s="51" t="s">
        <v>18</v>
      </c>
      <c r="G1484" s="51" t="s">
        <v>17</v>
      </c>
      <c r="H1484" s="48" t="s">
        <v>28</v>
      </c>
      <c r="I1484" s="48" t="s">
        <v>16</v>
      </c>
      <c r="J1484" s="52" t="s">
        <v>23</v>
      </c>
    </row>
    <row r="1485" spans="1:10" x14ac:dyDescent="0.2">
      <c r="A1485" s="86" t="s">
        <v>3</v>
      </c>
      <c r="B1485" s="53" t="s">
        <v>20</v>
      </c>
      <c r="C1485" s="88">
        <v>10</v>
      </c>
      <c r="D1485" s="54"/>
      <c r="E1485" s="54">
        <v>2.431</v>
      </c>
      <c r="F1485" s="54">
        <v>3.4750000000000001</v>
      </c>
      <c r="G1485" s="54">
        <v>5.2119999999999997</v>
      </c>
      <c r="H1485" s="54">
        <v>0.19971222999999999</v>
      </c>
      <c r="I1485" s="54">
        <v>0</v>
      </c>
      <c r="J1485" s="55">
        <v>0</v>
      </c>
    </row>
    <row r="1486" spans="1:10" x14ac:dyDescent="0.2">
      <c r="A1486" s="85"/>
      <c r="B1486" s="53" t="s">
        <v>21</v>
      </c>
      <c r="C1486" s="89"/>
      <c r="D1486" s="48">
        <v>580</v>
      </c>
      <c r="E1486" s="48">
        <v>2.4239999999999999</v>
      </c>
      <c r="F1486" s="48">
        <v>3.27</v>
      </c>
      <c r="G1486" s="48">
        <v>5.0739999999999998</v>
      </c>
      <c r="H1486" s="48">
        <v>0.18960245000000001</v>
      </c>
      <c r="I1486" s="48">
        <v>470.03058099999998</v>
      </c>
      <c r="J1486" s="52" t="e">
        <v>#DIV/0!</v>
      </c>
    </row>
    <row r="1487" spans="1:10" x14ac:dyDescent="0.2">
      <c r="A1487" s="87"/>
      <c r="B1487" s="56" t="s">
        <v>22</v>
      </c>
      <c r="C1487" s="90"/>
      <c r="D1487" s="57"/>
      <c r="E1487" s="57">
        <v>2.4329999999999998</v>
      </c>
      <c r="F1487" s="57">
        <v>3.0630000000000002</v>
      </c>
      <c r="G1487" s="57">
        <v>4.9119999999999999</v>
      </c>
      <c r="H1487" s="57">
        <v>0.19066274999999999</v>
      </c>
      <c r="I1487" s="57">
        <v>0</v>
      </c>
      <c r="J1487" s="49" t="e">
        <v>#DIV/0!</v>
      </c>
    </row>
    <row r="1488" spans="1:10" x14ac:dyDescent="0.2">
      <c r="A1488" s="91" t="s">
        <v>4</v>
      </c>
      <c r="B1488" s="53" t="s">
        <v>20</v>
      </c>
      <c r="C1488" s="92">
        <v>10</v>
      </c>
      <c r="D1488" s="48"/>
      <c r="E1488" s="48">
        <v>2.4350000000000001</v>
      </c>
      <c r="F1488" s="48">
        <v>3.15</v>
      </c>
      <c r="G1488" s="48">
        <v>5.008</v>
      </c>
      <c r="H1488" s="48">
        <v>0.18317459999999999</v>
      </c>
      <c r="I1488" s="48">
        <v>0</v>
      </c>
      <c r="J1488" s="52">
        <v>0</v>
      </c>
    </row>
    <row r="1489" spans="1:10" x14ac:dyDescent="0.2">
      <c r="A1489" s="85"/>
      <c r="B1489" s="53" t="s">
        <v>21</v>
      </c>
      <c r="C1489" s="89"/>
      <c r="D1489" s="48">
        <v>763</v>
      </c>
      <c r="E1489" s="48">
        <v>2.4340000000000002</v>
      </c>
      <c r="F1489" s="48">
        <v>3.2080000000000002</v>
      </c>
      <c r="G1489" s="48">
        <v>5.141</v>
      </c>
      <c r="H1489" s="48">
        <v>0.15617207</v>
      </c>
      <c r="I1489" s="48">
        <v>643.84071070000005</v>
      </c>
      <c r="J1489" s="52" t="e">
        <v>#DIV/0!</v>
      </c>
    </row>
    <row r="1490" spans="1:10" x14ac:dyDescent="0.2">
      <c r="A1490" s="87"/>
      <c r="B1490" s="56" t="s">
        <v>22</v>
      </c>
      <c r="C1490" s="90"/>
      <c r="D1490" s="57"/>
      <c r="E1490" s="57">
        <v>2.4449999999999998</v>
      </c>
      <c r="F1490" s="57">
        <v>3.2930000000000001</v>
      </c>
      <c r="G1490" s="57">
        <v>5.133</v>
      </c>
      <c r="H1490" s="57">
        <v>0.18372305</v>
      </c>
      <c r="I1490" s="57">
        <v>0</v>
      </c>
      <c r="J1490" s="49" t="e">
        <v>#DIV/0!</v>
      </c>
    </row>
    <row r="1491" spans="1:10" x14ac:dyDescent="0.2">
      <c r="A1491" s="91" t="s">
        <v>5</v>
      </c>
      <c r="B1491" s="53" t="s">
        <v>20</v>
      </c>
      <c r="C1491" s="92">
        <v>10</v>
      </c>
      <c r="D1491" s="48"/>
      <c r="E1491" s="48">
        <v>2.4359999999999999</v>
      </c>
      <c r="F1491" s="48">
        <v>3.1859999999999999</v>
      </c>
      <c r="G1491" s="48">
        <v>5.101</v>
      </c>
      <c r="H1491" s="48">
        <v>0.16352792999999999</v>
      </c>
      <c r="I1491" s="48">
        <v>0</v>
      </c>
      <c r="J1491" s="52">
        <v>0</v>
      </c>
    </row>
    <row r="1492" spans="1:10" x14ac:dyDescent="0.2">
      <c r="A1492" s="85"/>
      <c r="B1492" s="53" t="s">
        <v>21</v>
      </c>
      <c r="C1492" s="89"/>
      <c r="D1492" s="48">
        <v>745</v>
      </c>
      <c r="E1492" s="48">
        <v>2.4359999999999999</v>
      </c>
      <c r="F1492" s="48">
        <v>3.2189999999999999</v>
      </c>
      <c r="G1492" s="48">
        <v>5.0259999999999998</v>
      </c>
      <c r="H1492" s="48">
        <v>0.1954023</v>
      </c>
      <c r="I1492" s="48">
        <v>599.4252874</v>
      </c>
      <c r="J1492" s="52" t="e">
        <v>#DIV/0!</v>
      </c>
    </row>
    <row r="1493" spans="1:10" x14ac:dyDescent="0.2">
      <c r="A1493" s="87"/>
      <c r="B1493" s="56" t="s">
        <v>22</v>
      </c>
      <c r="C1493" s="90"/>
      <c r="D1493" s="57"/>
      <c r="E1493" s="57">
        <v>2.4239999999999999</v>
      </c>
      <c r="F1493" s="57">
        <v>3.5</v>
      </c>
      <c r="G1493" s="57">
        <v>5.2389999999999999</v>
      </c>
      <c r="H1493" s="57">
        <v>0.19571429000000001</v>
      </c>
      <c r="I1493" s="57">
        <v>0</v>
      </c>
      <c r="J1493" s="49" t="e">
        <v>#DIV/0!</v>
      </c>
    </row>
    <row r="1494" spans="1:10" x14ac:dyDescent="0.2">
      <c r="A1494" s="91" t="s">
        <v>6</v>
      </c>
      <c r="B1494" s="53" t="s">
        <v>20</v>
      </c>
      <c r="C1494" s="92">
        <v>10</v>
      </c>
      <c r="D1494" s="48"/>
      <c r="E1494" s="48">
        <v>2.464</v>
      </c>
      <c r="F1494" s="48">
        <v>3.8660000000000001</v>
      </c>
      <c r="G1494" s="48">
        <v>5.6909999999999998</v>
      </c>
      <c r="H1494" s="48">
        <v>0.16528712000000001</v>
      </c>
      <c r="I1494" s="48">
        <v>0</v>
      </c>
      <c r="J1494" s="52">
        <v>0</v>
      </c>
    </row>
    <row r="1495" spans="1:10" x14ac:dyDescent="0.2">
      <c r="A1495" s="85"/>
      <c r="B1495" s="53" t="s">
        <v>21</v>
      </c>
      <c r="C1495" s="89"/>
      <c r="D1495" s="48">
        <v>835</v>
      </c>
      <c r="E1495" s="48">
        <v>2.423</v>
      </c>
      <c r="F1495" s="48">
        <v>3.2229999999999999</v>
      </c>
      <c r="G1495" s="48">
        <v>5.1050000000000004</v>
      </c>
      <c r="H1495" s="48">
        <v>0.16785602999999999</v>
      </c>
      <c r="I1495" s="48">
        <v>694.84021099999995</v>
      </c>
      <c r="J1495" s="52" t="e">
        <v>#DIV/0!</v>
      </c>
    </row>
    <row r="1496" spans="1:10" x14ac:dyDescent="0.2">
      <c r="A1496" s="87"/>
      <c r="B1496" s="56" t="s">
        <v>22</v>
      </c>
      <c r="C1496" s="90"/>
      <c r="D1496" s="57"/>
      <c r="E1496" s="57">
        <v>2.4369999999999998</v>
      </c>
      <c r="F1496" s="57">
        <v>3.4580000000000002</v>
      </c>
      <c r="G1496" s="57">
        <v>5.3129999999999997</v>
      </c>
      <c r="H1496" s="57">
        <v>0.16830538</v>
      </c>
      <c r="I1496" s="57">
        <v>0</v>
      </c>
      <c r="J1496" s="49" t="e">
        <v>#DIV/0!</v>
      </c>
    </row>
    <row r="1497" spans="1:10" x14ac:dyDescent="0.2">
      <c r="A1497" s="91" t="s">
        <v>7</v>
      </c>
      <c r="B1497" s="53" t="s">
        <v>20</v>
      </c>
      <c r="C1497" s="92">
        <v>10</v>
      </c>
      <c r="D1497" s="48"/>
      <c r="E1497" s="48">
        <v>2.4169999999999998</v>
      </c>
      <c r="F1497" s="48">
        <v>3.516</v>
      </c>
      <c r="G1497" s="48">
        <v>5.3540000000000001</v>
      </c>
      <c r="H1497" s="48">
        <v>0.16467577</v>
      </c>
      <c r="I1497" s="48">
        <v>0</v>
      </c>
      <c r="J1497" s="52">
        <v>0</v>
      </c>
    </row>
    <row r="1498" spans="1:10" x14ac:dyDescent="0.2">
      <c r="A1498" s="85"/>
      <c r="B1498" s="53" t="s">
        <v>21</v>
      </c>
      <c r="C1498" s="89"/>
      <c r="D1498" s="48">
        <v>847</v>
      </c>
      <c r="E1498" s="48">
        <v>2.4159999999999999</v>
      </c>
      <c r="F1498" s="48">
        <v>3.0790000000000002</v>
      </c>
      <c r="G1498" s="48">
        <v>4.9800000000000004</v>
      </c>
      <c r="H1498" s="48">
        <v>0.1672621</v>
      </c>
      <c r="I1498" s="48">
        <v>705.32900289999998</v>
      </c>
      <c r="J1498" s="52" t="e">
        <v>#DIV/0!</v>
      </c>
    </row>
    <row r="1499" spans="1:10" x14ac:dyDescent="0.2">
      <c r="A1499" s="87"/>
      <c r="B1499" s="56" t="s">
        <v>22</v>
      </c>
      <c r="C1499" s="90"/>
      <c r="D1499" s="57"/>
      <c r="E1499" s="57">
        <v>2.42</v>
      </c>
      <c r="F1499" s="57">
        <v>3.3940000000000001</v>
      </c>
      <c r="G1499" s="57">
        <v>5.2370000000000001</v>
      </c>
      <c r="H1499" s="57">
        <v>0.17000588999999999</v>
      </c>
      <c r="I1499" s="57">
        <v>0</v>
      </c>
      <c r="J1499" s="49" t="e">
        <v>#DIV/0!</v>
      </c>
    </row>
    <row r="1500" spans="1:10" x14ac:dyDescent="0.2">
      <c r="A1500" s="91" t="s">
        <v>8</v>
      </c>
      <c r="B1500" s="53" t="s">
        <v>20</v>
      </c>
      <c r="C1500" s="92">
        <v>10</v>
      </c>
      <c r="D1500" s="48"/>
      <c r="E1500" s="48">
        <v>2.4279999999999999</v>
      </c>
      <c r="F1500" s="48">
        <v>3.0640000000000001</v>
      </c>
      <c r="G1500" s="48">
        <v>4.9710000000000001</v>
      </c>
      <c r="H1500" s="48">
        <v>0.17003915999999999</v>
      </c>
      <c r="I1500" s="48">
        <v>0</v>
      </c>
      <c r="J1500" s="52">
        <v>0</v>
      </c>
    </row>
    <row r="1501" spans="1:10" x14ac:dyDescent="0.2">
      <c r="A1501" s="85"/>
      <c r="B1501" s="53" t="s">
        <v>21</v>
      </c>
      <c r="C1501" s="89"/>
      <c r="D1501" s="48">
        <v>786</v>
      </c>
      <c r="E1501" s="48">
        <v>2.4430000000000001</v>
      </c>
      <c r="F1501" s="48">
        <v>3.1629999999999998</v>
      </c>
      <c r="G1501" s="48">
        <v>5.09</v>
      </c>
      <c r="H1501" s="48">
        <v>0.16313626000000001</v>
      </c>
      <c r="I1501" s="48">
        <v>657.77489720000005</v>
      </c>
      <c r="J1501" s="52" t="e">
        <v>#DIV/0!</v>
      </c>
    </row>
    <row r="1502" spans="1:10" x14ac:dyDescent="0.2">
      <c r="A1502" s="87"/>
      <c r="B1502" s="56" t="s">
        <v>22</v>
      </c>
      <c r="C1502" s="90"/>
      <c r="D1502" s="57"/>
      <c r="E1502" s="57">
        <v>2.4380000000000002</v>
      </c>
      <c r="F1502" s="57">
        <v>3.1419999999999999</v>
      </c>
      <c r="G1502" s="57">
        <v>5.0609999999999999</v>
      </c>
      <c r="H1502" s="57">
        <v>0.16518141</v>
      </c>
      <c r="I1502" s="57">
        <v>0</v>
      </c>
      <c r="J1502" s="49" t="e">
        <v>#DIV/0!</v>
      </c>
    </row>
    <row r="1503" spans="1:10" x14ac:dyDescent="0.2">
      <c r="A1503" s="91" t="s">
        <v>9</v>
      </c>
      <c r="B1503" s="53" t="s">
        <v>20</v>
      </c>
      <c r="C1503" s="92">
        <v>10</v>
      </c>
      <c r="D1503" s="48"/>
      <c r="E1503" s="48">
        <v>2.4119999999999999</v>
      </c>
      <c r="F1503" s="48">
        <v>3.2360000000000002</v>
      </c>
      <c r="G1503" s="48">
        <v>5.0869999999999997</v>
      </c>
      <c r="H1503" s="48">
        <v>0.17336218</v>
      </c>
      <c r="I1503" s="48">
        <v>0</v>
      </c>
      <c r="J1503" s="52">
        <v>0</v>
      </c>
    </row>
    <row r="1504" spans="1:10" x14ac:dyDescent="0.2">
      <c r="A1504" s="85"/>
      <c r="B1504" s="53" t="s">
        <v>21</v>
      </c>
      <c r="C1504" s="89"/>
      <c r="D1504" s="48">
        <v>780</v>
      </c>
      <c r="E1504" s="48">
        <v>2.4180000000000001</v>
      </c>
      <c r="F1504" s="48">
        <v>2.42</v>
      </c>
      <c r="G1504" s="48">
        <v>5.2350000000000003</v>
      </c>
      <c r="H1504" s="48">
        <v>-0.16404959999999999</v>
      </c>
      <c r="I1504" s="48">
        <v>907.95867769999995</v>
      </c>
      <c r="J1504" s="52" t="e">
        <v>#DIV/0!</v>
      </c>
    </row>
    <row r="1505" spans="1:10" x14ac:dyDescent="0.2">
      <c r="A1505" s="87"/>
      <c r="B1505" s="56" t="s">
        <v>22</v>
      </c>
      <c r="C1505" s="90"/>
      <c r="D1505" s="57"/>
      <c r="E1505" s="57">
        <v>2.4129999999999998</v>
      </c>
      <c r="F1505" s="57">
        <v>3.7890000000000001</v>
      </c>
      <c r="G1505" s="57">
        <v>5.51</v>
      </c>
      <c r="H1505" s="57">
        <v>0.18263393999999999</v>
      </c>
      <c r="I1505" s="57">
        <v>0</v>
      </c>
      <c r="J1505" s="49" t="e">
        <v>#DIV/0!</v>
      </c>
    </row>
    <row r="1506" spans="1:10" x14ac:dyDescent="0.2">
      <c r="A1506" s="91" t="s">
        <v>10</v>
      </c>
      <c r="B1506" s="53" t="s">
        <v>20</v>
      </c>
      <c r="C1506" s="92">
        <v>10</v>
      </c>
      <c r="D1506" s="48"/>
      <c r="E1506" s="48">
        <v>2.4529999999999998</v>
      </c>
      <c r="F1506" s="48">
        <v>3.0030000000000001</v>
      </c>
      <c r="G1506" s="48">
        <v>5.9029999999999996</v>
      </c>
      <c r="H1506" s="48">
        <v>-0.14885109999999999</v>
      </c>
      <c r="I1506" s="48">
        <v>0</v>
      </c>
      <c r="J1506" s="52">
        <v>0</v>
      </c>
    </row>
    <row r="1507" spans="1:10" x14ac:dyDescent="0.2">
      <c r="A1507" s="85"/>
      <c r="B1507" s="53" t="s">
        <v>21</v>
      </c>
      <c r="C1507" s="89"/>
      <c r="D1507" s="48">
        <v>816</v>
      </c>
      <c r="E1507" s="48">
        <v>2.448</v>
      </c>
      <c r="F1507" s="48">
        <v>3.2010000000000001</v>
      </c>
      <c r="G1507" s="48">
        <v>5.0529999999999999</v>
      </c>
      <c r="H1507" s="48">
        <v>0.18619182000000001</v>
      </c>
      <c r="I1507" s="48">
        <v>664.06747889999997</v>
      </c>
      <c r="J1507" s="52" t="e">
        <v>#DIV/0!</v>
      </c>
    </row>
    <row r="1508" spans="1:10" x14ac:dyDescent="0.2">
      <c r="A1508" s="87"/>
      <c r="B1508" s="56" t="s">
        <v>22</v>
      </c>
      <c r="C1508" s="90"/>
      <c r="D1508" s="57"/>
      <c r="E1508" s="57">
        <v>2.4460000000000002</v>
      </c>
      <c r="F1508" s="57">
        <v>3.1880000000000002</v>
      </c>
      <c r="G1508" s="57">
        <v>4.9729999999999999</v>
      </c>
      <c r="H1508" s="57">
        <v>0.20734003000000001</v>
      </c>
      <c r="I1508" s="57">
        <v>0</v>
      </c>
      <c r="J1508" s="49" t="e">
        <v>#DIV/0!</v>
      </c>
    </row>
    <row r="1509" spans="1:10" x14ac:dyDescent="0.2">
      <c r="A1509" s="91" t="s">
        <v>11</v>
      </c>
      <c r="B1509" s="53" t="s">
        <v>20</v>
      </c>
      <c r="C1509" s="92">
        <v>10</v>
      </c>
      <c r="D1509" s="48"/>
      <c r="E1509" s="48">
        <v>2.42</v>
      </c>
      <c r="F1509" s="48">
        <v>3.77</v>
      </c>
      <c r="G1509" s="48">
        <v>5.4729999999999999</v>
      </c>
      <c r="H1509" s="48">
        <v>0.19018568</v>
      </c>
      <c r="I1509" s="48">
        <v>0</v>
      </c>
      <c r="J1509" s="52">
        <v>0</v>
      </c>
    </row>
    <row r="1510" spans="1:10" x14ac:dyDescent="0.2">
      <c r="A1510" s="85"/>
      <c r="B1510" s="53" t="s">
        <v>21</v>
      </c>
      <c r="C1510" s="89"/>
      <c r="D1510" s="48">
        <v>844</v>
      </c>
      <c r="E1510" s="48">
        <v>2.419</v>
      </c>
      <c r="F1510" s="48">
        <v>3.0190000000000001</v>
      </c>
      <c r="G1510" s="48">
        <v>4.8559999999999999</v>
      </c>
      <c r="H1510" s="48">
        <v>0.19277907</v>
      </c>
      <c r="I1510" s="48">
        <v>681.29446840000003</v>
      </c>
      <c r="J1510" s="52" t="e">
        <v>#DIV/0!</v>
      </c>
    </row>
    <row r="1511" spans="1:10" x14ac:dyDescent="0.2">
      <c r="A1511" s="87"/>
      <c r="B1511" s="56" t="s">
        <v>22</v>
      </c>
      <c r="C1511" s="90"/>
      <c r="D1511" s="57"/>
      <c r="E1511" s="57">
        <v>2.4529999999999998</v>
      </c>
      <c r="F1511" s="57">
        <v>3.242</v>
      </c>
      <c r="G1511" s="57">
        <v>5.09</v>
      </c>
      <c r="H1511" s="57">
        <v>0.18661320000000001</v>
      </c>
      <c r="I1511" s="57">
        <v>0</v>
      </c>
      <c r="J1511" s="49" t="e">
        <v>#DIV/0!</v>
      </c>
    </row>
    <row r="1512" spans="1:10" x14ac:dyDescent="0.2">
      <c r="A1512" s="91" t="s">
        <v>12</v>
      </c>
      <c r="B1512" s="53" t="s">
        <v>20</v>
      </c>
      <c r="C1512" s="92">
        <v>10</v>
      </c>
      <c r="D1512" s="48"/>
      <c r="E1512" s="48">
        <v>2.4489999999999998</v>
      </c>
      <c r="F1512" s="48">
        <v>3.8490000000000002</v>
      </c>
      <c r="G1512" s="48">
        <v>5.5359999999999996</v>
      </c>
      <c r="H1512" s="48">
        <v>0.1979735</v>
      </c>
      <c r="I1512" s="48">
        <v>0</v>
      </c>
      <c r="J1512" s="52">
        <v>0</v>
      </c>
    </row>
    <row r="1513" spans="1:10" x14ac:dyDescent="0.2">
      <c r="A1513" s="85"/>
      <c r="B1513" s="53" t="s">
        <v>21</v>
      </c>
      <c r="C1513" s="89"/>
      <c r="D1513" s="48">
        <v>765</v>
      </c>
      <c r="E1513" s="48">
        <v>2.4140000000000001</v>
      </c>
      <c r="F1513" s="48">
        <v>3.069</v>
      </c>
      <c r="G1513" s="48">
        <v>4.883</v>
      </c>
      <c r="H1513" s="48">
        <v>0.19550342000000001</v>
      </c>
      <c r="I1513" s="48">
        <v>615.4398827</v>
      </c>
      <c r="J1513" s="52" t="e">
        <v>#DIV/0!</v>
      </c>
    </row>
    <row r="1514" spans="1:10" x14ac:dyDescent="0.2">
      <c r="A1514" s="87"/>
      <c r="B1514" s="56" t="s">
        <v>22</v>
      </c>
      <c r="C1514" s="90"/>
      <c r="D1514" s="57"/>
      <c r="E1514" s="57">
        <v>2.4380000000000002</v>
      </c>
      <c r="F1514" s="57">
        <v>3.0779999999999998</v>
      </c>
      <c r="G1514" s="57">
        <v>4.9059999999999997</v>
      </c>
      <c r="H1514" s="57">
        <v>0.19818063999999999</v>
      </c>
      <c r="I1514" s="57">
        <v>0</v>
      </c>
      <c r="J1514" s="49" t="e">
        <v>#DIV/0!</v>
      </c>
    </row>
    <row r="1515" spans="1:10" x14ac:dyDescent="0.2">
      <c r="A1515" s="91" t="s">
        <v>13</v>
      </c>
      <c r="B1515" s="53" t="s">
        <v>20</v>
      </c>
      <c r="C1515" s="92">
        <v>10</v>
      </c>
      <c r="D1515" s="48"/>
      <c r="E1515" s="48">
        <v>2.4390000000000001</v>
      </c>
      <c r="F1515" s="48">
        <v>3.8820000000000001</v>
      </c>
      <c r="G1515" s="48">
        <v>5.5449999999999999</v>
      </c>
      <c r="H1515" s="48">
        <v>0.19989696000000001</v>
      </c>
      <c r="I1515" s="48">
        <v>0</v>
      </c>
      <c r="J1515" s="52">
        <v>0</v>
      </c>
    </row>
    <row r="1516" spans="1:10" x14ac:dyDescent="0.2">
      <c r="A1516" s="85"/>
      <c r="B1516" s="53" t="s">
        <v>21</v>
      </c>
      <c r="C1516" s="89"/>
      <c r="D1516" s="48">
        <v>674</v>
      </c>
      <c r="E1516" s="48">
        <v>2.4820000000000002</v>
      </c>
      <c r="F1516" s="48">
        <v>3.5979999999999999</v>
      </c>
      <c r="G1516" s="48">
        <v>5.3440000000000003</v>
      </c>
      <c r="H1516" s="48">
        <v>0.20455809</v>
      </c>
      <c r="I1516" s="48">
        <v>536.12784880000004</v>
      </c>
      <c r="J1516" s="52" t="e">
        <v>#DIV/0!</v>
      </c>
    </row>
    <row r="1517" spans="1:10" x14ac:dyDescent="0.2">
      <c r="A1517" s="87"/>
      <c r="B1517" s="56" t="s">
        <v>22</v>
      </c>
      <c r="C1517" s="90"/>
      <c r="D1517" s="57"/>
      <c r="E1517" s="57">
        <v>2.444</v>
      </c>
      <c r="F1517" s="57">
        <v>3.9980000000000002</v>
      </c>
      <c r="G1517" s="57">
        <v>5.6449999999999996</v>
      </c>
      <c r="H1517" s="57">
        <v>0.19934967000000001</v>
      </c>
      <c r="I1517" s="57">
        <v>0</v>
      </c>
      <c r="J1517" s="49" t="e">
        <v>#DIV/0!</v>
      </c>
    </row>
    <row r="1518" spans="1:10" x14ac:dyDescent="0.2">
      <c r="A1518" s="91" t="s">
        <v>14</v>
      </c>
      <c r="B1518" s="53" t="s">
        <v>20</v>
      </c>
      <c r="C1518" s="92">
        <v>10</v>
      </c>
      <c r="D1518" s="48"/>
      <c r="E1518" s="48">
        <v>2.448</v>
      </c>
      <c r="F1518" s="48">
        <v>3.0390000000000001</v>
      </c>
      <c r="G1518" s="48">
        <v>4.8140000000000001</v>
      </c>
      <c r="H1518" s="48">
        <v>0.22145443000000001</v>
      </c>
      <c r="I1518" s="48">
        <v>0</v>
      </c>
      <c r="J1518" s="52">
        <v>0</v>
      </c>
    </row>
    <row r="1519" spans="1:10" x14ac:dyDescent="0.2">
      <c r="A1519" s="85"/>
      <c r="B1519" s="53" t="s">
        <v>21</v>
      </c>
      <c r="C1519" s="89"/>
      <c r="D1519" s="48">
        <v>841</v>
      </c>
      <c r="E1519" s="48">
        <v>2.4049999999999998</v>
      </c>
      <c r="F1519" s="48">
        <v>3.42</v>
      </c>
      <c r="G1519" s="48">
        <v>5.0839999999999996</v>
      </c>
      <c r="H1519" s="48">
        <v>0.21666667000000001</v>
      </c>
      <c r="I1519" s="48">
        <v>658.78333329999998</v>
      </c>
      <c r="J1519" s="52" t="e">
        <v>#DIV/0!</v>
      </c>
    </row>
    <row r="1520" spans="1:10" ht="16" thickBot="1" x14ac:dyDescent="0.25">
      <c r="A1520" s="93"/>
      <c r="B1520" s="58" t="s">
        <v>22</v>
      </c>
      <c r="C1520" s="94"/>
      <c r="D1520" s="59"/>
      <c r="E1520" s="59">
        <v>2.4529999999999998</v>
      </c>
      <c r="F1520" s="59">
        <v>3.177</v>
      </c>
      <c r="G1520" s="59">
        <v>4.9210000000000003</v>
      </c>
      <c r="H1520" s="59">
        <v>0.22316651000000001</v>
      </c>
      <c r="I1520" s="59">
        <v>0</v>
      </c>
      <c r="J1520" s="50" t="e">
        <v>#DIV/0!</v>
      </c>
    </row>
    <row r="1521" spans="1:10" ht="16" thickBot="1" x14ac:dyDescent="0.25">
      <c r="A1521" s="60" t="s">
        <v>1</v>
      </c>
      <c r="B1521" s="61"/>
      <c r="C1521" s="62"/>
      <c r="D1521" s="63" t="s">
        <v>51</v>
      </c>
      <c r="E1521" s="64"/>
      <c r="F1521" s="58" t="s">
        <v>0</v>
      </c>
      <c r="G1521" s="18">
        <v>44157</v>
      </c>
      <c r="H1521" s="65" t="s">
        <v>24</v>
      </c>
      <c r="I1521" s="66"/>
      <c r="J1521" s="49">
        <v>93.5</v>
      </c>
    </row>
    <row r="1522" spans="1:10" ht="16" thickBot="1" x14ac:dyDescent="0.25">
      <c r="A1522" s="67" t="s">
        <v>2</v>
      </c>
      <c r="B1522" s="68"/>
      <c r="C1522" s="69"/>
      <c r="D1522" s="70"/>
      <c r="E1522" s="71"/>
      <c r="F1522" s="72"/>
      <c r="G1522" s="73"/>
      <c r="H1522" s="74" t="s">
        <v>25</v>
      </c>
      <c r="I1522" s="75"/>
      <c r="J1522" s="49">
        <v>31</v>
      </c>
    </row>
    <row r="1523" spans="1:10" ht="16" thickBot="1" x14ac:dyDescent="0.25">
      <c r="A1523" s="76" t="s">
        <v>27</v>
      </c>
      <c r="B1523" s="77"/>
      <c r="C1523" s="78"/>
      <c r="D1523" s="79" t="s">
        <v>32</v>
      </c>
      <c r="E1523" s="80"/>
      <c r="F1523" s="48" t="s">
        <v>30</v>
      </c>
      <c r="G1523" s="48">
        <v>3.81</v>
      </c>
      <c r="H1523" s="81" t="s">
        <v>26</v>
      </c>
      <c r="I1523" s="82"/>
      <c r="J1523" s="50">
        <v>60.5</v>
      </c>
    </row>
    <row r="1524" spans="1:10" x14ac:dyDescent="0.2">
      <c r="A1524" s="83"/>
      <c r="B1524" s="84"/>
      <c r="C1524" s="51" t="s">
        <v>29</v>
      </c>
      <c r="D1524" s="51" t="s">
        <v>19</v>
      </c>
      <c r="E1524" s="51" t="s">
        <v>15</v>
      </c>
      <c r="F1524" s="51" t="s">
        <v>18</v>
      </c>
      <c r="G1524" s="51" t="s">
        <v>17</v>
      </c>
      <c r="H1524" s="48" t="s">
        <v>28</v>
      </c>
      <c r="I1524" s="48" t="s">
        <v>16</v>
      </c>
      <c r="J1524" s="52" t="s">
        <v>23</v>
      </c>
    </row>
    <row r="1525" spans="1:10" x14ac:dyDescent="0.2">
      <c r="A1525" s="86" t="s">
        <v>3</v>
      </c>
      <c r="B1525" s="53" t="s">
        <v>20</v>
      </c>
      <c r="C1525" s="88">
        <v>10</v>
      </c>
      <c r="D1525" s="54"/>
      <c r="E1525" s="54">
        <v>2.4340000000000002</v>
      </c>
      <c r="F1525" s="54">
        <v>3.2</v>
      </c>
      <c r="G1525" s="54">
        <v>5.0339999999999998</v>
      </c>
      <c r="H1525" s="54">
        <v>0.1875</v>
      </c>
      <c r="I1525" s="54">
        <v>0</v>
      </c>
      <c r="J1525" s="55">
        <v>0</v>
      </c>
    </row>
    <row r="1526" spans="1:10" x14ac:dyDescent="0.2">
      <c r="A1526" s="85"/>
      <c r="B1526" s="53" t="s">
        <v>21</v>
      </c>
      <c r="C1526" s="89"/>
      <c r="D1526" s="48">
        <v>539</v>
      </c>
      <c r="E1526" s="48">
        <v>2.419</v>
      </c>
      <c r="F1526" s="48">
        <v>3.5019999999999998</v>
      </c>
      <c r="G1526" s="48">
        <v>5.2679999999999998</v>
      </c>
      <c r="H1526" s="48">
        <v>0.18646488</v>
      </c>
      <c r="I1526" s="48">
        <v>438.49543119999998</v>
      </c>
      <c r="J1526" s="52" t="e">
        <v>#DIV/0!</v>
      </c>
    </row>
    <row r="1527" spans="1:10" x14ac:dyDescent="0.2">
      <c r="A1527" s="87"/>
      <c r="B1527" s="56" t="s">
        <v>22</v>
      </c>
      <c r="C1527" s="90"/>
      <c r="D1527" s="57"/>
      <c r="E1527" s="57">
        <v>2.4380000000000002</v>
      </c>
      <c r="F1527" s="57">
        <v>3.0449999999999999</v>
      </c>
      <c r="G1527" s="57">
        <v>4.92</v>
      </c>
      <c r="H1527" s="57">
        <v>0.18489327</v>
      </c>
      <c r="I1527" s="57">
        <v>0</v>
      </c>
      <c r="J1527" s="49" t="e">
        <v>#DIV/0!</v>
      </c>
    </row>
    <row r="1528" spans="1:10" x14ac:dyDescent="0.2">
      <c r="A1528" s="91" t="s">
        <v>4</v>
      </c>
      <c r="B1528" s="53" t="s">
        <v>20</v>
      </c>
      <c r="C1528" s="92">
        <v>10</v>
      </c>
      <c r="D1528" s="48"/>
      <c r="E1528" s="48">
        <v>2.4329999999999998</v>
      </c>
      <c r="F1528" s="48">
        <v>3.5059999999999998</v>
      </c>
      <c r="G1528" s="48">
        <v>5.3339999999999996</v>
      </c>
      <c r="H1528" s="48">
        <v>0.17256131999999999</v>
      </c>
      <c r="I1528" s="48">
        <v>0</v>
      </c>
      <c r="J1528" s="52">
        <v>0</v>
      </c>
    </row>
    <row r="1529" spans="1:10" x14ac:dyDescent="0.2">
      <c r="A1529" s="85"/>
      <c r="B1529" s="53" t="s">
        <v>21</v>
      </c>
      <c r="C1529" s="89"/>
      <c r="D1529" s="48">
        <v>758</v>
      </c>
      <c r="E1529" s="48">
        <v>2.4340000000000002</v>
      </c>
      <c r="F1529" s="48">
        <v>3.8639999999999999</v>
      </c>
      <c r="G1529" s="48">
        <v>5.5880000000000001</v>
      </c>
      <c r="H1529" s="48">
        <v>0.18374741</v>
      </c>
      <c r="I1529" s="48">
        <v>618.71946170000001</v>
      </c>
      <c r="J1529" s="52" t="e">
        <v>#DIV/0!</v>
      </c>
    </row>
    <row r="1530" spans="1:10" x14ac:dyDescent="0.2">
      <c r="A1530" s="87"/>
      <c r="B1530" s="56" t="s">
        <v>22</v>
      </c>
      <c r="C1530" s="90"/>
      <c r="D1530" s="57"/>
      <c r="E1530" s="57">
        <v>2.4409999999999998</v>
      </c>
      <c r="F1530" s="57">
        <v>3.2160000000000002</v>
      </c>
      <c r="G1530" s="57">
        <v>5.0650000000000004</v>
      </c>
      <c r="H1530" s="57">
        <v>0.18407960000000001</v>
      </c>
      <c r="I1530" s="57">
        <v>0</v>
      </c>
      <c r="J1530" s="49" t="e">
        <v>#DIV/0!</v>
      </c>
    </row>
    <row r="1531" spans="1:10" x14ac:dyDescent="0.2">
      <c r="A1531" s="91" t="s">
        <v>5</v>
      </c>
      <c r="B1531" s="53" t="s">
        <v>20</v>
      </c>
      <c r="C1531" s="92">
        <v>10</v>
      </c>
      <c r="D1531" s="48"/>
      <c r="E1531" s="48">
        <v>2.4359999999999999</v>
      </c>
      <c r="F1531" s="48">
        <v>3.0009999999999999</v>
      </c>
      <c r="G1531" s="48">
        <v>4.8739999999999997</v>
      </c>
      <c r="H1531" s="48">
        <v>0.18760413000000001</v>
      </c>
      <c r="I1531" s="48">
        <v>0</v>
      </c>
      <c r="J1531" s="52">
        <v>0</v>
      </c>
    </row>
    <row r="1532" spans="1:10" x14ac:dyDescent="0.2">
      <c r="A1532" s="85"/>
      <c r="B1532" s="53" t="s">
        <v>21</v>
      </c>
      <c r="C1532" s="89"/>
      <c r="D1532" s="48">
        <v>678</v>
      </c>
      <c r="E1532" s="48">
        <v>2.4380000000000002</v>
      </c>
      <c r="F1532" s="48">
        <v>3.488</v>
      </c>
      <c r="G1532" s="48">
        <v>5.27</v>
      </c>
      <c r="H1532" s="48">
        <v>0.18807339000000001</v>
      </c>
      <c r="I1532" s="48">
        <v>550.48623850000001</v>
      </c>
      <c r="J1532" s="52" t="e">
        <v>#DIV/0!</v>
      </c>
    </row>
    <row r="1533" spans="1:10" x14ac:dyDescent="0.2">
      <c r="A1533" s="87"/>
      <c r="B1533" s="56" t="s">
        <v>22</v>
      </c>
      <c r="C1533" s="90"/>
      <c r="D1533" s="57"/>
      <c r="E1533" s="57">
        <v>2.4300000000000002</v>
      </c>
      <c r="F1533" s="57">
        <v>3.4590000000000001</v>
      </c>
      <c r="G1533" s="57">
        <v>5.22</v>
      </c>
      <c r="H1533" s="57">
        <v>0.19340850000000001</v>
      </c>
      <c r="I1533" s="57">
        <v>0</v>
      </c>
      <c r="J1533" s="49" t="e">
        <v>#DIV/0!</v>
      </c>
    </row>
    <row r="1534" spans="1:10" x14ac:dyDescent="0.2">
      <c r="A1534" s="91" t="s">
        <v>6</v>
      </c>
      <c r="B1534" s="53" t="s">
        <v>20</v>
      </c>
      <c r="C1534" s="92">
        <v>10</v>
      </c>
      <c r="D1534" s="48"/>
      <c r="E1534" s="48">
        <v>2.423</v>
      </c>
      <c r="F1534" s="48">
        <v>3.0990000000000002</v>
      </c>
      <c r="G1534" s="48">
        <v>5.0110000000000001</v>
      </c>
      <c r="H1534" s="48">
        <v>0.16489190000000001</v>
      </c>
      <c r="I1534" s="48">
        <v>0</v>
      </c>
      <c r="J1534" s="52">
        <v>0</v>
      </c>
    </row>
    <row r="1535" spans="1:10" x14ac:dyDescent="0.2">
      <c r="A1535" s="85"/>
      <c r="B1535" s="53" t="s">
        <v>21</v>
      </c>
      <c r="C1535" s="89"/>
      <c r="D1535" s="48">
        <v>877</v>
      </c>
      <c r="E1535" s="48">
        <v>2.4409999999999998</v>
      </c>
      <c r="F1535" s="48">
        <v>3.786</v>
      </c>
      <c r="G1535" s="48">
        <v>5.593</v>
      </c>
      <c r="H1535" s="48">
        <v>0.16745905999999999</v>
      </c>
      <c r="I1535" s="48">
        <v>730.13840459999994</v>
      </c>
      <c r="J1535" s="52" t="e">
        <v>#DIV/0!</v>
      </c>
    </row>
    <row r="1536" spans="1:10" x14ac:dyDescent="0.2">
      <c r="A1536" s="87"/>
      <c r="B1536" s="56" t="s">
        <v>22</v>
      </c>
      <c r="C1536" s="90"/>
      <c r="D1536" s="57"/>
      <c r="E1536" s="57">
        <v>2.444</v>
      </c>
      <c r="F1536" s="57">
        <v>3.4780000000000002</v>
      </c>
      <c r="G1536" s="57">
        <v>5.3449999999999998</v>
      </c>
      <c r="H1536" s="57">
        <v>0.16589994</v>
      </c>
      <c r="I1536" s="57">
        <v>0</v>
      </c>
      <c r="J1536" s="49" t="e">
        <v>#DIV/0!</v>
      </c>
    </row>
    <row r="1537" spans="1:10" x14ac:dyDescent="0.2">
      <c r="A1537" s="91" t="s">
        <v>7</v>
      </c>
      <c r="B1537" s="53" t="s">
        <v>20</v>
      </c>
      <c r="C1537" s="92">
        <v>10</v>
      </c>
      <c r="D1537" s="48"/>
      <c r="E1537" s="48">
        <v>2.4500000000000002</v>
      </c>
      <c r="F1537" s="48">
        <v>3.4830000000000001</v>
      </c>
      <c r="G1537" s="48">
        <v>5.35</v>
      </c>
      <c r="H1537" s="48">
        <v>0.16738444</v>
      </c>
      <c r="I1537" s="48">
        <v>0</v>
      </c>
      <c r="J1537" s="52">
        <v>0</v>
      </c>
    </row>
    <row r="1538" spans="1:10" x14ac:dyDescent="0.2">
      <c r="A1538" s="85"/>
      <c r="B1538" s="53" t="s">
        <v>21</v>
      </c>
      <c r="C1538" s="89"/>
      <c r="D1538" s="48">
        <v>816</v>
      </c>
      <c r="E1538" s="48">
        <v>2.4409999999999998</v>
      </c>
      <c r="F1538" s="48">
        <v>3.2709999999999999</v>
      </c>
      <c r="G1538" s="48">
        <v>5.165</v>
      </c>
      <c r="H1538" s="48">
        <v>0.16722714999999999</v>
      </c>
      <c r="I1538" s="48">
        <v>679.54264750000004</v>
      </c>
      <c r="J1538" s="52" t="e">
        <v>#DIV/0!</v>
      </c>
    </row>
    <row r="1539" spans="1:10" x14ac:dyDescent="0.2">
      <c r="A1539" s="87"/>
      <c r="B1539" s="56" t="s">
        <v>22</v>
      </c>
      <c r="C1539" s="90"/>
      <c r="D1539" s="57"/>
      <c r="E1539" s="57">
        <v>2.4220000000000002</v>
      </c>
      <c r="F1539" s="57">
        <v>3.2919999999999998</v>
      </c>
      <c r="G1539" s="57">
        <v>5.1539999999999999</v>
      </c>
      <c r="H1539" s="57">
        <v>0.17010935999999999</v>
      </c>
      <c r="I1539" s="57">
        <v>0</v>
      </c>
      <c r="J1539" s="49" t="e">
        <v>#DIV/0!</v>
      </c>
    </row>
    <row r="1540" spans="1:10" x14ac:dyDescent="0.2">
      <c r="A1540" s="91" t="s">
        <v>8</v>
      </c>
      <c r="B1540" s="53" t="s">
        <v>20</v>
      </c>
      <c r="C1540" s="92">
        <v>10</v>
      </c>
      <c r="D1540" s="48"/>
      <c r="E1540" s="48">
        <v>2.4239999999999999</v>
      </c>
      <c r="F1540" s="48">
        <v>3.282</v>
      </c>
      <c r="G1540" s="48">
        <v>5.1390000000000002</v>
      </c>
      <c r="H1540" s="48">
        <v>0.17276051000000001</v>
      </c>
      <c r="I1540" s="48">
        <v>0</v>
      </c>
      <c r="J1540" s="52">
        <v>0</v>
      </c>
    </row>
    <row r="1541" spans="1:10" x14ac:dyDescent="0.2">
      <c r="A1541" s="85"/>
      <c r="B1541" s="53" t="s">
        <v>21</v>
      </c>
      <c r="C1541" s="89"/>
      <c r="D1541" s="48">
        <v>870</v>
      </c>
      <c r="E1541" s="48">
        <v>2.4820000000000002</v>
      </c>
      <c r="F1541" s="48">
        <v>3.22</v>
      </c>
      <c r="G1541" s="48">
        <v>5.1369999999999996</v>
      </c>
      <c r="H1541" s="48">
        <v>0.17546584000000001</v>
      </c>
      <c r="I1541" s="48">
        <v>717.34472049999999</v>
      </c>
      <c r="J1541" s="52" t="e">
        <v>#DIV/0!</v>
      </c>
    </row>
    <row r="1542" spans="1:10" x14ac:dyDescent="0.2">
      <c r="A1542" s="87"/>
      <c r="B1542" s="56" t="s">
        <v>22</v>
      </c>
      <c r="C1542" s="90"/>
      <c r="D1542" s="57"/>
      <c r="E1542" s="57">
        <v>2.419</v>
      </c>
      <c r="F1542" s="57">
        <v>3.52</v>
      </c>
      <c r="G1542" s="57">
        <v>5.33</v>
      </c>
      <c r="H1542" s="57">
        <v>0.17301136</v>
      </c>
      <c r="I1542" s="57">
        <v>0</v>
      </c>
      <c r="J1542" s="49" t="e">
        <v>#DIV/0!</v>
      </c>
    </row>
    <row r="1543" spans="1:10" x14ac:dyDescent="0.2">
      <c r="A1543" s="91" t="s">
        <v>9</v>
      </c>
      <c r="B1543" s="53" t="s">
        <v>20</v>
      </c>
      <c r="C1543" s="92">
        <v>10</v>
      </c>
      <c r="D1543" s="48"/>
      <c r="E1543" s="48">
        <v>2.415</v>
      </c>
      <c r="F1543" s="48">
        <v>3.7589999999999999</v>
      </c>
      <c r="G1543" s="48">
        <v>5.5309999999999997</v>
      </c>
      <c r="H1543" s="48">
        <v>0.17105613</v>
      </c>
      <c r="I1543" s="48">
        <v>0</v>
      </c>
      <c r="J1543" s="52">
        <v>0</v>
      </c>
    </row>
    <row r="1544" spans="1:10" x14ac:dyDescent="0.2">
      <c r="A1544" s="85"/>
      <c r="B1544" s="53" t="s">
        <v>21</v>
      </c>
      <c r="C1544" s="89"/>
      <c r="D1544" s="48">
        <v>914</v>
      </c>
      <c r="E1544" s="48">
        <v>2.4390000000000001</v>
      </c>
      <c r="F1544" s="48">
        <v>3.0350000000000001</v>
      </c>
      <c r="G1544" s="48">
        <v>4.96</v>
      </c>
      <c r="H1544" s="48">
        <v>0.16935749999999999</v>
      </c>
      <c r="I1544" s="48">
        <v>759.2072488</v>
      </c>
      <c r="J1544" s="52" t="e">
        <v>#DIV/0!</v>
      </c>
    </row>
    <row r="1545" spans="1:10" x14ac:dyDescent="0.2">
      <c r="A1545" s="87"/>
      <c r="B1545" s="56" t="s">
        <v>22</v>
      </c>
      <c r="C1545" s="90"/>
      <c r="D1545" s="57"/>
      <c r="E1545" s="57">
        <v>2.4319999999999999</v>
      </c>
      <c r="F1545" s="57">
        <v>3.089</v>
      </c>
      <c r="G1545" s="57">
        <v>5.9809999999999999</v>
      </c>
      <c r="H1545" s="57">
        <v>-0.14891550000000001</v>
      </c>
      <c r="I1545" s="57">
        <v>0</v>
      </c>
      <c r="J1545" s="49" t="e">
        <v>#DIV/0!</v>
      </c>
    </row>
    <row r="1546" spans="1:10" x14ac:dyDescent="0.2">
      <c r="A1546" s="91" t="s">
        <v>10</v>
      </c>
      <c r="B1546" s="53" t="s">
        <v>20</v>
      </c>
      <c r="C1546" s="92">
        <v>10</v>
      </c>
      <c r="D1546" s="48"/>
      <c r="E1546" s="48">
        <v>2.4550000000000001</v>
      </c>
      <c r="F1546" s="48">
        <v>3.6859999999999999</v>
      </c>
      <c r="G1546" s="48">
        <v>5.5540000000000003</v>
      </c>
      <c r="H1546" s="48">
        <v>0.15925122</v>
      </c>
      <c r="I1546" s="48">
        <v>0</v>
      </c>
      <c r="J1546" s="52">
        <v>0</v>
      </c>
    </row>
    <row r="1547" spans="1:10" x14ac:dyDescent="0.2">
      <c r="A1547" s="85"/>
      <c r="B1547" s="53" t="s">
        <v>21</v>
      </c>
      <c r="C1547" s="89"/>
      <c r="D1547" s="48">
        <v>882</v>
      </c>
      <c r="E1547" s="48">
        <v>2.452</v>
      </c>
      <c r="F1547" s="48">
        <v>3.2309999999999999</v>
      </c>
      <c r="G1547" s="48">
        <v>5.1539999999999999</v>
      </c>
      <c r="H1547" s="48">
        <v>0.16372639999999999</v>
      </c>
      <c r="I1547" s="48">
        <v>737.59331480000003</v>
      </c>
      <c r="J1547" s="52" t="e">
        <v>#DIV/0!</v>
      </c>
    </row>
    <row r="1548" spans="1:10" x14ac:dyDescent="0.2">
      <c r="A1548" s="87"/>
      <c r="B1548" s="56" t="s">
        <v>22</v>
      </c>
      <c r="C1548" s="90"/>
      <c r="D1548" s="57"/>
      <c r="E1548" s="57">
        <v>2.4350000000000001</v>
      </c>
      <c r="F1548" s="57">
        <v>3.8620000000000001</v>
      </c>
      <c r="G1548" s="57">
        <v>5.6769999999999996</v>
      </c>
      <c r="H1548" s="57">
        <v>0.16053857999999999</v>
      </c>
      <c r="I1548" s="57">
        <v>0</v>
      </c>
      <c r="J1548" s="49" t="e">
        <v>#DIV/0!</v>
      </c>
    </row>
    <row r="1549" spans="1:10" x14ac:dyDescent="0.2">
      <c r="A1549" s="91" t="s">
        <v>11</v>
      </c>
      <c r="B1549" s="53" t="s">
        <v>20</v>
      </c>
      <c r="C1549" s="92">
        <v>10</v>
      </c>
      <c r="D1549" s="48"/>
      <c r="E1549" s="48">
        <v>2.456</v>
      </c>
      <c r="F1549" s="48">
        <v>3.597</v>
      </c>
      <c r="G1549" s="48">
        <v>5.5030000000000001</v>
      </c>
      <c r="H1549" s="48">
        <v>0.15290519999999999</v>
      </c>
      <c r="I1549" s="48">
        <v>0</v>
      </c>
      <c r="J1549" s="52">
        <v>0</v>
      </c>
    </row>
    <row r="1550" spans="1:10" x14ac:dyDescent="0.2">
      <c r="A1550" s="85"/>
      <c r="B1550" s="53" t="s">
        <v>21</v>
      </c>
      <c r="C1550" s="89"/>
      <c r="D1550" s="48">
        <v>833</v>
      </c>
      <c r="E1550" s="48">
        <v>2.4649999999999999</v>
      </c>
      <c r="F1550" s="48">
        <v>3.6259999999999999</v>
      </c>
      <c r="G1550" s="48">
        <v>5.4939999999999998</v>
      </c>
      <c r="H1550" s="48">
        <v>0.16464424</v>
      </c>
      <c r="I1550" s="48">
        <v>695.8513514</v>
      </c>
      <c r="J1550" s="52" t="e">
        <v>#DIV/0!</v>
      </c>
    </row>
    <row r="1551" spans="1:10" x14ac:dyDescent="0.2">
      <c r="A1551" s="87"/>
      <c r="B1551" s="56" t="s">
        <v>22</v>
      </c>
      <c r="C1551" s="90"/>
      <c r="D1551" s="57"/>
      <c r="E1551" s="57">
        <v>2.4489999999999998</v>
      </c>
      <c r="F1551" s="57">
        <v>3.01</v>
      </c>
      <c r="G1551" s="57">
        <v>4.9539999999999997</v>
      </c>
      <c r="H1551" s="57">
        <v>0.16777408999999999</v>
      </c>
      <c r="I1551" s="57">
        <v>0</v>
      </c>
      <c r="J1551" s="49" t="e">
        <v>#DIV/0!</v>
      </c>
    </row>
    <row r="1552" spans="1:10" x14ac:dyDescent="0.2">
      <c r="A1552" s="91" t="s">
        <v>12</v>
      </c>
      <c r="B1552" s="53" t="s">
        <v>20</v>
      </c>
      <c r="C1552" s="92">
        <v>3.5</v>
      </c>
      <c r="D1552" s="48"/>
      <c r="E1552" s="48">
        <v>2.411</v>
      </c>
      <c r="F1552" s="48">
        <v>3.0169999999999999</v>
      </c>
      <c r="G1552" s="48">
        <v>4.9539999999999997</v>
      </c>
      <c r="H1552" s="48">
        <v>0.15710971000000001</v>
      </c>
      <c r="I1552" s="48">
        <v>0</v>
      </c>
      <c r="J1552" s="52">
        <v>0</v>
      </c>
    </row>
    <row r="1553" spans="1:10" x14ac:dyDescent="0.2">
      <c r="A1553" s="85"/>
      <c r="B1553" s="53" t="s">
        <v>21</v>
      </c>
      <c r="C1553" s="89"/>
      <c r="D1553" s="48">
        <v>376</v>
      </c>
      <c r="E1553" s="48">
        <v>2.423</v>
      </c>
      <c r="F1553" s="48">
        <v>3.0750000000000002</v>
      </c>
      <c r="G1553" s="48">
        <v>5.0049999999999999</v>
      </c>
      <c r="H1553" s="48">
        <v>0.1603252</v>
      </c>
      <c r="I1553" s="48">
        <v>315.7177236</v>
      </c>
      <c r="J1553" s="52" t="e">
        <v>#DIV/0!</v>
      </c>
    </row>
    <row r="1554" spans="1:10" x14ac:dyDescent="0.2">
      <c r="A1554" s="87"/>
      <c r="B1554" s="56" t="s">
        <v>22</v>
      </c>
      <c r="C1554" s="90"/>
      <c r="D1554" s="57"/>
      <c r="E1554" s="57">
        <v>2.4420000000000002</v>
      </c>
      <c r="F1554" s="57">
        <v>3.1259999999999999</v>
      </c>
      <c r="G1554" s="57">
        <v>5.0529999999999999</v>
      </c>
      <c r="H1554" s="57">
        <v>0.16474728</v>
      </c>
      <c r="I1554" s="57">
        <v>0</v>
      </c>
      <c r="J1554" s="49" t="e">
        <v>#DIV/0!</v>
      </c>
    </row>
    <row r="1555" spans="1:10" x14ac:dyDescent="0.2">
      <c r="A1555" s="91" t="s">
        <v>13</v>
      </c>
      <c r="B1555" s="53" t="s">
        <v>20</v>
      </c>
      <c r="C1555" s="92">
        <v>10</v>
      </c>
      <c r="D1555" s="48"/>
      <c r="E1555" s="48"/>
      <c r="F1555" s="48"/>
      <c r="G1555" s="48"/>
      <c r="H1555" s="48" t="e">
        <v>#DIV/0!</v>
      </c>
      <c r="I1555" s="48" t="e">
        <v>#DIV/0!</v>
      </c>
      <c r="J1555" s="52" t="e">
        <v>#DIV/0!</v>
      </c>
    </row>
    <row r="1556" spans="1:10" x14ac:dyDescent="0.2">
      <c r="A1556" s="85"/>
      <c r="B1556" s="53" t="s">
        <v>21</v>
      </c>
      <c r="C1556" s="89"/>
      <c r="D1556" s="48"/>
      <c r="E1556" s="48"/>
      <c r="F1556" s="48"/>
      <c r="G1556" s="48"/>
      <c r="H1556" s="48" t="e">
        <v>#DIV/0!</v>
      </c>
      <c r="I1556" s="48" t="e">
        <v>#DIV/0!</v>
      </c>
      <c r="J1556" s="52" t="e">
        <v>#DIV/0!</v>
      </c>
    </row>
    <row r="1557" spans="1:10" x14ac:dyDescent="0.2">
      <c r="A1557" s="87"/>
      <c r="B1557" s="56" t="s">
        <v>22</v>
      </c>
      <c r="C1557" s="90"/>
      <c r="D1557" s="57"/>
      <c r="E1557" s="57"/>
      <c r="F1557" s="57"/>
      <c r="G1557" s="57"/>
      <c r="H1557" s="57" t="e">
        <v>#DIV/0!</v>
      </c>
      <c r="I1557" s="57" t="e">
        <v>#DIV/0!</v>
      </c>
      <c r="J1557" s="49" t="e">
        <v>#DIV/0!</v>
      </c>
    </row>
    <row r="1558" spans="1:10" x14ac:dyDescent="0.2">
      <c r="A1558" s="91" t="s">
        <v>14</v>
      </c>
      <c r="B1558" s="53" t="s">
        <v>20</v>
      </c>
      <c r="C1558" s="92">
        <v>10</v>
      </c>
      <c r="D1558" s="48"/>
      <c r="E1558" s="48"/>
      <c r="F1558" s="48"/>
      <c r="G1558" s="48"/>
      <c r="H1558" s="48" t="e">
        <v>#DIV/0!</v>
      </c>
      <c r="I1558" s="48" t="e">
        <v>#DIV/0!</v>
      </c>
      <c r="J1558" s="52" t="e">
        <v>#DIV/0!</v>
      </c>
    </row>
    <row r="1559" spans="1:10" x14ac:dyDescent="0.2">
      <c r="A1559" s="85"/>
      <c r="B1559" s="53" t="s">
        <v>21</v>
      </c>
      <c r="C1559" s="89"/>
      <c r="D1559" s="48"/>
      <c r="E1559" s="48"/>
      <c r="F1559" s="48"/>
      <c r="G1559" s="48"/>
      <c r="H1559" s="48" t="e">
        <v>#DIV/0!</v>
      </c>
      <c r="I1559" s="48" t="e">
        <v>#DIV/0!</v>
      </c>
      <c r="J1559" s="52" t="e">
        <v>#DIV/0!</v>
      </c>
    </row>
    <row r="1560" spans="1:10" ht="16" thickBot="1" x14ac:dyDescent="0.25">
      <c r="A1560" s="93"/>
      <c r="B1560" s="58" t="s">
        <v>22</v>
      </c>
      <c r="C1560" s="94"/>
      <c r="D1560" s="59"/>
      <c r="E1560" s="59"/>
      <c r="F1560" s="59"/>
      <c r="G1560" s="59"/>
      <c r="H1560" s="59" t="e">
        <v>#DIV/0!</v>
      </c>
      <c r="I1560" s="59" t="e">
        <v>#DIV/0!</v>
      </c>
      <c r="J1560" s="50" t="e">
        <v>#DIV/0!</v>
      </c>
    </row>
    <row r="1561" spans="1:10" ht="16" thickBot="1" x14ac:dyDescent="0.25">
      <c r="A1561" s="60" t="s">
        <v>1</v>
      </c>
      <c r="B1561" s="61"/>
      <c r="C1561" s="62"/>
      <c r="D1561" s="63" t="s">
        <v>51</v>
      </c>
      <c r="E1561" s="64"/>
      <c r="F1561" s="58" t="s">
        <v>0</v>
      </c>
      <c r="G1561" s="18">
        <v>44157</v>
      </c>
      <c r="H1561" s="65" t="s">
        <v>24</v>
      </c>
      <c r="I1561" s="66"/>
      <c r="J1561" s="49">
        <v>115</v>
      </c>
    </row>
    <row r="1562" spans="1:10" ht="16" thickBot="1" x14ac:dyDescent="0.25">
      <c r="A1562" s="67" t="s">
        <v>2</v>
      </c>
      <c r="B1562" s="68"/>
      <c r="C1562" s="69"/>
      <c r="D1562" s="70"/>
      <c r="E1562" s="71"/>
      <c r="F1562" s="72"/>
      <c r="G1562" s="73"/>
      <c r="H1562" s="74" t="s">
        <v>25</v>
      </c>
      <c r="I1562" s="75"/>
      <c r="J1562" s="49">
        <v>30</v>
      </c>
    </row>
    <row r="1563" spans="1:10" ht="16" thickBot="1" x14ac:dyDescent="0.25">
      <c r="A1563" s="76" t="s">
        <v>27</v>
      </c>
      <c r="B1563" s="77"/>
      <c r="C1563" s="78"/>
      <c r="D1563" s="79" t="s">
        <v>33</v>
      </c>
      <c r="E1563" s="80"/>
      <c r="F1563" s="48" t="s">
        <v>30</v>
      </c>
      <c r="G1563" s="48">
        <v>3.81</v>
      </c>
      <c r="H1563" s="81" t="s">
        <v>26</v>
      </c>
      <c r="I1563" s="82"/>
      <c r="J1563" s="50">
        <v>56.5</v>
      </c>
    </row>
    <row r="1564" spans="1:10" x14ac:dyDescent="0.2">
      <c r="A1564" s="83"/>
      <c r="B1564" s="84"/>
      <c r="C1564" s="51" t="s">
        <v>29</v>
      </c>
      <c r="D1564" s="51" t="s">
        <v>19</v>
      </c>
      <c r="E1564" s="51" t="s">
        <v>15</v>
      </c>
      <c r="F1564" s="51" t="s">
        <v>18</v>
      </c>
      <c r="G1564" s="51" t="s">
        <v>17</v>
      </c>
      <c r="H1564" s="48" t="s">
        <v>28</v>
      </c>
      <c r="I1564" s="48" t="s">
        <v>16</v>
      </c>
      <c r="J1564" s="52" t="s">
        <v>23</v>
      </c>
    </row>
    <row r="1565" spans="1:10" x14ac:dyDescent="0.2">
      <c r="A1565" s="86" t="s">
        <v>3</v>
      </c>
      <c r="B1565" s="53" t="s">
        <v>20</v>
      </c>
      <c r="C1565" s="88">
        <v>10</v>
      </c>
      <c r="D1565" s="54"/>
      <c r="E1565" s="54">
        <v>2.4289999999999998</v>
      </c>
      <c r="F1565" s="54">
        <v>3.3180000000000001</v>
      </c>
      <c r="G1565" s="54">
        <v>5.1459999999999999</v>
      </c>
      <c r="H1565" s="54">
        <v>0.18113320999999999</v>
      </c>
      <c r="I1565" s="54">
        <v>0</v>
      </c>
      <c r="J1565" s="55">
        <v>0</v>
      </c>
    </row>
    <row r="1566" spans="1:10" x14ac:dyDescent="0.2">
      <c r="A1566" s="85"/>
      <c r="B1566" s="53" t="s">
        <v>21</v>
      </c>
      <c r="C1566" s="89"/>
      <c r="D1566" s="48">
        <v>661</v>
      </c>
      <c r="E1566" s="48">
        <v>2.4409999999999998</v>
      </c>
      <c r="F1566" s="48">
        <v>3.21</v>
      </c>
      <c r="G1566" s="48">
        <v>5.069</v>
      </c>
      <c r="H1566" s="48">
        <v>0.18130841</v>
      </c>
      <c r="I1566" s="48">
        <v>541.15514020000001</v>
      </c>
      <c r="J1566" s="52" t="e">
        <v>#DIV/0!</v>
      </c>
    </row>
    <row r="1567" spans="1:10" x14ac:dyDescent="0.2">
      <c r="A1567" s="87"/>
      <c r="B1567" s="56" t="s">
        <v>22</v>
      </c>
      <c r="C1567" s="90"/>
      <c r="D1567" s="57"/>
      <c r="E1567" s="57">
        <v>2.4340000000000002</v>
      </c>
      <c r="F1567" s="57">
        <v>3.2360000000000002</v>
      </c>
      <c r="G1567" s="57">
        <v>5.0650000000000004</v>
      </c>
      <c r="H1567" s="57">
        <v>0.18695920999999999</v>
      </c>
      <c r="I1567" s="57">
        <v>0</v>
      </c>
      <c r="J1567" s="49" t="e">
        <v>#DIV/0!</v>
      </c>
    </row>
    <row r="1568" spans="1:10" x14ac:dyDescent="0.2">
      <c r="A1568" s="91" t="s">
        <v>4</v>
      </c>
      <c r="B1568" s="53" t="s">
        <v>20</v>
      </c>
      <c r="C1568" s="92">
        <v>10</v>
      </c>
      <c r="D1568" s="48"/>
      <c r="E1568" s="48">
        <v>2.4409999999999998</v>
      </c>
      <c r="F1568" s="48">
        <v>3.5910000000000002</v>
      </c>
      <c r="G1568" s="48">
        <v>5.3529999999999998</v>
      </c>
      <c r="H1568" s="48">
        <v>0.18908382000000001</v>
      </c>
      <c r="I1568" s="48">
        <v>0</v>
      </c>
      <c r="J1568" s="52">
        <v>0</v>
      </c>
    </row>
    <row r="1569" spans="1:10" x14ac:dyDescent="0.2">
      <c r="A1569" s="85"/>
      <c r="B1569" s="53" t="s">
        <v>21</v>
      </c>
      <c r="C1569" s="89"/>
      <c r="D1569" s="48">
        <v>771</v>
      </c>
      <c r="E1569" s="48">
        <v>2.4500000000000002</v>
      </c>
      <c r="F1569" s="48">
        <v>3.3849999999999998</v>
      </c>
      <c r="G1569" s="48">
        <v>5.2329999999999997</v>
      </c>
      <c r="H1569" s="48">
        <v>0.17784343</v>
      </c>
      <c r="I1569" s="48">
        <v>633.88271789999999</v>
      </c>
      <c r="J1569" s="52" t="e">
        <v>#DIV/0!</v>
      </c>
    </row>
    <row r="1570" spans="1:10" x14ac:dyDescent="0.2">
      <c r="A1570" s="87"/>
      <c r="B1570" s="56" t="s">
        <v>22</v>
      </c>
      <c r="C1570" s="90"/>
      <c r="D1570" s="57"/>
      <c r="E1570" s="57">
        <v>2.4369999999999998</v>
      </c>
      <c r="F1570" s="57">
        <v>3.2530000000000001</v>
      </c>
      <c r="G1570" s="57">
        <v>5.0869999999999997</v>
      </c>
      <c r="H1570" s="57">
        <v>0.18536734999999999</v>
      </c>
      <c r="I1570" s="57">
        <v>0</v>
      </c>
      <c r="J1570" s="49" t="e">
        <v>#DIV/0!</v>
      </c>
    </row>
    <row r="1571" spans="1:10" x14ac:dyDescent="0.2">
      <c r="A1571" s="91" t="s">
        <v>5</v>
      </c>
      <c r="B1571" s="53" t="s">
        <v>20</v>
      </c>
      <c r="C1571" s="92">
        <v>10</v>
      </c>
      <c r="D1571" s="48"/>
      <c r="E1571" s="48">
        <v>2.4430000000000001</v>
      </c>
      <c r="F1571" s="48">
        <v>3.915</v>
      </c>
      <c r="G1571" s="48">
        <v>5.6470000000000002</v>
      </c>
      <c r="H1571" s="48">
        <v>0.1816092</v>
      </c>
      <c r="I1571" s="48">
        <v>0</v>
      </c>
      <c r="J1571" s="52">
        <v>0</v>
      </c>
    </row>
    <row r="1572" spans="1:10" x14ac:dyDescent="0.2">
      <c r="A1572" s="85"/>
      <c r="B1572" s="53" t="s">
        <v>21</v>
      </c>
      <c r="C1572" s="89"/>
      <c r="D1572" s="48">
        <v>760</v>
      </c>
      <c r="E1572" s="48">
        <v>2.4289999999999998</v>
      </c>
      <c r="F1572" s="48">
        <v>3.5339999999999998</v>
      </c>
      <c r="G1572" s="48">
        <v>5.31</v>
      </c>
      <c r="H1572" s="48">
        <v>0.18477646</v>
      </c>
      <c r="I1572" s="48">
        <v>619.56989250000004</v>
      </c>
      <c r="J1572" s="52" t="e">
        <v>#DIV/0!</v>
      </c>
    </row>
    <row r="1573" spans="1:10" x14ac:dyDescent="0.2">
      <c r="A1573" s="87"/>
      <c r="B1573" s="56" t="s">
        <v>22</v>
      </c>
      <c r="C1573" s="90"/>
      <c r="D1573" s="57"/>
      <c r="E1573" s="57">
        <v>2.4380000000000002</v>
      </c>
      <c r="F1573" s="57">
        <v>3.387</v>
      </c>
      <c r="G1573" s="57">
        <v>5.226</v>
      </c>
      <c r="H1573" s="57">
        <v>0.17685266999999999</v>
      </c>
      <c r="I1573" s="57">
        <v>0</v>
      </c>
      <c r="J1573" s="49" t="e">
        <v>#DIV/0!</v>
      </c>
    </row>
    <row r="1574" spans="1:10" x14ac:dyDescent="0.2">
      <c r="A1574" s="91" t="s">
        <v>6</v>
      </c>
      <c r="B1574" s="53" t="s">
        <v>20</v>
      </c>
      <c r="C1574" s="92">
        <v>10</v>
      </c>
      <c r="D1574" s="48"/>
      <c r="E1574" s="48">
        <v>2.4620000000000002</v>
      </c>
      <c r="F1574" s="48">
        <v>3.3359999999999999</v>
      </c>
      <c r="G1574" s="48">
        <v>5.2530000000000001</v>
      </c>
      <c r="H1574" s="48">
        <v>0.1633693</v>
      </c>
      <c r="I1574" s="48">
        <v>0</v>
      </c>
      <c r="J1574" s="52">
        <v>0</v>
      </c>
    </row>
    <row r="1575" spans="1:10" x14ac:dyDescent="0.2">
      <c r="A1575" s="85"/>
      <c r="B1575" s="53" t="s">
        <v>21</v>
      </c>
      <c r="C1575" s="89"/>
      <c r="D1575" s="48">
        <v>839</v>
      </c>
      <c r="E1575" s="48">
        <v>2.4169999999999998</v>
      </c>
      <c r="F1575" s="48">
        <v>3.21</v>
      </c>
      <c r="G1575" s="48">
        <v>5.0910000000000002</v>
      </c>
      <c r="H1575" s="48">
        <v>0.16697819</v>
      </c>
      <c r="I1575" s="48">
        <v>698.90529600000002</v>
      </c>
      <c r="J1575" s="52" t="e">
        <v>#DIV/0!</v>
      </c>
    </row>
    <row r="1576" spans="1:10" x14ac:dyDescent="0.2">
      <c r="A1576" s="87"/>
      <c r="B1576" s="56" t="s">
        <v>22</v>
      </c>
      <c r="C1576" s="90"/>
      <c r="D1576" s="57"/>
      <c r="E1576" s="57">
        <v>2.4319999999999999</v>
      </c>
      <c r="F1576" s="57">
        <v>3.319</v>
      </c>
      <c r="G1576" s="57">
        <v>5.1959999999999997</v>
      </c>
      <c r="H1576" s="57">
        <v>0.16721904000000001</v>
      </c>
      <c r="I1576" s="57">
        <v>0</v>
      </c>
      <c r="J1576" s="49" t="e">
        <v>#DIV/0!</v>
      </c>
    </row>
    <row r="1577" spans="1:10" x14ac:dyDescent="0.2">
      <c r="A1577" s="91" t="s">
        <v>7</v>
      </c>
      <c r="B1577" s="53" t="s">
        <v>20</v>
      </c>
      <c r="C1577" s="92">
        <v>10</v>
      </c>
      <c r="D1577" s="48"/>
      <c r="E1577" s="48">
        <v>2.464</v>
      </c>
      <c r="F1577" s="48">
        <v>3.5840000000000001</v>
      </c>
      <c r="G1577" s="48">
        <v>5.43</v>
      </c>
      <c r="H1577" s="48">
        <v>0.17243304000000001</v>
      </c>
      <c r="I1577" s="48">
        <v>0</v>
      </c>
      <c r="J1577" s="52">
        <v>0</v>
      </c>
    </row>
    <row r="1578" spans="1:10" x14ac:dyDescent="0.2">
      <c r="A1578" s="85"/>
      <c r="B1578" s="53" t="s">
        <v>21</v>
      </c>
      <c r="C1578" s="89"/>
      <c r="D1578" s="48">
        <v>806</v>
      </c>
      <c r="E1578" s="48">
        <v>2.4420000000000002</v>
      </c>
      <c r="F1578" s="48">
        <v>2.589</v>
      </c>
      <c r="G1578" s="48">
        <v>5.4080000000000004</v>
      </c>
      <c r="H1578" s="48">
        <v>-0.1456161</v>
      </c>
      <c r="I1578" s="48">
        <v>923.36655080000003</v>
      </c>
      <c r="J1578" s="52" t="e">
        <v>#DIV/0!</v>
      </c>
    </row>
    <row r="1579" spans="1:10" x14ac:dyDescent="0.2">
      <c r="A1579" s="87"/>
      <c r="B1579" s="56" t="s">
        <v>22</v>
      </c>
      <c r="C1579" s="90"/>
      <c r="D1579" s="57"/>
      <c r="E1579" s="57">
        <v>2.423</v>
      </c>
      <c r="F1579" s="57">
        <v>3.9260000000000002</v>
      </c>
      <c r="G1579" s="57">
        <v>5.6950000000000003</v>
      </c>
      <c r="H1579" s="57">
        <v>0.16658176</v>
      </c>
      <c r="I1579" s="57">
        <v>0</v>
      </c>
      <c r="J1579" s="49" t="e">
        <v>#DIV/0!</v>
      </c>
    </row>
    <row r="1580" spans="1:10" x14ac:dyDescent="0.2">
      <c r="A1580" s="91" t="s">
        <v>8</v>
      </c>
      <c r="B1580" s="53" t="s">
        <v>20</v>
      </c>
      <c r="C1580" s="92">
        <v>10</v>
      </c>
      <c r="D1580" s="48"/>
      <c r="E1580" s="48">
        <v>2.444</v>
      </c>
      <c r="F1580" s="48">
        <v>3.1709999999999998</v>
      </c>
      <c r="G1580" s="48">
        <v>5.1020000000000003</v>
      </c>
      <c r="H1580" s="48">
        <v>0.16177862000000001</v>
      </c>
      <c r="I1580" s="48">
        <v>0</v>
      </c>
      <c r="J1580" s="52">
        <v>0</v>
      </c>
    </row>
    <row r="1581" spans="1:10" x14ac:dyDescent="0.2">
      <c r="A1581" s="85"/>
      <c r="B1581" s="53" t="s">
        <v>21</v>
      </c>
      <c r="C1581" s="89"/>
      <c r="D1581" s="48">
        <v>749</v>
      </c>
      <c r="E1581" s="48">
        <v>2.4409999999999998</v>
      </c>
      <c r="F1581" s="48">
        <v>3.0630000000000002</v>
      </c>
      <c r="G1581" s="48">
        <v>4.9859999999999998</v>
      </c>
      <c r="H1581" s="48">
        <v>0.16911524999999999</v>
      </c>
      <c r="I1581" s="48">
        <v>622.33268039999996</v>
      </c>
      <c r="J1581" s="52" t="e">
        <v>#DIV/0!</v>
      </c>
    </row>
    <row r="1582" spans="1:10" x14ac:dyDescent="0.2">
      <c r="A1582" s="87"/>
      <c r="B1582" s="56" t="s">
        <v>22</v>
      </c>
      <c r="C1582" s="90"/>
      <c r="D1582" s="57"/>
      <c r="E1582" s="57">
        <v>2.415</v>
      </c>
      <c r="F1582" s="57">
        <v>3.0329999999999999</v>
      </c>
      <c r="G1582" s="57">
        <v>4.9359999999999999</v>
      </c>
      <c r="H1582" s="57">
        <v>0.16880976</v>
      </c>
      <c r="I1582" s="57">
        <v>0</v>
      </c>
      <c r="J1582" s="49" t="e">
        <v>#DIV/0!</v>
      </c>
    </row>
    <row r="1583" spans="1:10" x14ac:dyDescent="0.2">
      <c r="A1583" s="91" t="s">
        <v>9</v>
      </c>
      <c r="B1583" s="53" t="s">
        <v>20</v>
      </c>
      <c r="C1583" s="92">
        <v>10</v>
      </c>
      <c r="D1583" s="48"/>
      <c r="E1583" s="48">
        <v>2.419</v>
      </c>
      <c r="F1583" s="48">
        <v>3.0990000000000002</v>
      </c>
      <c r="G1583" s="48">
        <v>5.01</v>
      </c>
      <c r="H1583" s="48">
        <v>0.16392385000000001</v>
      </c>
      <c r="I1583" s="48">
        <v>0</v>
      </c>
      <c r="J1583" s="52">
        <v>0</v>
      </c>
    </row>
    <row r="1584" spans="1:10" x14ac:dyDescent="0.2">
      <c r="A1584" s="85"/>
      <c r="B1584" s="53" t="s">
        <v>21</v>
      </c>
      <c r="C1584" s="89"/>
      <c r="D1584" s="48">
        <v>892</v>
      </c>
      <c r="E1584" s="48">
        <v>2.4489999999999998</v>
      </c>
      <c r="F1584" s="48">
        <v>3.0590000000000002</v>
      </c>
      <c r="G1584" s="48">
        <v>5.0199999999999996</v>
      </c>
      <c r="H1584" s="48">
        <v>0.15952926000000001</v>
      </c>
      <c r="I1584" s="48">
        <v>749.69990189999999</v>
      </c>
      <c r="J1584" s="52" t="e">
        <v>#DIV/0!</v>
      </c>
    </row>
    <row r="1585" spans="1:10" x14ac:dyDescent="0.2">
      <c r="A1585" s="87"/>
      <c r="B1585" s="56" t="s">
        <v>22</v>
      </c>
      <c r="C1585" s="90"/>
      <c r="D1585" s="57"/>
      <c r="E1585" s="57">
        <v>2.4329999999999998</v>
      </c>
      <c r="F1585" s="57">
        <v>3.56</v>
      </c>
      <c r="G1585" s="57">
        <v>5.4269999999999996</v>
      </c>
      <c r="H1585" s="57">
        <v>0.15898876000000001</v>
      </c>
      <c r="I1585" s="57">
        <v>0</v>
      </c>
      <c r="J1585" s="49" t="e">
        <v>#DIV/0!</v>
      </c>
    </row>
    <row r="1586" spans="1:10" x14ac:dyDescent="0.2">
      <c r="A1586" s="91" t="s">
        <v>10</v>
      </c>
      <c r="B1586" s="53" t="s">
        <v>20</v>
      </c>
      <c r="C1586" s="92">
        <v>10</v>
      </c>
      <c r="D1586" s="48"/>
      <c r="E1586" s="48">
        <v>2.448</v>
      </c>
      <c r="F1586" s="48">
        <v>3.004</v>
      </c>
      <c r="G1586" s="48">
        <v>4.9489999999999998</v>
      </c>
      <c r="H1586" s="48">
        <v>0.16744340999999999</v>
      </c>
      <c r="I1586" s="48">
        <v>0</v>
      </c>
      <c r="J1586" s="52">
        <v>0</v>
      </c>
    </row>
    <row r="1587" spans="1:10" x14ac:dyDescent="0.2">
      <c r="A1587" s="85"/>
      <c r="B1587" s="53" t="s">
        <v>21</v>
      </c>
      <c r="C1587" s="89"/>
      <c r="D1587" s="48">
        <v>815</v>
      </c>
      <c r="E1587" s="48">
        <v>2.4470000000000001</v>
      </c>
      <c r="F1587" s="48">
        <v>3.411</v>
      </c>
      <c r="G1587" s="48">
        <v>5.2640000000000002</v>
      </c>
      <c r="H1587" s="48">
        <v>0.17414247999999999</v>
      </c>
      <c r="I1587" s="48">
        <v>673.07387859999994</v>
      </c>
      <c r="J1587" s="52" t="e">
        <v>#DIV/0!</v>
      </c>
    </row>
    <row r="1588" spans="1:10" x14ac:dyDescent="0.2">
      <c r="A1588" s="87"/>
      <c r="B1588" s="56" t="s">
        <v>22</v>
      </c>
      <c r="C1588" s="90"/>
      <c r="D1588" s="57"/>
      <c r="E1588" s="57">
        <v>2.4169999999999998</v>
      </c>
      <c r="F1588" s="57">
        <v>3.0030000000000001</v>
      </c>
      <c r="G1588" s="57">
        <v>4.9279999999999999</v>
      </c>
      <c r="H1588" s="57">
        <v>0.16383616000000001</v>
      </c>
      <c r="I1588" s="57">
        <v>0</v>
      </c>
      <c r="J1588" s="49" t="e">
        <v>#DIV/0!</v>
      </c>
    </row>
    <row r="1589" spans="1:10" x14ac:dyDescent="0.2">
      <c r="A1589" s="91" t="s">
        <v>11</v>
      </c>
      <c r="B1589" s="53" t="s">
        <v>20</v>
      </c>
      <c r="C1589" s="92">
        <v>10</v>
      </c>
      <c r="D1589" s="48"/>
      <c r="E1589" s="48">
        <v>2.4180000000000001</v>
      </c>
      <c r="F1589" s="48">
        <v>3.3380000000000001</v>
      </c>
      <c r="G1589" s="48">
        <v>5.16</v>
      </c>
      <c r="H1589" s="48">
        <v>0.17855003</v>
      </c>
      <c r="I1589" s="48">
        <v>0</v>
      </c>
      <c r="J1589" s="52">
        <v>0</v>
      </c>
    </row>
    <row r="1590" spans="1:10" x14ac:dyDescent="0.2">
      <c r="A1590" s="85"/>
      <c r="B1590" s="53" t="s">
        <v>21</v>
      </c>
      <c r="C1590" s="89"/>
      <c r="D1590" s="48">
        <v>837</v>
      </c>
      <c r="E1590" s="48">
        <v>2.4279999999999999</v>
      </c>
      <c r="F1590" s="48">
        <v>3.0230000000000001</v>
      </c>
      <c r="G1590" s="48">
        <v>4.9000000000000004</v>
      </c>
      <c r="H1590" s="48">
        <v>0.18226927000000001</v>
      </c>
      <c r="I1590" s="48">
        <v>684.4406219</v>
      </c>
      <c r="J1590" s="52" t="e">
        <v>#DIV/0!</v>
      </c>
    </row>
    <row r="1591" spans="1:10" x14ac:dyDescent="0.2">
      <c r="A1591" s="87"/>
      <c r="B1591" s="56" t="s">
        <v>22</v>
      </c>
      <c r="C1591" s="90"/>
      <c r="D1591" s="57"/>
      <c r="E1591" s="57">
        <v>2.4649999999999999</v>
      </c>
      <c r="F1591" s="57">
        <v>3.5960000000000001</v>
      </c>
      <c r="G1591" s="57">
        <v>5.45</v>
      </c>
      <c r="H1591" s="57">
        <v>0.16991101</v>
      </c>
      <c r="I1591" s="57">
        <v>0</v>
      </c>
      <c r="J1591" s="49" t="e">
        <v>#DIV/0!</v>
      </c>
    </row>
    <row r="1592" spans="1:10" x14ac:dyDescent="0.2">
      <c r="A1592" s="91" t="s">
        <v>12</v>
      </c>
      <c r="B1592" s="53" t="s">
        <v>20</v>
      </c>
      <c r="C1592" s="92">
        <v>10</v>
      </c>
      <c r="D1592" s="48"/>
      <c r="E1592" s="48">
        <v>2.42</v>
      </c>
      <c r="F1592" s="48">
        <v>3.1709999999999998</v>
      </c>
      <c r="G1592" s="48">
        <v>4.9480000000000004</v>
      </c>
      <c r="H1592" s="48">
        <v>0.20277514999999999</v>
      </c>
      <c r="I1592" s="48">
        <v>0</v>
      </c>
      <c r="J1592" s="52">
        <v>0</v>
      </c>
    </row>
    <row r="1593" spans="1:10" x14ac:dyDescent="0.2">
      <c r="A1593" s="85"/>
      <c r="B1593" s="53" t="s">
        <v>21</v>
      </c>
      <c r="C1593" s="89"/>
      <c r="D1593" s="48">
        <v>783</v>
      </c>
      <c r="E1593" s="48">
        <v>2.431</v>
      </c>
      <c r="F1593" s="48">
        <v>3.2890000000000001</v>
      </c>
      <c r="G1593" s="48">
        <v>5.024</v>
      </c>
      <c r="H1593" s="48">
        <v>0.21161447</v>
      </c>
      <c r="I1593" s="48">
        <v>617.30586800000003</v>
      </c>
      <c r="J1593" s="52" t="e">
        <v>#DIV/0!</v>
      </c>
    </row>
    <row r="1594" spans="1:10" x14ac:dyDescent="0.2">
      <c r="A1594" s="87"/>
      <c r="B1594" s="56" t="s">
        <v>22</v>
      </c>
      <c r="C1594" s="90"/>
      <c r="D1594" s="57"/>
      <c r="E1594" s="57">
        <v>2.4430000000000001</v>
      </c>
      <c r="F1594" s="57">
        <v>3.0179999999999998</v>
      </c>
      <c r="G1594" s="57">
        <v>4.8410000000000002</v>
      </c>
      <c r="H1594" s="57">
        <v>0.20543406</v>
      </c>
      <c r="I1594" s="57">
        <v>0</v>
      </c>
      <c r="J1594" s="49" t="e">
        <v>#DIV/0!</v>
      </c>
    </row>
    <row r="1595" spans="1:10" x14ac:dyDescent="0.2">
      <c r="A1595" s="91" t="s">
        <v>13</v>
      </c>
      <c r="B1595" s="53" t="s">
        <v>20</v>
      </c>
      <c r="C1595" s="92">
        <v>10</v>
      </c>
      <c r="D1595" s="48"/>
      <c r="E1595" s="48">
        <v>2.4350000000000001</v>
      </c>
      <c r="F1595" s="48">
        <v>3.0489999999999999</v>
      </c>
      <c r="G1595" s="48">
        <v>4.806</v>
      </c>
      <c r="H1595" s="48">
        <v>0.22236798999999999</v>
      </c>
      <c r="I1595" s="48">
        <v>0</v>
      </c>
      <c r="J1595" s="52">
        <v>0</v>
      </c>
    </row>
    <row r="1596" spans="1:10" x14ac:dyDescent="0.2">
      <c r="A1596" s="85"/>
      <c r="B1596" s="53" t="s">
        <v>21</v>
      </c>
      <c r="C1596" s="89"/>
      <c r="D1596" s="48">
        <v>818</v>
      </c>
      <c r="E1596" s="48">
        <v>2.4470000000000001</v>
      </c>
      <c r="F1596" s="48">
        <v>3.2469999999999999</v>
      </c>
      <c r="G1596" s="48">
        <v>5.1079999999999997</v>
      </c>
      <c r="H1596" s="48">
        <v>0.18047427999999999</v>
      </c>
      <c r="I1596" s="48">
        <v>670.37203569999997</v>
      </c>
      <c r="J1596" s="52" t="e">
        <v>#DIV/0!</v>
      </c>
    </row>
    <row r="1597" spans="1:10" x14ac:dyDescent="0.2">
      <c r="A1597" s="87"/>
      <c r="B1597" s="56" t="s">
        <v>22</v>
      </c>
      <c r="C1597" s="90"/>
      <c r="D1597" s="57"/>
      <c r="E1597" s="57">
        <v>2.4849999999999999</v>
      </c>
      <c r="F1597" s="57">
        <v>3.7709999999999999</v>
      </c>
      <c r="G1597" s="57">
        <v>5.4770000000000003</v>
      </c>
      <c r="H1597" s="57">
        <v>0.2065765</v>
      </c>
      <c r="I1597" s="57">
        <v>0</v>
      </c>
      <c r="J1597" s="49" t="e">
        <v>#DIV/0!</v>
      </c>
    </row>
    <row r="1598" spans="1:10" x14ac:dyDescent="0.2">
      <c r="A1598" s="91" t="s">
        <v>14</v>
      </c>
      <c r="B1598" s="53" t="s">
        <v>20</v>
      </c>
      <c r="C1598" s="92">
        <v>5</v>
      </c>
      <c r="D1598" s="48"/>
      <c r="E1598" s="48">
        <v>2.4329999999999998</v>
      </c>
      <c r="F1598" s="48">
        <v>3.0750000000000002</v>
      </c>
      <c r="G1598" s="48">
        <v>4.8499999999999996</v>
      </c>
      <c r="H1598" s="48">
        <v>0.21398374000000001</v>
      </c>
      <c r="I1598" s="48">
        <v>0</v>
      </c>
      <c r="J1598" s="52">
        <v>0</v>
      </c>
    </row>
    <row r="1599" spans="1:10" x14ac:dyDescent="0.2">
      <c r="A1599" s="85"/>
      <c r="B1599" s="53" t="s">
        <v>21</v>
      </c>
      <c r="C1599" s="89"/>
      <c r="D1599" s="48">
        <v>289</v>
      </c>
      <c r="E1599" s="48">
        <v>2.4740000000000002</v>
      </c>
      <c r="F1599" s="48">
        <v>3.0920000000000001</v>
      </c>
      <c r="G1599" s="48">
        <v>4.8689999999999998</v>
      </c>
      <c r="H1599" s="48">
        <v>0.22542044</v>
      </c>
      <c r="I1599" s="48">
        <v>223.85349289999999</v>
      </c>
      <c r="J1599" s="52" t="e">
        <v>#DIV/0!</v>
      </c>
    </row>
    <row r="1600" spans="1:10" ht="16" thickBot="1" x14ac:dyDescent="0.25">
      <c r="A1600" s="93"/>
      <c r="B1600" s="58" t="s">
        <v>22</v>
      </c>
      <c r="C1600" s="94"/>
      <c r="D1600" s="59"/>
      <c r="E1600" s="59">
        <v>2.419</v>
      </c>
      <c r="F1600" s="59">
        <v>3.4369999999999998</v>
      </c>
      <c r="G1600" s="59">
        <v>5.1040000000000001</v>
      </c>
      <c r="H1600" s="59">
        <v>0.21879546</v>
      </c>
      <c r="I1600" s="59">
        <v>0</v>
      </c>
      <c r="J1600" s="50" t="e">
        <v>#DIV/0!</v>
      </c>
    </row>
    <row r="1601" spans="1:10" ht="16" thickBot="1" x14ac:dyDescent="0.25">
      <c r="A1601" s="60" t="s">
        <v>1</v>
      </c>
      <c r="B1601" s="61"/>
      <c r="C1601" s="62"/>
      <c r="D1601" s="63" t="s">
        <v>45</v>
      </c>
      <c r="E1601" s="64"/>
      <c r="F1601" s="58" t="s">
        <v>0</v>
      </c>
      <c r="G1601" s="18">
        <v>44157</v>
      </c>
      <c r="H1601" s="65" t="s">
        <v>24</v>
      </c>
      <c r="I1601" s="66"/>
      <c r="J1601" s="49">
        <v>110</v>
      </c>
    </row>
    <row r="1602" spans="1:10" ht="16" thickBot="1" x14ac:dyDescent="0.25">
      <c r="A1602" s="67" t="s">
        <v>2</v>
      </c>
      <c r="B1602" s="68"/>
      <c r="C1602" s="69"/>
      <c r="D1602" s="70"/>
      <c r="E1602" s="71"/>
      <c r="F1602" s="72"/>
      <c r="G1602" s="73"/>
      <c r="H1602" s="74" t="s">
        <v>25</v>
      </c>
      <c r="I1602" s="75"/>
      <c r="J1602" s="49">
        <v>31.5</v>
      </c>
    </row>
    <row r="1603" spans="1:10" ht="16" thickBot="1" x14ac:dyDescent="0.25">
      <c r="A1603" s="76" t="s">
        <v>27</v>
      </c>
      <c r="B1603" s="77"/>
      <c r="C1603" s="78"/>
      <c r="D1603" s="79" t="s">
        <v>36</v>
      </c>
      <c r="E1603" s="80"/>
      <c r="F1603" s="48" t="s">
        <v>30</v>
      </c>
      <c r="G1603" s="48">
        <v>3.81</v>
      </c>
      <c r="H1603" s="81" t="s">
        <v>26</v>
      </c>
      <c r="I1603" s="82"/>
      <c r="J1603" s="50">
        <v>52.5</v>
      </c>
    </row>
    <row r="1604" spans="1:10" x14ac:dyDescent="0.2">
      <c r="A1604" s="83"/>
      <c r="B1604" s="84"/>
      <c r="C1604" s="51" t="s">
        <v>29</v>
      </c>
      <c r="D1604" s="51" t="s">
        <v>19</v>
      </c>
      <c r="E1604" s="51" t="s">
        <v>15</v>
      </c>
      <c r="F1604" s="51" t="s">
        <v>18</v>
      </c>
      <c r="G1604" s="51" t="s">
        <v>17</v>
      </c>
      <c r="H1604" s="48" t="s">
        <v>28</v>
      </c>
      <c r="I1604" s="48" t="s">
        <v>16</v>
      </c>
      <c r="J1604" s="52" t="s">
        <v>23</v>
      </c>
    </row>
    <row r="1605" spans="1:10" x14ac:dyDescent="0.2">
      <c r="A1605" s="86" t="s">
        <v>3</v>
      </c>
      <c r="B1605" s="53" t="s">
        <v>20</v>
      </c>
      <c r="C1605" s="88">
        <v>10</v>
      </c>
      <c r="D1605" s="54"/>
      <c r="E1605" s="54">
        <v>2.4790000000000001</v>
      </c>
      <c r="F1605" s="54">
        <v>3.0219999999999998</v>
      </c>
      <c r="G1605" s="54">
        <v>5.0419999999999998</v>
      </c>
      <c r="H1605" s="54">
        <v>0.15188616999999999</v>
      </c>
      <c r="I1605" s="54">
        <v>0</v>
      </c>
      <c r="J1605" s="55">
        <v>0</v>
      </c>
    </row>
    <row r="1606" spans="1:10" x14ac:dyDescent="0.2">
      <c r="A1606" s="85"/>
      <c r="B1606" s="53" t="s">
        <v>21</v>
      </c>
      <c r="C1606" s="89"/>
      <c r="D1606" s="48">
        <v>714</v>
      </c>
      <c r="E1606" s="48">
        <v>2.4670000000000001</v>
      </c>
      <c r="F1606" s="48">
        <v>3.2069999999999999</v>
      </c>
      <c r="G1606" s="48">
        <v>5.1609999999999996</v>
      </c>
      <c r="H1606" s="48">
        <v>0.15996257999999999</v>
      </c>
      <c r="I1606" s="48">
        <v>599.78671659999998</v>
      </c>
      <c r="J1606" s="52" t="e">
        <v>#DIV/0!</v>
      </c>
    </row>
    <row r="1607" spans="1:10" x14ac:dyDescent="0.2">
      <c r="A1607" s="87"/>
      <c r="B1607" s="56" t="s">
        <v>22</v>
      </c>
      <c r="C1607" s="90"/>
      <c r="D1607" s="57"/>
      <c r="E1607" s="57">
        <v>2.4540000000000002</v>
      </c>
      <c r="F1607" s="57">
        <v>3.1440000000000001</v>
      </c>
      <c r="G1607" s="57">
        <v>5.1079999999999997</v>
      </c>
      <c r="H1607" s="57">
        <v>0.15585241999999999</v>
      </c>
      <c r="I1607" s="57">
        <v>0</v>
      </c>
      <c r="J1607" s="49" t="e">
        <v>#DIV/0!</v>
      </c>
    </row>
    <row r="1608" spans="1:10" x14ac:dyDescent="0.2">
      <c r="A1608" s="91" t="s">
        <v>4</v>
      </c>
      <c r="B1608" s="53" t="s">
        <v>20</v>
      </c>
      <c r="C1608" s="92">
        <v>10</v>
      </c>
      <c r="D1608" s="48"/>
      <c r="E1608" s="48">
        <v>2.411</v>
      </c>
      <c r="F1608" s="48">
        <v>3.9550000000000001</v>
      </c>
      <c r="G1608" s="48">
        <v>5.7270000000000003</v>
      </c>
      <c r="H1608" s="48">
        <v>0.16156764000000001</v>
      </c>
      <c r="I1608" s="48">
        <v>0</v>
      </c>
      <c r="J1608" s="52">
        <v>0</v>
      </c>
    </row>
    <row r="1609" spans="1:10" x14ac:dyDescent="0.2">
      <c r="A1609" s="85"/>
      <c r="B1609" s="53" t="s">
        <v>21</v>
      </c>
      <c r="C1609" s="89"/>
      <c r="D1609" s="48">
        <v>726</v>
      </c>
      <c r="E1609" s="48">
        <v>2.4289999999999998</v>
      </c>
      <c r="F1609" s="48">
        <v>3.0070000000000001</v>
      </c>
      <c r="G1609" s="48">
        <v>4.9340000000000002</v>
      </c>
      <c r="H1609" s="48">
        <v>0.1669438</v>
      </c>
      <c r="I1609" s="48">
        <v>604.79880279999998</v>
      </c>
      <c r="J1609" s="52" t="e">
        <v>#DIV/0!</v>
      </c>
    </row>
    <row r="1610" spans="1:10" x14ac:dyDescent="0.2">
      <c r="A1610" s="87"/>
      <c r="B1610" s="56" t="s">
        <v>22</v>
      </c>
      <c r="C1610" s="90"/>
      <c r="D1610" s="57"/>
      <c r="E1610" s="57">
        <v>2.427</v>
      </c>
      <c r="F1610" s="57">
        <v>3.5840000000000001</v>
      </c>
      <c r="G1610" s="57">
        <v>5.423</v>
      </c>
      <c r="H1610" s="57">
        <v>0.1640625</v>
      </c>
      <c r="I1610" s="57">
        <v>0</v>
      </c>
      <c r="J1610" s="49" t="e">
        <v>#DIV/0!</v>
      </c>
    </row>
    <row r="1611" spans="1:10" x14ac:dyDescent="0.2">
      <c r="A1611" s="91" t="s">
        <v>5</v>
      </c>
      <c r="B1611" s="53" t="s">
        <v>20</v>
      </c>
      <c r="C1611" s="92">
        <v>10</v>
      </c>
      <c r="D1611" s="48"/>
      <c r="E1611" s="48">
        <v>2.4769999999999999</v>
      </c>
      <c r="F1611" s="48">
        <v>3.2189999999999999</v>
      </c>
      <c r="G1611" s="48">
        <v>5.1669999999999998</v>
      </c>
      <c r="H1611" s="48">
        <v>0.16433675</v>
      </c>
      <c r="I1611" s="48">
        <v>0</v>
      </c>
      <c r="J1611" s="52">
        <v>0</v>
      </c>
    </row>
    <row r="1612" spans="1:10" x14ac:dyDescent="0.2">
      <c r="A1612" s="85"/>
      <c r="B1612" s="53" t="s">
        <v>21</v>
      </c>
      <c r="C1612" s="89"/>
      <c r="D1612" s="48">
        <v>756</v>
      </c>
      <c r="E1612" s="48">
        <v>2.4449999999999998</v>
      </c>
      <c r="F1612" s="48">
        <v>3.0640000000000001</v>
      </c>
      <c r="G1612" s="48">
        <v>5.0199999999999996</v>
      </c>
      <c r="H1612" s="48">
        <v>0.1595953</v>
      </c>
      <c r="I1612" s="48">
        <v>635.34595300000001</v>
      </c>
      <c r="J1612" s="52" t="e">
        <v>#DIV/0!</v>
      </c>
    </row>
    <row r="1613" spans="1:10" x14ac:dyDescent="0.2">
      <c r="A1613" s="87"/>
      <c r="B1613" s="56" t="s">
        <v>22</v>
      </c>
      <c r="C1613" s="90"/>
      <c r="D1613" s="57"/>
      <c r="E1613" s="57">
        <v>2.4420000000000002</v>
      </c>
      <c r="F1613" s="57">
        <v>3.375</v>
      </c>
      <c r="G1613" s="57">
        <v>5.2679999999999998</v>
      </c>
      <c r="H1613" s="57">
        <v>0.16266667000000001</v>
      </c>
      <c r="I1613" s="57">
        <v>0</v>
      </c>
      <c r="J1613" s="49" t="e">
        <v>#DIV/0!</v>
      </c>
    </row>
    <row r="1614" spans="1:10" x14ac:dyDescent="0.2">
      <c r="A1614" s="91" t="s">
        <v>6</v>
      </c>
      <c r="B1614" s="53" t="s">
        <v>20</v>
      </c>
      <c r="C1614" s="92">
        <v>10</v>
      </c>
      <c r="D1614" s="48"/>
      <c r="E1614" s="48">
        <v>2.4369999999999998</v>
      </c>
      <c r="F1614" s="48">
        <v>3.4849999999999999</v>
      </c>
      <c r="G1614" s="48">
        <v>5.3949999999999996</v>
      </c>
      <c r="H1614" s="48">
        <v>0.15121951</v>
      </c>
      <c r="I1614" s="48">
        <v>0</v>
      </c>
      <c r="J1614" s="52">
        <v>0</v>
      </c>
    </row>
    <row r="1615" spans="1:10" x14ac:dyDescent="0.2">
      <c r="A1615" s="85"/>
      <c r="B1615" s="53" t="s">
        <v>21</v>
      </c>
      <c r="C1615" s="89"/>
      <c r="D1615" s="48">
        <v>804</v>
      </c>
      <c r="E1615" s="48">
        <v>2.46</v>
      </c>
      <c r="F1615" s="48">
        <v>3.347</v>
      </c>
      <c r="G1615" s="48">
        <v>5.282</v>
      </c>
      <c r="H1615" s="48">
        <v>0.15685689</v>
      </c>
      <c r="I1615" s="48">
        <v>677.88706300000001</v>
      </c>
      <c r="J1615" s="52" t="e">
        <v>#DIV/0!</v>
      </c>
    </row>
    <row r="1616" spans="1:10" x14ac:dyDescent="0.2">
      <c r="A1616" s="87"/>
      <c r="B1616" s="56" t="s">
        <v>22</v>
      </c>
      <c r="C1616" s="90"/>
      <c r="D1616" s="57"/>
      <c r="E1616" s="57">
        <v>2.4409999999999998</v>
      </c>
      <c r="F1616" s="57">
        <v>3.2429999999999999</v>
      </c>
      <c r="G1616" s="57">
        <v>5.1719999999999997</v>
      </c>
      <c r="H1616" s="57">
        <v>0.15787851</v>
      </c>
      <c r="I1616" s="57">
        <v>0</v>
      </c>
      <c r="J1616" s="49" t="e">
        <v>#DIV/0!</v>
      </c>
    </row>
    <row r="1617" spans="1:10" x14ac:dyDescent="0.2">
      <c r="A1617" s="91" t="s">
        <v>7</v>
      </c>
      <c r="B1617" s="53" t="s">
        <v>20</v>
      </c>
      <c r="C1617" s="92">
        <v>10</v>
      </c>
      <c r="D1617" s="48"/>
      <c r="E1617" s="48">
        <v>2.4350000000000001</v>
      </c>
      <c r="F1617" s="48">
        <v>3.383</v>
      </c>
      <c r="G1617" s="48">
        <v>5.2880000000000003</v>
      </c>
      <c r="H1617" s="48">
        <v>0.15666568</v>
      </c>
      <c r="I1617" s="48">
        <v>0</v>
      </c>
      <c r="J1617" s="52">
        <v>0</v>
      </c>
    </row>
    <row r="1618" spans="1:10" x14ac:dyDescent="0.2">
      <c r="A1618" s="85"/>
      <c r="B1618" s="53" t="s">
        <v>21</v>
      </c>
      <c r="C1618" s="89"/>
      <c r="D1618" s="48">
        <v>808</v>
      </c>
      <c r="E1618" s="48">
        <v>2.4510000000000001</v>
      </c>
      <c r="F1618" s="48">
        <v>3.2280000000000002</v>
      </c>
      <c r="G1618" s="48">
        <v>5.1749999999999998</v>
      </c>
      <c r="H1618" s="48">
        <v>0.15613383</v>
      </c>
      <c r="I1618" s="48">
        <v>681.84386619999998</v>
      </c>
      <c r="J1618" s="52" t="e">
        <v>#DIV/0!</v>
      </c>
    </row>
    <row r="1619" spans="1:10" x14ac:dyDescent="0.2">
      <c r="A1619" s="87"/>
      <c r="B1619" s="56" t="s">
        <v>22</v>
      </c>
      <c r="C1619" s="90"/>
      <c r="D1619" s="57"/>
      <c r="E1619" s="57">
        <v>2.4289999999999998</v>
      </c>
      <c r="F1619" s="57">
        <v>3.03</v>
      </c>
      <c r="G1619" s="57">
        <v>4.9790000000000001</v>
      </c>
      <c r="H1619" s="57">
        <v>0.15841584</v>
      </c>
      <c r="I1619" s="57">
        <v>0</v>
      </c>
      <c r="J1619" s="49" t="e">
        <v>#DIV/0!</v>
      </c>
    </row>
    <row r="1620" spans="1:10" x14ac:dyDescent="0.2">
      <c r="A1620" s="91" t="s">
        <v>8</v>
      </c>
      <c r="B1620" s="53" t="s">
        <v>20</v>
      </c>
      <c r="C1620" s="92">
        <v>10</v>
      </c>
      <c r="D1620" s="48"/>
      <c r="E1620" s="48">
        <v>2.4460000000000002</v>
      </c>
      <c r="F1620" s="48">
        <v>3.5529999999999999</v>
      </c>
      <c r="G1620" s="48">
        <v>5.4690000000000003</v>
      </c>
      <c r="H1620" s="48">
        <v>0.14916972000000001</v>
      </c>
      <c r="I1620" s="48">
        <v>0</v>
      </c>
      <c r="J1620" s="52">
        <v>0</v>
      </c>
    </row>
    <row r="1621" spans="1:10" x14ac:dyDescent="0.2">
      <c r="A1621" s="85"/>
      <c r="B1621" s="53" t="s">
        <v>21</v>
      </c>
      <c r="C1621" s="89"/>
      <c r="D1621" s="48">
        <v>861</v>
      </c>
      <c r="E1621" s="48">
        <v>2.4300000000000002</v>
      </c>
      <c r="F1621" s="48">
        <v>3.37</v>
      </c>
      <c r="G1621" s="48">
        <v>5.2889999999999997</v>
      </c>
      <c r="H1621" s="48">
        <v>0.15163204999999999</v>
      </c>
      <c r="I1621" s="48">
        <v>730.44480710000005</v>
      </c>
      <c r="J1621" s="52" t="e">
        <v>#DIV/0!</v>
      </c>
    </row>
    <row r="1622" spans="1:10" x14ac:dyDescent="0.2">
      <c r="A1622" s="87"/>
      <c r="B1622" s="56" t="s">
        <v>22</v>
      </c>
      <c r="C1622" s="90"/>
      <c r="D1622" s="57"/>
      <c r="E1622" s="57">
        <v>2.4470000000000001</v>
      </c>
      <c r="F1622" s="57">
        <v>3.0150000000000001</v>
      </c>
      <c r="G1622" s="57">
        <v>4.992</v>
      </c>
      <c r="H1622" s="57">
        <v>0.15588722999999999</v>
      </c>
      <c r="I1622" s="57">
        <v>0</v>
      </c>
      <c r="J1622" s="49" t="e">
        <v>#DIV/0!</v>
      </c>
    </row>
    <row r="1623" spans="1:10" x14ac:dyDescent="0.2">
      <c r="A1623" s="91" t="s">
        <v>9</v>
      </c>
      <c r="B1623" s="53" t="s">
        <v>20</v>
      </c>
      <c r="C1623" s="92">
        <v>10</v>
      </c>
      <c r="D1623" s="48"/>
      <c r="E1623" s="48">
        <v>2.4500000000000002</v>
      </c>
      <c r="F1623" s="48">
        <v>3.7850000000000001</v>
      </c>
      <c r="G1623" s="48">
        <v>5.6420000000000003</v>
      </c>
      <c r="H1623" s="48">
        <v>0.15667107</v>
      </c>
      <c r="I1623" s="48">
        <v>0</v>
      </c>
      <c r="J1623" s="52">
        <v>0</v>
      </c>
    </row>
    <row r="1624" spans="1:10" x14ac:dyDescent="0.2">
      <c r="A1624" s="85"/>
      <c r="B1624" s="53" t="s">
        <v>21</v>
      </c>
      <c r="C1624" s="89"/>
      <c r="D1624" s="48">
        <v>821</v>
      </c>
      <c r="E1624" s="48">
        <v>2.4340000000000002</v>
      </c>
      <c r="F1624" s="48">
        <v>3.202</v>
      </c>
      <c r="G1624" s="48">
        <v>5.1280000000000001</v>
      </c>
      <c r="H1624" s="48">
        <v>0.15865083999999999</v>
      </c>
      <c r="I1624" s="48">
        <v>690.74765769999999</v>
      </c>
      <c r="J1624" s="52" t="e">
        <v>#DIV/0!</v>
      </c>
    </row>
    <row r="1625" spans="1:10" x14ac:dyDescent="0.2">
      <c r="A1625" s="87"/>
      <c r="B1625" s="56" t="s">
        <v>22</v>
      </c>
      <c r="C1625" s="90"/>
      <c r="D1625" s="57"/>
      <c r="E1625" s="57">
        <v>2.4009999999999998</v>
      </c>
      <c r="F1625" s="57">
        <v>3.1589999999999998</v>
      </c>
      <c r="G1625" s="57">
        <v>5.0750000000000002</v>
      </c>
      <c r="H1625" s="57">
        <v>0.15352959999999999</v>
      </c>
      <c r="I1625" s="57">
        <v>0</v>
      </c>
      <c r="J1625" s="49" t="e">
        <v>#DIV/0!</v>
      </c>
    </row>
    <row r="1626" spans="1:10" x14ac:dyDescent="0.2">
      <c r="A1626" s="91" t="s">
        <v>10</v>
      </c>
      <c r="B1626" s="53" t="s">
        <v>20</v>
      </c>
      <c r="C1626" s="92">
        <v>10</v>
      </c>
      <c r="D1626" s="48"/>
      <c r="E1626" s="48">
        <v>2.4209999999999998</v>
      </c>
      <c r="F1626" s="48">
        <v>3.1360000000000001</v>
      </c>
      <c r="G1626" s="48">
        <v>5.069</v>
      </c>
      <c r="H1626" s="48">
        <v>0.15561224000000001</v>
      </c>
      <c r="I1626" s="48">
        <v>0</v>
      </c>
      <c r="J1626" s="52">
        <v>0</v>
      </c>
    </row>
    <row r="1627" spans="1:10" x14ac:dyDescent="0.2">
      <c r="A1627" s="85"/>
      <c r="B1627" s="53" t="s">
        <v>21</v>
      </c>
      <c r="C1627" s="89"/>
      <c r="D1627" s="48">
        <v>984</v>
      </c>
      <c r="E1627" s="48">
        <v>2.456</v>
      </c>
      <c r="F1627" s="48">
        <v>3.1459999999999999</v>
      </c>
      <c r="G1627" s="48">
        <v>5.1029999999999998</v>
      </c>
      <c r="H1627" s="48">
        <v>0.15861411</v>
      </c>
      <c r="I1627" s="48">
        <v>827.92371270000001</v>
      </c>
      <c r="J1627" s="52" t="e">
        <v>#DIV/0!</v>
      </c>
    </row>
    <row r="1628" spans="1:10" x14ac:dyDescent="0.2">
      <c r="A1628" s="87"/>
      <c r="B1628" s="56" t="s">
        <v>22</v>
      </c>
      <c r="C1628" s="90"/>
      <c r="D1628" s="57"/>
      <c r="E1628" s="57">
        <v>2.415</v>
      </c>
      <c r="F1628" s="57">
        <v>3.1589999999999998</v>
      </c>
      <c r="G1628" s="57">
        <v>5.0750000000000002</v>
      </c>
      <c r="H1628" s="57">
        <v>0.15796138000000001</v>
      </c>
      <c r="I1628" s="57">
        <v>0</v>
      </c>
      <c r="J1628" s="49" t="e">
        <v>#DIV/0!</v>
      </c>
    </row>
    <row r="1629" spans="1:10" x14ac:dyDescent="0.2">
      <c r="A1629" s="91" t="s">
        <v>11</v>
      </c>
      <c r="B1629" s="53" t="s">
        <v>20</v>
      </c>
      <c r="C1629" s="92">
        <v>10</v>
      </c>
      <c r="D1629" s="48"/>
      <c r="E1629" s="48">
        <v>2.4009999999999998</v>
      </c>
      <c r="F1629" s="48">
        <v>3.702</v>
      </c>
      <c r="G1629" s="48">
        <v>5.649</v>
      </c>
      <c r="H1629" s="48">
        <v>0.12263641</v>
      </c>
      <c r="I1629" s="48">
        <v>0</v>
      </c>
      <c r="J1629" s="52">
        <v>0</v>
      </c>
    </row>
    <row r="1630" spans="1:10" x14ac:dyDescent="0.2">
      <c r="A1630" s="85"/>
      <c r="B1630" s="53" t="s">
        <v>21</v>
      </c>
      <c r="C1630" s="89"/>
      <c r="D1630" s="48">
        <v>1154</v>
      </c>
      <c r="E1630" s="48">
        <v>2.4510000000000001</v>
      </c>
      <c r="F1630" s="48">
        <v>3.0910000000000002</v>
      </c>
      <c r="G1630" s="48">
        <v>5.1539999999999999</v>
      </c>
      <c r="H1630" s="48">
        <v>0.12552572000000001</v>
      </c>
      <c r="I1630" s="48">
        <v>1009.143319</v>
      </c>
      <c r="J1630" s="52" t="e">
        <v>#DIV/0!</v>
      </c>
    </row>
    <row r="1631" spans="1:10" x14ac:dyDescent="0.2">
      <c r="A1631" s="87"/>
      <c r="B1631" s="56" t="s">
        <v>22</v>
      </c>
      <c r="C1631" s="90"/>
      <c r="D1631" s="57"/>
      <c r="E1631" s="57">
        <v>2.4380000000000002</v>
      </c>
      <c r="F1631" s="57">
        <v>3.41</v>
      </c>
      <c r="G1631" s="57">
        <v>5.3550000000000004</v>
      </c>
      <c r="H1631" s="57">
        <v>0.14457478000000001</v>
      </c>
      <c r="I1631" s="57">
        <v>0</v>
      </c>
      <c r="J1631" s="49" t="e">
        <v>#DIV/0!</v>
      </c>
    </row>
    <row r="1632" spans="1:10" x14ac:dyDescent="0.2">
      <c r="A1632" s="91" t="s">
        <v>12</v>
      </c>
      <c r="B1632" s="53" t="s">
        <v>20</v>
      </c>
      <c r="C1632" s="92">
        <v>10</v>
      </c>
      <c r="D1632" s="48"/>
      <c r="E1632" s="48">
        <v>2.407</v>
      </c>
      <c r="F1632" s="48">
        <v>3.1030000000000002</v>
      </c>
      <c r="G1632" s="48">
        <v>5.1070000000000002</v>
      </c>
      <c r="H1632" s="48">
        <v>0.12987431999999999</v>
      </c>
      <c r="I1632" s="48">
        <v>0</v>
      </c>
      <c r="J1632" s="52">
        <v>0</v>
      </c>
    </row>
    <row r="1633" spans="1:17" x14ac:dyDescent="0.2">
      <c r="A1633" s="85"/>
      <c r="B1633" s="53" t="s">
        <v>21</v>
      </c>
      <c r="C1633" s="89"/>
      <c r="D1633" s="48">
        <v>980</v>
      </c>
      <c r="E1633" s="48">
        <v>2.4340000000000002</v>
      </c>
      <c r="F1633" s="48">
        <v>3.37</v>
      </c>
      <c r="G1633" s="48">
        <v>5.34</v>
      </c>
      <c r="H1633" s="48">
        <v>0.13768546000000001</v>
      </c>
      <c r="I1633" s="48">
        <v>845.06824930000005</v>
      </c>
      <c r="J1633" s="52" t="e">
        <v>#DIV/0!</v>
      </c>
    </row>
    <row r="1634" spans="1:17" x14ac:dyDescent="0.2">
      <c r="A1634" s="87"/>
      <c r="B1634" s="56" t="s">
        <v>22</v>
      </c>
      <c r="C1634" s="90"/>
      <c r="D1634" s="57"/>
      <c r="E1634" s="57">
        <v>2.4369999999999998</v>
      </c>
      <c r="F1634" s="57">
        <v>3.181</v>
      </c>
      <c r="G1634" s="57">
        <v>5.1680000000000001</v>
      </c>
      <c r="H1634" s="57">
        <v>0.14146495000000001</v>
      </c>
      <c r="I1634" s="57">
        <v>0</v>
      </c>
      <c r="J1634" s="49" t="e">
        <v>#DIV/0!</v>
      </c>
    </row>
    <row r="1635" spans="1:17" x14ac:dyDescent="0.2">
      <c r="A1635" s="91" t="s">
        <v>13</v>
      </c>
      <c r="B1635" s="53" t="s">
        <v>20</v>
      </c>
      <c r="C1635" s="92">
        <v>10</v>
      </c>
      <c r="D1635" s="48"/>
      <c r="E1635" s="48">
        <v>2.4409999999999998</v>
      </c>
      <c r="F1635" s="48">
        <v>3.2360000000000002</v>
      </c>
      <c r="G1635" s="48">
        <v>5.2510000000000003</v>
      </c>
      <c r="H1635" s="48">
        <v>0.13164400000000001</v>
      </c>
      <c r="I1635" s="48">
        <v>0</v>
      </c>
      <c r="J1635" s="52">
        <v>0</v>
      </c>
    </row>
    <row r="1636" spans="1:17" x14ac:dyDescent="0.2">
      <c r="A1636" s="85"/>
      <c r="B1636" s="53" t="s">
        <v>21</v>
      </c>
      <c r="C1636" s="89"/>
      <c r="D1636" s="48">
        <v>1107</v>
      </c>
      <c r="E1636" s="48">
        <v>2.4420000000000002</v>
      </c>
      <c r="F1636" s="48">
        <v>3.645</v>
      </c>
      <c r="G1636" s="48">
        <v>5.5860000000000003</v>
      </c>
      <c r="H1636" s="48">
        <v>0.13744856</v>
      </c>
      <c r="I1636" s="48">
        <v>954.84444440000004</v>
      </c>
      <c r="J1636" s="52" t="e">
        <v>#DIV/0!</v>
      </c>
    </row>
    <row r="1637" spans="1:17" x14ac:dyDescent="0.2">
      <c r="A1637" s="87"/>
      <c r="B1637" s="56" t="s">
        <v>22</v>
      </c>
      <c r="C1637" s="90"/>
      <c r="D1637" s="57"/>
      <c r="E1637" s="57">
        <v>2.41</v>
      </c>
      <c r="F1637" s="57">
        <v>3.16</v>
      </c>
      <c r="G1637" s="57">
        <v>5.1440000000000001</v>
      </c>
      <c r="H1637" s="57">
        <v>0.13481013</v>
      </c>
      <c r="I1637" s="57">
        <v>0</v>
      </c>
      <c r="J1637" s="49" t="e">
        <v>#DIV/0!</v>
      </c>
    </row>
    <row r="1638" spans="1:17" x14ac:dyDescent="0.2">
      <c r="A1638" s="91" t="s">
        <v>14</v>
      </c>
      <c r="B1638" s="53" t="s">
        <v>20</v>
      </c>
      <c r="C1638" s="92">
        <v>10</v>
      </c>
      <c r="D1638" s="48"/>
      <c r="E1638" s="48"/>
      <c r="F1638" s="48"/>
      <c r="G1638" s="48"/>
      <c r="H1638" s="48" t="e">
        <v>#DIV/0!</v>
      </c>
      <c r="I1638" s="48" t="e">
        <v>#DIV/0!</v>
      </c>
      <c r="J1638" s="52" t="e">
        <v>#DIV/0!</v>
      </c>
    </row>
    <row r="1639" spans="1:17" x14ac:dyDescent="0.2">
      <c r="A1639" s="85"/>
      <c r="B1639" s="53" t="s">
        <v>21</v>
      </c>
      <c r="C1639" s="89"/>
      <c r="D1639" s="48"/>
      <c r="E1639" s="48"/>
      <c r="F1639" s="48"/>
      <c r="G1639" s="48"/>
      <c r="H1639" s="48" t="e">
        <v>#DIV/0!</v>
      </c>
      <c r="I1639" s="48" t="e">
        <v>#DIV/0!</v>
      </c>
      <c r="J1639" s="52" t="e">
        <v>#DIV/0!</v>
      </c>
    </row>
    <row r="1640" spans="1:17" ht="16" thickBot="1" x14ac:dyDescent="0.25">
      <c r="A1640" s="93"/>
      <c r="B1640" s="58" t="s">
        <v>22</v>
      </c>
      <c r="C1640" s="94"/>
      <c r="D1640" s="59"/>
      <c r="E1640" s="59"/>
      <c r="F1640" s="59"/>
      <c r="G1640" s="59"/>
      <c r="H1640" s="59" t="e">
        <v>#DIV/0!</v>
      </c>
      <c r="I1640" s="59" t="e">
        <v>#DIV/0!</v>
      </c>
      <c r="J1640" s="50" t="e">
        <v>#DIV/0!</v>
      </c>
    </row>
    <row r="1641" spans="1:17" ht="16" thickBot="1" x14ac:dyDescent="0.25">
      <c r="A1641" s="60" t="s">
        <v>1</v>
      </c>
      <c r="B1641" s="61"/>
      <c r="C1641" s="62"/>
      <c r="D1641" s="63" t="s">
        <v>43</v>
      </c>
      <c r="E1641" s="64"/>
      <c r="F1641" s="58" t="s">
        <v>0</v>
      </c>
      <c r="G1641" s="18">
        <v>44159</v>
      </c>
      <c r="H1641" s="65" t="s">
        <v>24</v>
      </c>
      <c r="I1641" s="66"/>
      <c r="J1641" s="49">
        <v>100</v>
      </c>
    </row>
    <row r="1642" spans="1:17" ht="16" thickBot="1" x14ac:dyDescent="0.25">
      <c r="A1642" s="67" t="s">
        <v>2</v>
      </c>
      <c r="B1642" s="68"/>
      <c r="C1642" s="69"/>
      <c r="D1642" s="70"/>
      <c r="E1642" s="71"/>
      <c r="F1642" s="72"/>
      <c r="G1642" s="73"/>
      <c r="H1642" s="74" t="s">
        <v>25</v>
      </c>
      <c r="I1642" s="75"/>
      <c r="J1642" s="49">
        <v>36</v>
      </c>
    </row>
    <row r="1643" spans="1:17" ht="16" thickBot="1" x14ac:dyDescent="0.25">
      <c r="A1643" s="76" t="s">
        <v>27</v>
      </c>
      <c r="B1643" s="77"/>
      <c r="C1643" s="78"/>
      <c r="D1643" s="79" t="s">
        <v>36</v>
      </c>
      <c r="E1643" s="80"/>
      <c r="F1643" s="48" t="s">
        <v>30</v>
      </c>
      <c r="G1643" s="48">
        <v>3.81</v>
      </c>
      <c r="H1643" s="81" t="s">
        <v>26</v>
      </c>
      <c r="I1643" s="82"/>
      <c r="J1643" s="50">
        <v>60</v>
      </c>
    </row>
    <row r="1644" spans="1:17" x14ac:dyDescent="0.2">
      <c r="A1644" s="83"/>
      <c r="B1644" s="84"/>
      <c r="C1644" s="51" t="s">
        <v>29</v>
      </c>
      <c r="D1644" s="51" t="s">
        <v>19</v>
      </c>
      <c r="E1644" s="51" t="s">
        <v>15</v>
      </c>
      <c r="F1644" s="51" t="s">
        <v>18</v>
      </c>
      <c r="G1644" s="51" t="s">
        <v>17</v>
      </c>
      <c r="H1644" s="48" t="s">
        <v>28</v>
      </c>
      <c r="I1644" s="48" t="s">
        <v>16</v>
      </c>
      <c r="J1644" s="52" t="s">
        <v>23</v>
      </c>
    </row>
    <row r="1645" spans="1:17" x14ac:dyDescent="0.2">
      <c r="A1645" s="86" t="s">
        <v>3</v>
      </c>
      <c r="B1645" s="53" t="s">
        <v>20</v>
      </c>
      <c r="C1645" s="88">
        <v>10</v>
      </c>
      <c r="D1645" s="54"/>
      <c r="E1645" s="54">
        <v>2.44</v>
      </c>
      <c r="F1645" s="54">
        <v>3.2869999999999999</v>
      </c>
      <c r="G1645" s="54">
        <v>5.28</v>
      </c>
      <c r="H1645" s="54">
        <v>0.13599026</v>
      </c>
      <c r="I1645" s="54">
        <v>0</v>
      </c>
      <c r="J1645" s="55">
        <v>0</v>
      </c>
      <c r="L1645">
        <f>(G1645+G1646+G1647)/3</f>
        <v>5.3026666666666662</v>
      </c>
      <c r="M1645">
        <f>(F1645+F1646+F1647)/3</f>
        <v>3.3079999999999998</v>
      </c>
      <c r="N1645">
        <f>(L1645-M1645)/M1645</f>
        <v>0.60298266827891978</v>
      </c>
      <c r="O1645">
        <f>(D1646/(1+N1645))</f>
        <v>455.40105607241645</v>
      </c>
      <c r="P1645">
        <f>PI()*$G$3^2*C1645</f>
        <v>456.03673118774793</v>
      </c>
      <c r="Q1645">
        <f>O1645/P1645</f>
        <v>0.99860608790507754</v>
      </c>
    </row>
    <row r="1646" spans="1:17" x14ac:dyDescent="0.2">
      <c r="A1646" s="85"/>
      <c r="B1646" s="53" t="s">
        <v>21</v>
      </c>
      <c r="C1646" s="89"/>
      <c r="D1646" s="48">
        <v>730</v>
      </c>
      <c r="E1646" s="48">
        <v>2.4220000000000002</v>
      </c>
      <c r="F1646" s="48">
        <v>3.1070000000000002</v>
      </c>
      <c r="G1646" s="48">
        <v>5.1210000000000004</v>
      </c>
      <c r="H1646" s="48">
        <v>0.13131638000000001</v>
      </c>
      <c r="I1646" s="48">
        <v>634.13904090000005</v>
      </c>
      <c r="J1646" s="52" t="e">
        <v>#DIV/0!</v>
      </c>
    </row>
    <row r="1647" spans="1:17" x14ac:dyDescent="0.2">
      <c r="A1647" s="87"/>
      <c r="B1647" s="56" t="s">
        <v>22</v>
      </c>
      <c r="C1647" s="90"/>
      <c r="D1647" s="57"/>
      <c r="E1647" s="57">
        <v>2.4289999999999998</v>
      </c>
      <c r="F1647" s="57">
        <v>3.53</v>
      </c>
      <c r="G1647" s="57">
        <v>5.5069999999999997</v>
      </c>
      <c r="H1647" s="57">
        <v>0.12804533000000001</v>
      </c>
      <c r="I1647" s="57">
        <v>0</v>
      </c>
      <c r="J1647" s="49" t="e">
        <v>#DIV/0!</v>
      </c>
    </row>
    <row r="1648" spans="1:17" x14ac:dyDescent="0.2">
      <c r="A1648" s="91" t="s">
        <v>4</v>
      </c>
      <c r="B1648" s="53" t="s">
        <v>20</v>
      </c>
      <c r="C1648" s="92">
        <v>10</v>
      </c>
      <c r="D1648" s="48"/>
      <c r="E1648" s="48">
        <v>2.411</v>
      </c>
      <c r="F1648" s="48">
        <v>3.6120000000000001</v>
      </c>
      <c r="G1648" s="48">
        <v>5.57</v>
      </c>
      <c r="H1648" s="48">
        <v>0.12541527999999999</v>
      </c>
      <c r="I1648" s="48">
        <v>0</v>
      </c>
      <c r="J1648" s="52">
        <v>0</v>
      </c>
      <c r="L1648">
        <f>(G1648+G1650)/2</f>
        <v>5.4094999999999995</v>
      </c>
      <c r="M1648">
        <f>(F1648+F1649+F1650)/3</f>
        <v>3.5956666666666663</v>
      </c>
      <c r="N1648">
        <f>(L1648-M1648)/M1648</f>
        <v>0.50444980068601097</v>
      </c>
      <c r="O1648">
        <f>(D1649/(1+N1648))</f>
        <v>515.80318575345837</v>
      </c>
      <c r="P1648">
        <f>PI()*$G$3^2*C1648</f>
        <v>456.03673118774793</v>
      </c>
      <c r="Q1648">
        <f>O1648/P1648</f>
        <v>1.1310562296375748</v>
      </c>
    </row>
    <row r="1649" spans="1:17" x14ac:dyDescent="0.2">
      <c r="A1649" s="85"/>
      <c r="B1649" s="53" t="s">
        <v>21</v>
      </c>
      <c r="C1649" s="89"/>
      <c r="D1649" s="48">
        <v>776</v>
      </c>
      <c r="E1649" s="48">
        <v>2.4340000000000002</v>
      </c>
      <c r="F1649" s="48">
        <v>3.923</v>
      </c>
      <c r="G1649" s="48" t="s">
        <v>52</v>
      </c>
      <c r="H1649" s="48" t="e">
        <v>#VALUE!</v>
      </c>
      <c r="I1649" s="48" t="e">
        <v>#VALUE!</v>
      </c>
      <c r="J1649" s="52" t="e">
        <v>#VALUE!</v>
      </c>
    </row>
    <row r="1650" spans="1:17" x14ac:dyDescent="0.2">
      <c r="A1650" s="87"/>
      <c r="B1650" s="56" t="s">
        <v>22</v>
      </c>
      <c r="C1650" s="90"/>
      <c r="D1650" s="57"/>
      <c r="E1650" s="57">
        <v>2.4359999999999999</v>
      </c>
      <c r="F1650" s="57">
        <v>3.2519999999999998</v>
      </c>
      <c r="G1650" s="57">
        <v>5.2489999999999997</v>
      </c>
      <c r="H1650" s="57">
        <v>0.13499385</v>
      </c>
      <c r="I1650" s="57">
        <v>0</v>
      </c>
      <c r="J1650" s="49" t="e">
        <v>#DIV/0!</v>
      </c>
    </row>
    <row r="1651" spans="1:17" x14ac:dyDescent="0.2">
      <c r="A1651" s="91" t="s">
        <v>5</v>
      </c>
      <c r="B1651" s="53" t="s">
        <v>20</v>
      </c>
      <c r="C1651" s="92">
        <v>10</v>
      </c>
      <c r="D1651" s="48"/>
      <c r="E1651" s="48">
        <v>2.4409999999999998</v>
      </c>
      <c r="F1651" s="48">
        <v>3.5880000000000001</v>
      </c>
      <c r="G1651" s="48">
        <v>5.585</v>
      </c>
      <c r="H1651" s="48">
        <v>0.12374582000000001</v>
      </c>
      <c r="I1651" s="48">
        <v>0</v>
      </c>
      <c r="J1651" s="52">
        <v>0</v>
      </c>
      <c r="L1651">
        <f>(G1651+G1652+G1653)/3</f>
        <v>5.5590000000000002</v>
      </c>
      <c r="M1651">
        <f>(F1651+F1652+F1653)/3</f>
        <v>3.6053333333333337</v>
      </c>
      <c r="N1651">
        <f>(L1651-M1651)/M1651</f>
        <v>0.54188239644970404</v>
      </c>
      <c r="O1651">
        <f>(D1652/(1+N1651))</f>
        <v>511.0636205552558</v>
      </c>
      <c r="P1651">
        <f>PI()*$G$3^2*C1651</f>
        <v>456.03673118774793</v>
      </c>
      <c r="Q1651">
        <f>O1651/P1651</f>
        <v>1.1206632834688344</v>
      </c>
    </row>
    <row r="1652" spans="1:17" x14ac:dyDescent="0.2">
      <c r="A1652" s="85"/>
      <c r="B1652" s="53" t="s">
        <v>21</v>
      </c>
      <c r="C1652" s="89"/>
      <c r="D1652" s="48">
        <v>788</v>
      </c>
      <c r="E1652" s="48">
        <v>2.452</v>
      </c>
      <c r="F1652" s="48">
        <v>3.302</v>
      </c>
      <c r="G1652" s="48">
        <v>5.2519999999999998</v>
      </c>
      <c r="H1652" s="48">
        <v>0.15202906999999999</v>
      </c>
      <c r="I1652" s="48">
        <v>668.20109019999995</v>
      </c>
      <c r="J1652" s="52" t="e">
        <v>#DIV/0!</v>
      </c>
    </row>
    <row r="1653" spans="1:17" x14ac:dyDescent="0.2">
      <c r="A1653" s="87"/>
      <c r="B1653" s="56" t="s">
        <v>22</v>
      </c>
      <c r="C1653" s="90"/>
      <c r="D1653" s="57"/>
      <c r="E1653" s="57">
        <v>2.4500000000000002</v>
      </c>
      <c r="F1653" s="57">
        <v>3.9260000000000002</v>
      </c>
      <c r="G1653" s="57">
        <v>5.84</v>
      </c>
      <c r="H1653" s="57">
        <v>0.13652573000000001</v>
      </c>
      <c r="I1653" s="57">
        <v>0</v>
      </c>
      <c r="J1653" s="49" t="e">
        <v>#DIV/0!</v>
      </c>
    </row>
    <row r="1654" spans="1:17" x14ac:dyDescent="0.2">
      <c r="A1654" s="91" t="s">
        <v>6</v>
      </c>
      <c r="B1654" s="53" t="s">
        <v>20</v>
      </c>
      <c r="C1654" s="92">
        <v>10</v>
      </c>
      <c r="D1654" s="48"/>
      <c r="E1654" s="48">
        <v>2.4119999999999999</v>
      </c>
      <c r="F1654" s="48">
        <v>3.016</v>
      </c>
      <c r="G1654" s="48">
        <v>5.0049999999999999</v>
      </c>
      <c r="H1654" s="48">
        <v>0.14025198999999999</v>
      </c>
      <c r="I1654" s="48">
        <v>0</v>
      </c>
      <c r="J1654" s="52">
        <v>0</v>
      </c>
      <c r="L1654">
        <f>(G1654+G1655+G1656)/3</f>
        <v>5.1026666666666669</v>
      </c>
      <c r="M1654">
        <f>(F1654+F1655+F1656)/3</f>
        <v>3.0686666666666667</v>
      </c>
      <c r="N1654">
        <f>(L1654-M1654)/M1654</f>
        <v>0.66282859004996753</v>
      </c>
      <c r="O1654">
        <f>(D1655/(1+N1654))</f>
        <v>489.52730598379929</v>
      </c>
      <c r="P1654">
        <f>PI()*$G$3^2*C1654</f>
        <v>456.03673118774793</v>
      </c>
      <c r="Q1654">
        <f>O1654/P1654</f>
        <v>1.073438327454074</v>
      </c>
    </row>
    <row r="1655" spans="1:17" x14ac:dyDescent="0.2">
      <c r="A1655" s="85"/>
      <c r="B1655" s="53" t="s">
        <v>21</v>
      </c>
      <c r="C1655" s="89"/>
      <c r="D1655" s="48">
        <v>814</v>
      </c>
      <c r="E1655" s="48">
        <v>2.448</v>
      </c>
      <c r="F1655" s="48">
        <v>3.177</v>
      </c>
      <c r="G1655" s="48">
        <v>5.2160000000000002</v>
      </c>
      <c r="H1655" s="48">
        <v>0.12873780000000001</v>
      </c>
      <c r="I1655" s="48">
        <v>709.20742840000003</v>
      </c>
      <c r="J1655" s="52" t="e">
        <v>#DIV/0!</v>
      </c>
    </row>
    <row r="1656" spans="1:17" x14ac:dyDescent="0.2">
      <c r="A1656" s="87"/>
      <c r="B1656" s="56" t="s">
        <v>22</v>
      </c>
      <c r="C1656" s="90"/>
      <c r="D1656" s="57"/>
      <c r="E1656" s="57">
        <v>2.4409999999999998</v>
      </c>
      <c r="F1656" s="57">
        <v>3.0129999999999999</v>
      </c>
      <c r="G1656" s="57">
        <v>5.0869999999999997</v>
      </c>
      <c r="H1656" s="57">
        <v>0.12180551000000001</v>
      </c>
      <c r="I1656" s="57">
        <v>0</v>
      </c>
      <c r="J1656" s="49" t="e">
        <v>#DIV/0!</v>
      </c>
    </row>
    <row r="1657" spans="1:17" x14ac:dyDescent="0.2">
      <c r="A1657" s="91" t="s">
        <v>7</v>
      </c>
      <c r="B1657" s="53" t="s">
        <v>20</v>
      </c>
      <c r="C1657" s="92">
        <v>10</v>
      </c>
      <c r="D1657" s="48"/>
      <c r="E1657" s="48">
        <v>2.444</v>
      </c>
      <c r="F1657" s="48">
        <v>3.1970000000000001</v>
      </c>
      <c r="G1657" s="48">
        <v>5.1980000000000004</v>
      </c>
      <c r="H1657" s="48">
        <v>0.13856741</v>
      </c>
      <c r="I1657" s="48">
        <v>0</v>
      </c>
      <c r="J1657" s="52">
        <v>0</v>
      </c>
      <c r="L1657">
        <f>(G1657+G1658+G1659)/3</f>
        <v>5.4233333333333329</v>
      </c>
      <c r="M1657">
        <f>(F1657+F1658+F1659)/3</f>
        <v>3.4153333333333333</v>
      </c>
      <c r="N1657">
        <f>(L1657-M1657)/M1657</f>
        <v>0.58793675580714411</v>
      </c>
      <c r="O1657">
        <f>(D1658/(1+N1657))</f>
        <v>479.23822987092819</v>
      </c>
      <c r="P1657">
        <f>PI()*$G$3^2*C1657</f>
        <v>456.03673118774793</v>
      </c>
      <c r="Q1657">
        <f>O1657/P1657</f>
        <v>1.0508763814325919</v>
      </c>
    </row>
    <row r="1658" spans="1:17" x14ac:dyDescent="0.2">
      <c r="A1658" s="85"/>
      <c r="B1658" s="53" t="s">
        <v>21</v>
      </c>
      <c r="C1658" s="89"/>
      <c r="D1658" s="48">
        <v>761</v>
      </c>
      <c r="E1658" s="48">
        <v>2.4910000000000001</v>
      </c>
      <c r="F1658" s="48">
        <v>3.9710000000000001</v>
      </c>
      <c r="G1658" s="48">
        <v>5.9530000000000003</v>
      </c>
      <c r="H1658" s="48">
        <v>0.1281793</v>
      </c>
      <c r="I1658" s="48">
        <v>663.45555279999996</v>
      </c>
      <c r="J1658" s="52" t="e">
        <v>#DIV/0!</v>
      </c>
    </row>
    <row r="1659" spans="1:17" x14ac:dyDescent="0.2">
      <c r="A1659" s="87"/>
      <c r="B1659" s="56" t="s">
        <v>22</v>
      </c>
      <c r="C1659" s="90"/>
      <c r="D1659" s="57"/>
      <c r="E1659" s="57">
        <v>2.4279999999999999</v>
      </c>
      <c r="F1659" s="57">
        <v>3.0779999999999998</v>
      </c>
      <c r="G1659" s="57">
        <v>5.1189999999999998</v>
      </c>
      <c r="H1659" s="57">
        <v>0.12573098999999999</v>
      </c>
      <c r="I1659" s="57">
        <v>0</v>
      </c>
      <c r="J1659" s="49" t="e">
        <v>#DIV/0!</v>
      </c>
    </row>
    <row r="1660" spans="1:17" x14ac:dyDescent="0.2">
      <c r="A1660" s="91" t="s">
        <v>8</v>
      </c>
      <c r="B1660" s="53" t="s">
        <v>20</v>
      </c>
      <c r="C1660" s="92">
        <v>10</v>
      </c>
      <c r="D1660" s="48"/>
      <c r="E1660" s="48">
        <v>2.472</v>
      </c>
      <c r="F1660" s="48">
        <v>3.16</v>
      </c>
      <c r="G1660" s="48">
        <v>5.2880000000000003</v>
      </c>
      <c r="H1660" s="48">
        <v>0.10886076</v>
      </c>
      <c r="I1660" s="48">
        <v>0</v>
      </c>
      <c r="J1660" s="52">
        <v>0</v>
      </c>
      <c r="L1660">
        <f>(G1660+G1661+G1662)/3</f>
        <v>5.4036666666666671</v>
      </c>
      <c r="M1660">
        <f>(F1660+F1661+F1662)/3</f>
        <v>3.3013333333333335</v>
      </c>
      <c r="N1660">
        <f>(L1660-M1660)/M1660</f>
        <v>0.63681340872374803</v>
      </c>
      <c r="O1660">
        <f>(D1661/(1+N1660))</f>
        <v>491.19832212695081</v>
      </c>
      <c r="P1660">
        <f>PI()*$G$3^2*C1660</f>
        <v>456.03673118774793</v>
      </c>
      <c r="Q1660">
        <f>O1660/P1660</f>
        <v>1.0771025413843847</v>
      </c>
    </row>
    <row r="1661" spans="1:17" x14ac:dyDescent="0.2">
      <c r="A1661" s="85"/>
      <c r="B1661" s="53" t="s">
        <v>21</v>
      </c>
      <c r="C1661" s="89"/>
      <c r="D1661" s="48">
        <v>804</v>
      </c>
      <c r="E1661" s="48">
        <v>2.411</v>
      </c>
      <c r="F1661" s="48">
        <v>3.165</v>
      </c>
      <c r="G1661" s="48">
        <v>5.2450000000000001</v>
      </c>
      <c r="H1661" s="48">
        <v>0.10458136</v>
      </c>
      <c r="I1661" s="48">
        <v>719.91658770000004</v>
      </c>
      <c r="J1661" s="52" t="e">
        <v>#DIV/0!</v>
      </c>
    </row>
    <row r="1662" spans="1:17" x14ac:dyDescent="0.2">
      <c r="A1662" s="87"/>
      <c r="B1662" s="56" t="s">
        <v>22</v>
      </c>
      <c r="C1662" s="90"/>
      <c r="D1662" s="57"/>
      <c r="E1662" s="57">
        <v>2.4929999999999999</v>
      </c>
      <c r="F1662" s="57">
        <v>3.5790000000000002</v>
      </c>
      <c r="G1662" s="57">
        <v>5.6779999999999999</v>
      </c>
      <c r="H1662" s="57">
        <v>0.11008662</v>
      </c>
      <c r="I1662" s="57">
        <v>0</v>
      </c>
      <c r="J1662" s="49" t="e">
        <v>#DIV/0!</v>
      </c>
    </row>
    <row r="1663" spans="1:17" x14ac:dyDescent="0.2">
      <c r="A1663" s="91" t="s">
        <v>9</v>
      </c>
      <c r="B1663" s="53" t="s">
        <v>20</v>
      </c>
      <c r="C1663" s="92">
        <v>10</v>
      </c>
      <c r="D1663" s="48"/>
      <c r="E1663" s="48">
        <v>2.4529999999999998</v>
      </c>
      <c r="F1663" s="48">
        <v>3.8140000000000001</v>
      </c>
      <c r="G1663" s="48">
        <v>5.8620000000000001</v>
      </c>
      <c r="H1663" s="48">
        <v>0.10618772999999999</v>
      </c>
      <c r="I1663" s="48">
        <v>0</v>
      </c>
      <c r="J1663" s="52">
        <v>0</v>
      </c>
      <c r="L1663">
        <f>(G1663+G1664+G1665)/3</f>
        <v>5.5629999999999997</v>
      </c>
      <c r="M1663">
        <f>(F1663+F1664+F1665)/3</f>
        <v>10.164333333333333</v>
      </c>
      <c r="N1663">
        <f>(L1663-M1663)/M1663</f>
        <v>-0.45269406093201719</v>
      </c>
      <c r="O1663">
        <f>(D1664/(1+N1663))</f>
        <v>1704.7138234765414</v>
      </c>
      <c r="P1663">
        <f>PI()*$G$3^2*C1663</f>
        <v>456.03673118774793</v>
      </c>
      <c r="Q1663">
        <f>O1663/P1663</f>
        <v>3.7381063999748734</v>
      </c>
    </row>
    <row r="1664" spans="1:17" x14ac:dyDescent="0.2">
      <c r="A1664" s="85"/>
      <c r="B1664" s="53" t="s">
        <v>21</v>
      </c>
      <c r="C1664" s="89"/>
      <c r="D1664" s="48">
        <v>933</v>
      </c>
      <c r="E1664" s="48">
        <v>2.4460000000000002</v>
      </c>
      <c r="F1664" s="48">
        <v>3.5920000000000001</v>
      </c>
      <c r="G1664" s="48">
        <v>5.6289999999999996</v>
      </c>
      <c r="H1664" s="48">
        <v>0.11386414</v>
      </c>
      <c r="I1664" s="48">
        <v>826.76475500000004</v>
      </c>
      <c r="J1664" s="52" t="e">
        <v>#DIV/0!</v>
      </c>
    </row>
    <row r="1665" spans="1:17" x14ac:dyDescent="0.2">
      <c r="A1665" s="87"/>
      <c r="B1665" s="56" t="s">
        <v>22</v>
      </c>
      <c r="C1665" s="90"/>
      <c r="D1665" s="57"/>
      <c r="E1665" s="57">
        <v>2.464</v>
      </c>
      <c r="F1665" s="57">
        <v>23.087</v>
      </c>
      <c r="G1665" s="57">
        <v>5.1980000000000004</v>
      </c>
      <c r="H1665" s="57">
        <v>0.88157837999999999</v>
      </c>
      <c r="I1665" s="57">
        <v>0</v>
      </c>
      <c r="J1665" s="49" t="e">
        <v>#DIV/0!</v>
      </c>
    </row>
    <row r="1666" spans="1:17" x14ac:dyDescent="0.2">
      <c r="A1666" s="91" t="s">
        <v>10</v>
      </c>
      <c r="B1666" s="53" t="s">
        <v>20</v>
      </c>
      <c r="C1666" s="92">
        <v>10</v>
      </c>
      <c r="D1666" s="48"/>
      <c r="E1666" s="48">
        <v>2.4470000000000001</v>
      </c>
      <c r="F1666" s="48">
        <v>3.2280000000000002</v>
      </c>
      <c r="G1666" s="48">
        <v>5.3609999999999998</v>
      </c>
      <c r="H1666" s="48">
        <v>9.7273849999999995E-2</v>
      </c>
      <c r="I1666" s="48">
        <v>0</v>
      </c>
      <c r="J1666" s="52">
        <v>0</v>
      </c>
      <c r="L1666">
        <f>(G1666+G1667+G1668)/3</f>
        <v>5.3109999999999999</v>
      </c>
      <c r="M1666">
        <f>(F1666+F1667+F1668)/3</f>
        <v>3.1686666666666667</v>
      </c>
      <c r="N1666">
        <f>(L1666-M1666)/M1666</f>
        <v>0.6760993057016621</v>
      </c>
      <c r="O1666">
        <f>(D1667/(1+N1666))</f>
        <v>545.31375133371</v>
      </c>
      <c r="P1666">
        <f>PI()*$G$3^2*C1666</f>
        <v>456.03673118774793</v>
      </c>
      <c r="Q1666">
        <f>O1666/P1666</f>
        <v>1.1957671697045982</v>
      </c>
    </row>
    <row r="1667" spans="1:17" x14ac:dyDescent="0.2">
      <c r="A1667" s="85"/>
      <c r="B1667" s="53" t="s">
        <v>21</v>
      </c>
      <c r="C1667" s="89"/>
      <c r="D1667" s="48">
        <v>914</v>
      </c>
      <c r="E1667" s="48">
        <v>2.4569999999999999</v>
      </c>
      <c r="F1667" s="48">
        <v>3.2639999999999998</v>
      </c>
      <c r="G1667" s="48">
        <v>5.4050000000000002</v>
      </c>
      <c r="H1667" s="48">
        <v>9.6813730000000001E-2</v>
      </c>
      <c r="I1667" s="48">
        <v>825.51225490000002</v>
      </c>
      <c r="J1667" s="52" t="e">
        <v>#DIV/0!</v>
      </c>
    </row>
    <row r="1668" spans="1:17" x14ac:dyDescent="0.2">
      <c r="A1668" s="87"/>
      <c r="B1668" s="56" t="s">
        <v>22</v>
      </c>
      <c r="C1668" s="90"/>
      <c r="D1668" s="57"/>
      <c r="E1668" s="57">
        <v>2.444</v>
      </c>
      <c r="F1668" s="57">
        <v>3.0139999999999998</v>
      </c>
      <c r="G1668" s="57">
        <v>5.1669999999999998</v>
      </c>
      <c r="H1668" s="57">
        <v>9.654944E-2</v>
      </c>
      <c r="I1668" s="57">
        <v>0</v>
      </c>
      <c r="J1668" s="49" t="e">
        <v>#DIV/0!</v>
      </c>
    </row>
    <row r="1669" spans="1:17" x14ac:dyDescent="0.2">
      <c r="A1669" s="91" t="s">
        <v>11</v>
      </c>
      <c r="B1669" s="53" t="s">
        <v>20</v>
      </c>
      <c r="C1669" s="92">
        <v>10</v>
      </c>
      <c r="D1669" s="48"/>
      <c r="E1669" s="48">
        <v>2.423</v>
      </c>
      <c r="F1669" s="48">
        <v>3.4820000000000002</v>
      </c>
      <c r="G1669" s="48">
        <v>5.5419999999999998</v>
      </c>
      <c r="H1669" s="48">
        <v>0.10425043000000001</v>
      </c>
      <c r="I1669" s="48">
        <v>0</v>
      </c>
      <c r="J1669" s="52">
        <v>0</v>
      </c>
      <c r="L1669">
        <f>(G1669+G1670+G1671)/3</f>
        <v>5.5010000000000003</v>
      </c>
      <c r="M1669">
        <f>(F1669+F1670+F1671)/3</f>
        <v>3.450333333333333</v>
      </c>
      <c r="N1669">
        <f>(L1669-M1669)/M1669</f>
        <v>0.59433871123562965</v>
      </c>
      <c r="O1669">
        <f>(D1670/(1+N1669))</f>
        <v>472.29612797673144</v>
      </c>
      <c r="P1669">
        <f>PI()*$G$3^2*C1669</f>
        <v>456.03673118774793</v>
      </c>
      <c r="Q1669">
        <f>O1669/P1669</f>
        <v>1.0356536999698158</v>
      </c>
    </row>
    <row r="1670" spans="1:17" x14ac:dyDescent="0.2">
      <c r="A1670" s="85"/>
      <c r="B1670" s="53" t="s">
        <v>21</v>
      </c>
      <c r="C1670" s="89"/>
      <c r="D1670" s="48">
        <v>753</v>
      </c>
      <c r="E1670" s="48">
        <v>2.4540000000000002</v>
      </c>
      <c r="F1670" s="48">
        <v>3.746</v>
      </c>
      <c r="G1670" s="48">
        <v>5.7430000000000003</v>
      </c>
      <c r="H1670" s="48">
        <v>0.1219968</v>
      </c>
      <c r="I1670" s="48">
        <v>661.1364122</v>
      </c>
      <c r="J1670" s="52" t="e">
        <v>#DIV/0!</v>
      </c>
    </row>
    <row r="1671" spans="1:17" x14ac:dyDescent="0.2">
      <c r="A1671" s="87"/>
      <c r="B1671" s="56" t="s">
        <v>22</v>
      </c>
      <c r="C1671" s="90"/>
      <c r="D1671" s="57"/>
      <c r="E1671" s="57">
        <v>2.4630000000000001</v>
      </c>
      <c r="F1671" s="57">
        <v>3.1230000000000002</v>
      </c>
      <c r="G1671" s="57">
        <v>5.218</v>
      </c>
      <c r="H1671" s="57">
        <v>0.11783541</v>
      </c>
      <c r="I1671" s="57">
        <v>0</v>
      </c>
      <c r="J1671" s="49" t="e">
        <v>#DIV/0!</v>
      </c>
    </row>
    <row r="1672" spans="1:17" x14ac:dyDescent="0.2">
      <c r="A1672" s="91" t="s">
        <v>12</v>
      </c>
      <c r="B1672" s="53" t="s">
        <v>20</v>
      </c>
      <c r="C1672" s="92">
        <v>10</v>
      </c>
      <c r="D1672" s="48"/>
      <c r="E1672" s="48">
        <v>2.4289999999999998</v>
      </c>
      <c r="F1672" s="48">
        <v>3.6440000000000001</v>
      </c>
      <c r="G1672" s="48">
        <v>5.6630000000000003</v>
      </c>
      <c r="H1672" s="48">
        <v>0.11251372</v>
      </c>
      <c r="I1672" s="48">
        <v>0</v>
      </c>
      <c r="J1672" s="52">
        <v>0</v>
      </c>
      <c r="L1672">
        <f>(G1672+G1673+G1674)/3</f>
        <v>5.3513333333333337</v>
      </c>
      <c r="M1672">
        <f>(F1672+F1673+F1674)/3</f>
        <v>3.3013333333333335</v>
      </c>
      <c r="N1672">
        <f>(L1672-M1672)/M1672</f>
        <v>0.62096122778675289</v>
      </c>
      <c r="O1672">
        <f>(D1673/(1+N1672))</f>
        <v>521.91254516008473</v>
      </c>
      <c r="P1672">
        <f>PI()*$G$3^2*C1672</f>
        <v>456.03673118774793</v>
      </c>
      <c r="Q1672">
        <f>O1672/P1672</f>
        <v>1.1444528685239086</v>
      </c>
    </row>
    <row r="1673" spans="1:17" x14ac:dyDescent="0.2">
      <c r="A1673" s="85"/>
      <c r="B1673" s="53" t="s">
        <v>21</v>
      </c>
      <c r="C1673" s="89"/>
      <c r="D1673" s="48">
        <v>846</v>
      </c>
      <c r="E1673" s="48">
        <v>2.4489999999999998</v>
      </c>
      <c r="F1673" s="48">
        <v>3.1080000000000001</v>
      </c>
      <c r="G1673" s="48">
        <v>5.1980000000000004</v>
      </c>
      <c r="H1673" s="48">
        <v>0.11550837</v>
      </c>
      <c r="I1673" s="48">
        <v>748.27992280000001</v>
      </c>
      <c r="J1673" s="52" t="e">
        <v>#DIV/0!</v>
      </c>
    </row>
    <row r="1674" spans="1:17" x14ac:dyDescent="0.2">
      <c r="A1674" s="87"/>
      <c r="B1674" s="56" t="s">
        <v>22</v>
      </c>
      <c r="C1674" s="90"/>
      <c r="D1674" s="57"/>
      <c r="E1674" s="57">
        <v>2.411</v>
      </c>
      <c r="F1674" s="57">
        <v>3.1520000000000001</v>
      </c>
      <c r="G1674" s="57">
        <v>5.1929999999999996</v>
      </c>
      <c r="H1674" s="57">
        <v>0.11738579</v>
      </c>
      <c r="I1674" s="57">
        <v>0</v>
      </c>
      <c r="J1674" s="49" t="e">
        <v>#DIV/0!</v>
      </c>
    </row>
    <row r="1675" spans="1:17" x14ac:dyDescent="0.2">
      <c r="A1675" s="91" t="s">
        <v>13</v>
      </c>
      <c r="B1675" s="53" t="s">
        <v>20</v>
      </c>
      <c r="C1675" s="92">
        <v>10</v>
      </c>
      <c r="D1675" s="48"/>
      <c r="E1675" s="48"/>
      <c r="F1675" s="48"/>
      <c r="G1675" s="48"/>
      <c r="H1675" s="48" t="e">
        <v>#DIV/0!</v>
      </c>
      <c r="I1675" s="48" t="e">
        <v>#DIV/0!</v>
      </c>
      <c r="J1675" s="52" t="e">
        <v>#DIV/0!</v>
      </c>
    </row>
    <row r="1676" spans="1:17" x14ac:dyDescent="0.2">
      <c r="A1676" s="85"/>
      <c r="B1676" s="53" t="s">
        <v>21</v>
      </c>
      <c r="C1676" s="89"/>
      <c r="D1676" s="48"/>
      <c r="E1676" s="48"/>
      <c r="F1676" s="48"/>
      <c r="G1676" s="48"/>
      <c r="H1676" s="48" t="e">
        <v>#DIV/0!</v>
      </c>
      <c r="I1676" s="48" t="e">
        <v>#DIV/0!</v>
      </c>
      <c r="J1676" s="52" t="e">
        <v>#DIV/0!</v>
      </c>
    </row>
    <row r="1677" spans="1:17" x14ac:dyDescent="0.2">
      <c r="A1677" s="87"/>
      <c r="B1677" s="56" t="s">
        <v>22</v>
      </c>
      <c r="C1677" s="90"/>
      <c r="D1677" s="57"/>
      <c r="E1677" s="57"/>
      <c r="F1677" s="57"/>
      <c r="G1677" s="57"/>
      <c r="H1677" s="57" t="e">
        <v>#DIV/0!</v>
      </c>
      <c r="I1677" s="57" t="e">
        <v>#DIV/0!</v>
      </c>
      <c r="J1677" s="49" t="e">
        <v>#DIV/0!</v>
      </c>
    </row>
    <row r="1678" spans="1:17" x14ac:dyDescent="0.2">
      <c r="A1678" s="91" t="s">
        <v>14</v>
      </c>
      <c r="B1678" s="53" t="s">
        <v>20</v>
      </c>
      <c r="C1678" s="92">
        <v>10</v>
      </c>
      <c r="D1678" s="48"/>
      <c r="E1678" s="48"/>
      <c r="F1678" s="48"/>
      <c r="G1678" s="48"/>
      <c r="H1678" s="48" t="e">
        <v>#DIV/0!</v>
      </c>
      <c r="I1678" s="48" t="e">
        <v>#DIV/0!</v>
      </c>
      <c r="J1678" s="52" t="e">
        <v>#DIV/0!</v>
      </c>
    </row>
    <row r="1679" spans="1:17" x14ac:dyDescent="0.2">
      <c r="A1679" s="85"/>
      <c r="B1679" s="53" t="s">
        <v>21</v>
      </c>
      <c r="C1679" s="89"/>
      <c r="D1679" s="48"/>
      <c r="E1679" s="48"/>
      <c r="F1679" s="48"/>
      <c r="G1679" s="48"/>
      <c r="H1679" s="48" t="e">
        <v>#DIV/0!</v>
      </c>
      <c r="I1679" s="48" t="e">
        <v>#DIV/0!</v>
      </c>
      <c r="J1679" s="52" t="e">
        <v>#DIV/0!</v>
      </c>
    </row>
    <row r="1680" spans="1:17" ht="16" thickBot="1" x14ac:dyDescent="0.25">
      <c r="A1680" s="93"/>
      <c r="B1680" s="58" t="s">
        <v>22</v>
      </c>
      <c r="C1680" s="94"/>
      <c r="D1680" s="59"/>
      <c r="E1680" s="59"/>
      <c r="F1680" s="59"/>
      <c r="G1680" s="59"/>
      <c r="H1680" s="59" t="e">
        <v>#DIV/0!</v>
      </c>
      <c r="I1680" s="59" t="e">
        <v>#DIV/0!</v>
      </c>
      <c r="J1680" s="50" t="e">
        <v>#DIV/0!</v>
      </c>
    </row>
    <row r="1681" spans="1:17" ht="16" thickBot="1" x14ac:dyDescent="0.25">
      <c r="A1681" s="60" t="s">
        <v>1</v>
      </c>
      <c r="B1681" s="61"/>
      <c r="C1681" s="62"/>
      <c r="D1681" s="63" t="s">
        <v>42</v>
      </c>
      <c r="E1681" s="64"/>
      <c r="F1681" s="58" t="s">
        <v>0</v>
      </c>
      <c r="G1681" s="18">
        <v>44159</v>
      </c>
      <c r="H1681" s="65" t="s">
        <v>24</v>
      </c>
      <c r="I1681" s="66"/>
      <c r="J1681" s="49">
        <v>100</v>
      </c>
    </row>
    <row r="1682" spans="1:17" ht="16" thickBot="1" x14ac:dyDescent="0.25">
      <c r="A1682" s="67" t="s">
        <v>2</v>
      </c>
      <c r="B1682" s="68"/>
      <c r="C1682" s="69"/>
      <c r="D1682" s="70"/>
      <c r="E1682" s="71"/>
      <c r="F1682" s="72"/>
      <c r="G1682" s="73"/>
      <c r="H1682" s="74" t="s">
        <v>25</v>
      </c>
      <c r="I1682" s="75"/>
      <c r="J1682" s="49">
        <v>35</v>
      </c>
    </row>
    <row r="1683" spans="1:17" ht="16" thickBot="1" x14ac:dyDescent="0.25">
      <c r="A1683" s="76" t="s">
        <v>27</v>
      </c>
      <c r="B1683" s="77"/>
      <c r="C1683" s="78"/>
      <c r="D1683" s="79" t="s">
        <v>36</v>
      </c>
      <c r="E1683" s="80"/>
      <c r="F1683" s="48" t="s">
        <v>30</v>
      </c>
      <c r="G1683" s="48">
        <v>3.81</v>
      </c>
      <c r="H1683" s="81" t="s">
        <v>26</v>
      </c>
      <c r="I1683" s="82"/>
      <c r="J1683" s="50">
        <v>64</v>
      </c>
    </row>
    <row r="1684" spans="1:17" x14ac:dyDescent="0.2">
      <c r="A1684" s="83"/>
      <c r="B1684" s="84"/>
      <c r="C1684" s="51" t="s">
        <v>29</v>
      </c>
      <c r="D1684" s="51" t="s">
        <v>19</v>
      </c>
      <c r="E1684" s="51" t="s">
        <v>15</v>
      </c>
      <c r="F1684" s="51" t="s">
        <v>18</v>
      </c>
      <c r="G1684" s="51" t="s">
        <v>17</v>
      </c>
      <c r="H1684" s="48" t="s">
        <v>28</v>
      </c>
      <c r="I1684" s="48" t="s">
        <v>16</v>
      </c>
      <c r="J1684" s="52" t="s">
        <v>23</v>
      </c>
    </row>
    <row r="1685" spans="1:17" x14ac:dyDescent="0.2">
      <c r="A1685" s="86" t="s">
        <v>3</v>
      </c>
      <c r="B1685" s="53" t="s">
        <v>20</v>
      </c>
      <c r="C1685" s="88">
        <v>10</v>
      </c>
      <c r="D1685" s="54"/>
      <c r="E1685" s="54"/>
      <c r="F1685" s="54">
        <v>3.0030000000000001</v>
      </c>
      <c r="G1685" s="54">
        <v>4.3230000000000004</v>
      </c>
      <c r="H1685" s="54">
        <v>-0.43956040000000002</v>
      </c>
      <c r="I1685" s="54">
        <v>0</v>
      </c>
      <c r="J1685" s="55">
        <v>0</v>
      </c>
      <c r="L1685">
        <f>(G1685+G1686+G1687)/3</f>
        <v>4.8226666666666667</v>
      </c>
      <c r="M1685">
        <f>(F1685+F1686+F1687)/3</f>
        <v>3.5609999999999999</v>
      </c>
      <c r="N1685">
        <f>(L1685-M1685)/M1685</f>
        <v>0.35430122624730881</v>
      </c>
      <c r="O1685">
        <f>(D1686/(1+N1685))</f>
        <v>654.95030411943594</v>
      </c>
      <c r="P1685">
        <f>PI()*$G$3^2*C1685</f>
        <v>456.03673118774793</v>
      </c>
      <c r="Q1685">
        <f>O1685/P1685</f>
        <v>1.4361788411508378</v>
      </c>
    </row>
    <row r="1686" spans="1:17" x14ac:dyDescent="0.2">
      <c r="A1686" s="85"/>
      <c r="B1686" s="53" t="s">
        <v>21</v>
      </c>
      <c r="C1686" s="89"/>
      <c r="D1686" s="48">
        <v>887</v>
      </c>
      <c r="E1686" s="48"/>
      <c r="F1686" s="48">
        <v>3.79</v>
      </c>
      <c r="G1686" s="48">
        <v>5.0599999999999996</v>
      </c>
      <c r="H1686" s="48">
        <v>-0.33509230000000001</v>
      </c>
      <c r="I1686" s="48">
        <v>1184.226913</v>
      </c>
      <c r="J1686" s="52" t="e">
        <v>#DIV/0!</v>
      </c>
    </row>
    <row r="1687" spans="1:17" x14ac:dyDescent="0.2">
      <c r="A1687" s="87"/>
      <c r="B1687" s="56" t="s">
        <v>22</v>
      </c>
      <c r="C1687" s="90"/>
      <c r="D1687" s="57"/>
      <c r="E1687" s="57"/>
      <c r="F1687" s="57">
        <v>3.89</v>
      </c>
      <c r="G1687" s="57">
        <v>5.085</v>
      </c>
      <c r="H1687" s="57">
        <v>-0.30719790000000002</v>
      </c>
      <c r="I1687" s="57">
        <v>0</v>
      </c>
      <c r="J1687" s="49" t="e">
        <v>#DIV/0!</v>
      </c>
    </row>
    <row r="1688" spans="1:17" x14ac:dyDescent="0.2">
      <c r="A1688" s="91" t="s">
        <v>4</v>
      </c>
      <c r="B1688" s="53" t="s">
        <v>20</v>
      </c>
      <c r="C1688" s="92">
        <v>10</v>
      </c>
      <c r="D1688" s="48"/>
      <c r="E1688" s="48"/>
      <c r="F1688" s="48">
        <v>3.742</v>
      </c>
      <c r="G1688" s="48">
        <v>5.0209999999999999</v>
      </c>
      <c r="H1688" s="48">
        <v>-0.34179579999999998</v>
      </c>
      <c r="I1688" s="48">
        <v>0</v>
      </c>
      <c r="J1688" s="52">
        <v>0</v>
      </c>
      <c r="L1688">
        <f>(G1688+G1689+G1690)/3</f>
        <v>4.8049999999999997</v>
      </c>
      <c r="M1688">
        <f>(F1688+F1689+F1690)/3</f>
        <v>3.5083333333333329</v>
      </c>
      <c r="N1688">
        <f>(L1688-M1688)/M1688</f>
        <v>0.36959619952494072</v>
      </c>
      <c r="O1688">
        <f>(D1689/(1+N1688))</f>
        <v>630.11272979535204</v>
      </c>
      <c r="P1688">
        <f>PI()*$G$3^2*C1688</f>
        <v>456.03673118774793</v>
      </c>
      <c r="Q1688">
        <f>O1688/P1688</f>
        <v>1.3817148635247496</v>
      </c>
    </row>
    <row r="1689" spans="1:17" x14ac:dyDescent="0.2">
      <c r="A1689" s="85"/>
      <c r="B1689" s="53" t="s">
        <v>21</v>
      </c>
      <c r="C1689" s="89"/>
      <c r="D1689" s="48">
        <v>863</v>
      </c>
      <c r="E1689" s="48"/>
      <c r="F1689" s="48">
        <v>3.4350000000000001</v>
      </c>
      <c r="G1689" s="48">
        <v>4.7629999999999999</v>
      </c>
      <c r="H1689" s="48">
        <v>-0.38660840000000002</v>
      </c>
      <c r="I1689" s="48">
        <v>1196.643086</v>
      </c>
      <c r="J1689" s="52" t="e">
        <v>#DIV/0!</v>
      </c>
    </row>
    <row r="1690" spans="1:17" x14ac:dyDescent="0.2">
      <c r="A1690" s="87"/>
      <c r="B1690" s="56" t="s">
        <v>22</v>
      </c>
      <c r="C1690" s="90"/>
      <c r="D1690" s="57"/>
      <c r="E1690" s="57"/>
      <c r="F1690" s="57">
        <v>3.3479999999999999</v>
      </c>
      <c r="G1690" s="57">
        <v>4.6310000000000002</v>
      </c>
      <c r="H1690" s="57">
        <v>-0.3832139</v>
      </c>
      <c r="I1690" s="57">
        <v>0</v>
      </c>
      <c r="J1690" s="49" t="e">
        <v>#DIV/0!</v>
      </c>
    </row>
    <row r="1691" spans="1:17" x14ac:dyDescent="0.2">
      <c r="A1691" s="91" t="s">
        <v>5</v>
      </c>
      <c r="B1691" s="53" t="s">
        <v>20</v>
      </c>
      <c r="C1691" s="92">
        <v>10</v>
      </c>
      <c r="D1691" s="48"/>
      <c r="E1691" s="48"/>
      <c r="F1691" s="48">
        <v>3.9470000000000001</v>
      </c>
      <c r="G1691" s="48">
        <v>5.1859999999999999</v>
      </c>
      <c r="H1691" s="48">
        <v>-0.3139093</v>
      </c>
      <c r="I1691" s="48">
        <v>0</v>
      </c>
      <c r="J1691" s="52">
        <v>0</v>
      </c>
      <c r="L1691">
        <f>(G1691+G1692+G1693)/3</f>
        <v>4.7560000000000002</v>
      </c>
      <c r="M1691">
        <f>(F1691+F1692+F1693)/3</f>
        <v>3.4579999999999997</v>
      </c>
      <c r="N1691">
        <f>(L1691-M1691)/M1691</f>
        <v>0.3753614806246387</v>
      </c>
      <c r="O1691">
        <f>(D1692/(1+N1691))</f>
        <v>613.65685449957948</v>
      </c>
      <c r="P1691">
        <f>PI()*$G$3^2*C1691</f>
        <v>456.03673118774793</v>
      </c>
      <c r="Q1691">
        <f>O1691/P1691</f>
        <v>1.3456303243410017</v>
      </c>
    </row>
    <row r="1692" spans="1:17" x14ac:dyDescent="0.2">
      <c r="A1692" s="85"/>
      <c r="B1692" s="53" t="s">
        <v>21</v>
      </c>
      <c r="C1692" s="89"/>
      <c r="D1692" s="48">
        <v>844</v>
      </c>
      <c r="E1692" s="48"/>
      <c r="F1692" s="48">
        <v>3.0339999999999998</v>
      </c>
      <c r="G1692" s="48">
        <v>4.3789999999999996</v>
      </c>
      <c r="H1692" s="48">
        <v>-0.44330920000000001</v>
      </c>
      <c r="I1692" s="48">
        <v>1218.1529330000001</v>
      </c>
      <c r="J1692" s="52" t="e">
        <v>#DIV/0!</v>
      </c>
    </row>
    <row r="1693" spans="1:17" x14ac:dyDescent="0.2">
      <c r="A1693" s="87"/>
      <c r="B1693" s="56" t="s">
        <v>22</v>
      </c>
      <c r="C1693" s="90"/>
      <c r="D1693" s="57"/>
      <c r="E1693" s="57"/>
      <c r="F1693" s="57">
        <v>3.3929999999999998</v>
      </c>
      <c r="G1693" s="57">
        <v>4.7030000000000003</v>
      </c>
      <c r="H1693" s="57">
        <v>-0.38608900000000002</v>
      </c>
      <c r="I1693" s="57">
        <v>0</v>
      </c>
      <c r="J1693" s="49" t="e">
        <v>#DIV/0!</v>
      </c>
    </row>
    <row r="1694" spans="1:17" x14ac:dyDescent="0.2">
      <c r="A1694" s="91" t="s">
        <v>6</v>
      </c>
      <c r="B1694" s="53" t="s">
        <v>20</v>
      </c>
      <c r="C1694" s="92">
        <v>10</v>
      </c>
      <c r="D1694" s="48"/>
      <c r="E1694" s="48"/>
      <c r="F1694" s="48">
        <v>3.4289999999999998</v>
      </c>
      <c r="G1694" s="48">
        <v>4.7569999999999997</v>
      </c>
      <c r="H1694" s="48">
        <v>-0.38728489999999999</v>
      </c>
      <c r="I1694" s="48">
        <v>0</v>
      </c>
      <c r="J1694" s="52">
        <v>0</v>
      </c>
      <c r="L1694">
        <f>(G1694+G1695+G1696)/3</f>
        <v>4.7736666666666663</v>
      </c>
      <c r="M1694">
        <f>(F1694+F1695+F1696)/3</f>
        <v>3.4576666666666664</v>
      </c>
      <c r="N1694">
        <f>(L1694-M1694)/M1694</f>
        <v>0.38060348982936465</v>
      </c>
      <c r="O1694">
        <f>(D1695/(1+N1694))</f>
        <v>572.21353257454086</v>
      </c>
      <c r="P1694">
        <f>PI()*$G$3^2*C1694</f>
        <v>456.03673118774793</v>
      </c>
      <c r="Q1694">
        <f>O1694/P1694</f>
        <v>1.2547531666675409</v>
      </c>
    </row>
    <row r="1695" spans="1:17" x14ac:dyDescent="0.2">
      <c r="A1695" s="85"/>
      <c r="B1695" s="53" t="s">
        <v>21</v>
      </c>
      <c r="C1695" s="89"/>
      <c r="D1695" s="48">
        <v>790</v>
      </c>
      <c r="E1695" s="48"/>
      <c r="F1695" s="48">
        <v>3.2669999999999999</v>
      </c>
      <c r="G1695" s="48">
        <v>4.5990000000000002</v>
      </c>
      <c r="H1695" s="48">
        <v>-0.40771350000000001</v>
      </c>
      <c r="I1695" s="48">
        <v>1112.093664</v>
      </c>
      <c r="J1695" s="52" t="e">
        <v>#DIV/0!</v>
      </c>
    </row>
    <row r="1696" spans="1:17" x14ac:dyDescent="0.2">
      <c r="A1696" s="87"/>
      <c r="B1696" s="56" t="s">
        <v>22</v>
      </c>
      <c r="C1696" s="90"/>
      <c r="D1696" s="57"/>
      <c r="E1696" s="57"/>
      <c r="F1696" s="57">
        <v>3.677</v>
      </c>
      <c r="G1696" s="57">
        <v>4.9649999999999999</v>
      </c>
      <c r="H1696" s="57">
        <v>-0.35028559999999997</v>
      </c>
      <c r="I1696" s="57">
        <v>0</v>
      </c>
      <c r="J1696" s="49" t="e">
        <v>#DIV/0!</v>
      </c>
    </row>
    <row r="1697" spans="1:17" x14ac:dyDescent="0.2">
      <c r="A1697" s="91" t="s">
        <v>7</v>
      </c>
      <c r="B1697" s="53" t="s">
        <v>20</v>
      </c>
      <c r="C1697" s="92">
        <v>10</v>
      </c>
      <c r="D1697" s="48"/>
      <c r="E1697" s="48"/>
      <c r="F1697" s="48">
        <v>3.044</v>
      </c>
      <c r="G1697" s="48">
        <v>4.41</v>
      </c>
      <c r="H1697" s="48">
        <v>-0.44875159999999997</v>
      </c>
      <c r="I1697" s="48">
        <v>0</v>
      </c>
      <c r="J1697" s="52">
        <v>0</v>
      </c>
      <c r="L1697">
        <f>(G1697+G1698+G1699)/3</f>
        <v>4.4446666666666665</v>
      </c>
      <c r="M1697">
        <f>(F1697+F1698+F1699)/3</f>
        <v>3.073</v>
      </c>
      <c r="N1697">
        <f>(L1697-M1697)/M1697</f>
        <v>0.44636077665690421</v>
      </c>
      <c r="O1697">
        <f>(D1698/(1+N1697))</f>
        <v>564.17459127043651</v>
      </c>
      <c r="P1697">
        <f>PI()*$G$3^2*C1697</f>
        <v>456.03673118774793</v>
      </c>
      <c r="Q1697">
        <f>O1697/P1697</f>
        <v>1.2371253293589828</v>
      </c>
    </row>
    <row r="1698" spans="1:17" x14ac:dyDescent="0.2">
      <c r="A1698" s="85"/>
      <c r="B1698" s="53" t="s">
        <v>21</v>
      </c>
      <c r="C1698" s="89"/>
      <c r="D1698" s="48">
        <v>816</v>
      </c>
      <c r="E1698" s="48"/>
      <c r="F1698" s="48">
        <v>3.0270000000000001</v>
      </c>
      <c r="G1698" s="48">
        <v>4.3970000000000002</v>
      </c>
      <c r="H1698" s="48">
        <v>-0.45259329999999998</v>
      </c>
      <c r="I1698" s="48">
        <v>1185.316155</v>
      </c>
      <c r="J1698" s="52" t="e">
        <v>#DIV/0!</v>
      </c>
    </row>
    <row r="1699" spans="1:17" x14ac:dyDescent="0.2">
      <c r="A1699" s="87"/>
      <c r="B1699" s="56" t="s">
        <v>22</v>
      </c>
      <c r="C1699" s="90"/>
      <c r="D1699" s="57"/>
      <c r="E1699" s="57"/>
      <c r="F1699" s="57">
        <v>3.1480000000000001</v>
      </c>
      <c r="G1699" s="57">
        <v>4.5270000000000001</v>
      </c>
      <c r="H1699" s="57">
        <v>-0.4380559</v>
      </c>
      <c r="I1699" s="57">
        <v>0</v>
      </c>
      <c r="J1699" s="49" t="e">
        <v>#DIV/0!</v>
      </c>
    </row>
    <row r="1700" spans="1:17" x14ac:dyDescent="0.2">
      <c r="A1700" s="91" t="s">
        <v>8</v>
      </c>
      <c r="B1700" s="53" t="s">
        <v>20</v>
      </c>
      <c r="C1700" s="92">
        <v>10</v>
      </c>
      <c r="D1700" s="48"/>
      <c r="E1700" s="48"/>
      <c r="F1700" s="48">
        <v>3.548</v>
      </c>
      <c r="G1700" s="48">
        <v>4.8929999999999998</v>
      </c>
      <c r="H1700" s="48">
        <v>-0.3790868</v>
      </c>
      <c r="I1700" s="48">
        <v>0</v>
      </c>
      <c r="J1700" s="52">
        <v>0</v>
      </c>
      <c r="L1700">
        <f>(G1700+G1701+G1702)/3</f>
        <v>4.7289999999999992</v>
      </c>
      <c r="M1700">
        <f>(F1700+F1701+F1702)/3</f>
        <v>3.3603333333333332</v>
      </c>
      <c r="N1700">
        <f>(L1700-M1700)/M1700</f>
        <v>0.40730086300962187</v>
      </c>
      <c r="O1700">
        <f>(D1701/(1+N1700))</f>
        <v>543.59378304081213</v>
      </c>
      <c r="P1700">
        <f>PI()*$G$3^2*C1700</f>
        <v>456.03673118774793</v>
      </c>
      <c r="Q1700">
        <f>O1700/P1700</f>
        <v>1.1919956132152378</v>
      </c>
    </row>
    <row r="1701" spans="1:17" x14ac:dyDescent="0.2">
      <c r="A1701" s="85"/>
      <c r="B1701" s="53" t="s">
        <v>21</v>
      </c>
      <c r="C1701" s="89"/>
      <c r="D1701" s="48">
        <v>765</v>
      </c>
      <c r="E1701" s="48"/>
      <c r="F1701" s="48">
        <v>3.1349999999999998</v>
      </c>
      <c r="G1701" s="48">
        <v>4.5359999999999996</v>
      </c>
      <c r="H1701" s="48">
        <v>-0.44689000000000001</v>
      </c>
      <c r="I1701" s="48">
        <v>1106.870813</v>
      </c>
      <c r="J1701" s="52" t="e">
        <v>#DIV/0!</v>
      </c>
    </row>
    <row r="1702" spans="1:17" x14ac:dyDescent="0.2">
      <c r="A1702" s="87"/>
      <c r="B1702" s="56" t="s">
        <v>22</v>
      </c>
      <c r="C1702" s="90"/>
      <c r="D1702" s="57"/>
      <c r="E1702" s="57"/>
      <c r="F1702" s="57">
        <v>3.3980000000000001</v>
      </c>
      <c r="G1702" s="57">
        <v>4.758</v>
      </c>
      <c r="H1702" s="57">
        <v>-0.40023540000000002</v>
      </c>
      <c r="I1702" s="57">
        <v>0</v>
      </c>
      <c r="J1702" s="49" t="e">
        <v>#DIV/0!</v>
      </c>
    </row>
    <row r="1703" spans="1:17" x14ac:dyDescent="0.2">
      <c r="A1703" s="91" t="s">
        <v>9</v>
      </c>
      <c r="B1703" s="53" t="s">
        <v>20</v>
      </c>
      <c r="C1703" s="92">
        <v>10</v>
      </c>
      <c r="D1703" s="48"/>
      <c r="E1703" s="48"/>
      <c r="F1703" s="48">
        <v>3.4910000000000001</v>
      </c>
      <c r="G1703" s="48">
        <v>4.91</v>
      </c>
      <c r="H1703" s="48">
        <v>-0.4064738</v>
      </c>
      <c r="I1703" s="48">
        <v>0</v>
      </c>
      <c r="J1703" s="52">
        <v>0</v>
      </c>
      <c r="L1703">
        <f>(G1703+G1704+G1705)/3</f>
        <v>5.0306666666666668</v>
      </c>
      <c r="M1703">
        <f>(F1703+F1704+F1705)/3</f>
        <v>3.6543333333333332</v>
      </c>
      <c r="N1703">
        <f>(L1703-M1703)/M1703</f>
        <v>0.37663048435647184</v>
      </c>
      <c r="O1703">
        <f>(D1704/(1+N1703))</f>
        <v>573.8649615690432</v>
      </c>
      <c r="P1703">
        <f>PI()*$G$3^2*C1703</f>
        <v>456.03673118774793</v>
      </c>
      <c r="Q1703">
        <f>O1703/P1703</f>
        <v>1.2583744297842228</v>
      </c>
    </row>
    <row r="1704" spans="1:17" x14ac:dyDescent="0.2">
      <c r="A1704" s="85"/>
      <c r="B1704" s="53" t="s">
        <v>21</v>
      </c>
      <c r="C1704" s="89"/>
      <c r="D1704" s="48">
        <v>790</v>
      </c>
      <c r="E1704" s="48"/>
      <c r="F1704" s="48">
        <v>3.9580000000000002</v>
      </c>
      <c r="G1704" s="48">
        <v>5.3040000000000003</v>
      </c>
      <c r="H1704" s="48">
        <v>-0.3400707</v>
      </c>
      <c r="I1704" s="48">
        <v>1058.6558869999999</v>
      </c>
      <c r="J1704" s="52" t="e">
        <v>#DIV/0!</v>
      </c>
    </row>
    <row r="1705" spans="1:17" x14ac:dyDescent="0.2">
      <c r="A1705" s="87"/>
      <c r="B1705" s="56" t="s">
        <v>22</v>
      </c>
      <c r="C1705" s="90"/>
      <c r="D1705" s="57"/>
      <c r="E1705" s="57"/>
      <c r="F1705" s="57">
        <v>3.5139999999999998</v>
      </c>
      <c r="G1705" s="57">
        <v>4.8780000000000001</v>
      </c>
      <c r="H1705" s="57">
        <v>-0.3881616</v>
      </c>
      <c r="I1705" s="57">
        <v>0</v>
      </c>
      <c r="J1705" s="49" t="e">
        <v>#DIV/0!</v>
      </c>
    </row>
    <row r="1706" spans="1:17" x14ac:dyDescent="0.2">
      <c r="A1706" s="91" t="s">
        <v>10</v>
      </c>
      <c r="B1706" s="53" t="s">
        <v>20</v>
      </c>
      <c r="C1706" s="92">
        <v>10</v>
      </c>
      <c r="D1706" s="48"/>
      <c r="E1706" s="48"/>
      <c r="F1706" s="48">
        <v>3.073</v>
      </c>
      <c r="G1706" s="48">
        <v>4.4790000000000001</v>
      </c>
      <c r="H1706" s="48">
        <v>-0.45753339999999998</v>
      </c>
      <c r="I1706" s="48">
        <v>0</v>
      </c>
      <c r="J1706" s="52">
        <v>0</v>
      </c>
      <c r="L1706">
        <f>(G1706+G1707+G1708)/3</f>
        <v>4.7333333333333334</v>
      </c>
      <c r="M1706">
        <f>(F1706+F1707+F1708)/3</f>
        <v>3.3629999999999995</v>
      </c>
      <c r="N1706">
        <f>(L1706-M1706)/M1706</f>
        <v>0.4074734859748243</v>
      </c>
      <c r="O1706">
        <f>(D1707/(1+N1706))</f>
        <v>536.4221830985914</v>
      </c>
      <c r="P1706">
        <f>PI()*$G$3^2*C1706</f>
        <v>456.03673118774793</v>
      </c>
      <c r="Q1706">
        <f>O1706/P1706</f>
        <v>1.1762696870962115</v>
      </c>
    </row>
    <row r="1707" spans="1:17" x14ac:dyDescent="0.2">
      <c r="A1707" s="85"/>
      <c r="B1707" s="53" t="s">
        <v>21</v>
      </c>
      <c r="C1707" s="89"/>
      <c r="D1707" s="48">
        <v>755</v>
      </c>
      <c r="E1707" s="48"/>
      <c r="F1707" s="48">
        <v>3.4020000000000001</v>
      </c>
      <c r="G1707" s="48">
        <v>4.7469999999999999</v>
      </c>
      <c r="H1707" s="48">
        <v>-0.39535569999999998</v>
      </c>
      <c r="I1707" s="48">
        <v>1053.4935330000001</v>
      </c>
      <c r="J1707" s="52" t="e">
        <v>#DIV/0!</v>
      </c>
    </row>
    <row r="1708" spans="1:17" x14ac:dyDescent="0.2">
      <c r="A1708" s="87"/>
      <c r="B1708" s="56" t="s">
        <v>22</v>
      </c>
      <c r="C1708" s="90"/>
      <c r="D1708" s="57"/>
      <c r="E1708" s="57"/>
      <c r="F1708" s="57">
        <v>3.6139999999999999</v>
      </c>
      <c r="G1708" s="57">
        <v>4.9740000000000002</v>
      </c>
      <c r="H1708" s="57">
        <v>-0.37631429999999999</v>
      </c>
      <c r="I1708" s="57">
        <v>0</v>
      </c>
      <c r="J1708" s="49" t="e">
        <v>#DIV/0!</v>
      </c>
    </row>
    <row r="1709" spans="1:17" x14ac:dyDescent="0.2">
      <c r="A1709" s="91" t="s">
        <v>11</v>
      </c>
      <c r="B1709" s="53" t="s">
        <v>20</v>
      </c>
      <c r="C1709" s="92">
        <v>10</v>
      </c>
      <c r="D1709" s="48"/>
      <c r="E1709" s="48"/>
      <c r="F1709" s="48">
        <v>3.722</v>
      </c>
      <c r="G1709" s="48">
        <v>5.0839999999999996</v>
      </c>
      <c r="H1709" s="48">
        <v>-0.36593229999999999</v>
      </c>
      <c r="I1709" s="48">
        <v>0</v>
      </c>
      <c r="J1709" s="52">
        <v>0</v>
      </c>
      <c r="L1709">
        <f>(G1709+G1710+G1711)/3</f>
        <v>5.876666666666666</v>
      </c>
      <c r="M1709">
        <f>(F1709+F1710+F1711)/3</f>
        <v>3.4860000000000002</v>
      </c>
      <c r="N1709">
        <f>(L1709-M1709)/M1709</f>
        <v>0.68579078217632405</v>
      </c>
      <c r="O1709">
        <f>(D1710/(1+N1709))</f>
        <v>529.7217243335225</v>
      </c>
      <c r="P1709">
        <f>PI()*$G$3^2*C1709</f>
        <v>456.03673118774793</v>
      </c>
      <c r="Q1709">
        <f>O1709/P1709</f>
        <v>1.1615768820942602</v>
      </c>
    </row>
    <row r="1710" spans="1:17" x14ac:dyDescent="0.2">
      <c r="A1710" s="85"/>
      <c r="B1710" s="53" t="s">
        <v>21</v>
      </c>
      <c r="C1710" s="89"/>
      <c r="D1710" s="48">
        <v>893</v>
      </c>
      <c r="E1710" s="48"/>
      <c r="F1710" s="48">
        <v>3.464</v>
      </c>
      <c r="G1710" s="48">
        <v>5.859</v>
      </c>
      <c r="H1710" s="48">
        <v>-0.69139720000000005</v>
      </c>
      <c r="I1710" s="48">
        <v>1510.417725</v>
      </c>
      <c r="J1710" s="52" t="e">
        <v>#DIV/0!</v>
      </c>
    </row>
    <row r="1711" spans="1:17" x14ac:dyDescent="0.2">
      <c r="A1711" s="87"/>
      <c r="B1711" s="56" t="s">
        <v>22</v>
      </c>
      <c r="C1711" s="90"/>
      <c r="D1711" s="57"/>
      <c r="E1711" s="57"/>
      <c r="F1711" s="57">
        <v>3.2719999999999998</v>
      </c>
      <c r="G1711" s="57">
        <v>6.6870000000000003</v>
      </c>
      <c r="H1711" s="57">
        <v>-1.0437042000000001</v>
      </c>
      <c r="I1711" s="57">
        <v>0</v>
      </c>
      <c r="J1711" s="49" t="e">
        <v>#DIV/0!</v>
      </c>
    </row>
    <row r="1712" spans="1:17" x14ac:dyDescent="0.2">
      <c r="A1712" s="91" t="s">
        <v>12</v>
      </c>
      <c r="B1712" s="53" t="s">
        <v>20</v>
      </c>
      <c r="C1712" s="92">
        <v>10</v>
      </c>
      <c r="D1712" s="48"/>
      <c r="E1712" s="48"/>
      <c r="F1712" s="48">
        <v>3.51</v>
      </c>
      <c r="G1712" s="48">
        <v>4.907</v>
      </c>
      <c r="H1712" s="48">
        <v>-0.39800570000000002</v>
      </c>
      <c r="I1712" s="48">
        <v>0</v>
      </c>
      <c r="J1712" s="52">
        <v>0</v>
      </c>
      <c r="L1712">
        <f>(G1712+G1713+G1714)/3</f>
        <v>4.7273333333333332</v>
      </c>
      <c r="M1712">
        <f>(F1712+F1713+F1714)/3</f>
        <v>3.3243333333333331</v>
      </c>
      <c r="N1712">
        <f>(L1712-M1712)/M1712</f>
        <v>0.42203950666800366</v>
      </c>
      <c r="O1712">
        <f>(D1713/(1+N1712))</f>
        <v>597.73304188407838</v>
      </c>
      <c r="P1712">
        <f>PI()*$G$3^2*C1712</f>
        <v>456.03673118774793</v>
      </c>
      <c r="Q1712">
        <f>O1712/P1712</f>
        <v>1.3107124953011622</v>
      </c>
    </row>
    <row r="1713" spans="1:10" x14ac:dyDescent="0.2">
      <c r="A1713" s="85"/>
      <c r="B1713" s="53" t="s">
        <v>21</v>
      </c>
      <c r="C1713" s="89"/>
      <c r="D1713" s="48">
        <v>850</v>
      </c>
      <c r="E1713" s="48"/>
      <c r="F1713" s="48">
        <v>3.3490000000000002</v>
      </c>
      <c r="G1713" s="48">
        <v>4.7430000000000003</v>
      </c>
      <c r="H1713" s="48">
        <v>-0.41624369999999999</v>
      </c>
      <c r="I1713" s="48">
        <v>1203.8071070000001</v>
      </c>
      <c r="J1713" s="52" t="e">
        <v>#DIV/0!</v>
      </c>
    </row>
    <row r="1714" spans="1:10" x14ac:dyDescent="0.2">
      <c r="A1714" s="87"/>
      <c r="B1714" s="56" t="s">
        <v>22</v>
      </c>
      <c r="C1714" s="90"/>
      <c r="D1714" s="57"/>
      <c r="E1714" s="57"/>
      <c r="F1714" s="57">
        <v>3.1139999999999999</v>
      </c>
      <c r="G1714" s="57">
        <v>4.532</v>
      </c>
      <c r="H1714" s="57">
        <v>-0.45536290000000001</v>
      </c>
      <c r="I1714" s="57">
        <v>0</v>
      </c>
      <c r="J1714" s="49" t="e">
        <v>#DIV/0!</v>
      </c>
    </row>
    <row r="1715" spans="1:10" x14ac:dyDescent="0.2">
      <c r="A1715" s="91" t="s">
        <v>13</v>
      </c>
      <c r="B1715" s="53" t="s">
        <v>20</v>
      </c>
      <c r="C1715" s="92">
        <v>10</v>
      </c>
      <c r="D1715" s="48"/>
      <c r="E1715" s="48"/>
      <c r="F1715" s="48"/>
      <c r="G1715" s="48"/>
      <c r="H1715" s="48" t="e">
        <v>#DIV/0!</v>
      </c>
      <c r="I1715" s="48" t="e">
        <v>#DIV/0!</v>
      </c>
      <c r="J1715" s="52" t="e">
        <v>#DIV/0!</v>
      </c>
    </row>
    <row r="1716" spans="1:10" x14ac:dyDescent="0.2">
      <c r="A1716" s="85"/>
      <c r="B1716" s="53" t="s">
        <v>21</v>
      </c>
      <c r="C1716" s="89"/>
      <c r="D1716" s="48"/>
      <c r="E1716" s="48"/>
      <c r="F1716" s="48"/>
      <c r="G1716" s="48"/>
      <c r="H1716" s="48" t="e">
        <v>#DIV/0!</v>
      </c>
      <c r="I1716" s="48" t="e">
        <v>#DIV/0!</v>
      </c>
      <c r="J1716" s="52" t="e">
        <v>#DIV/0!</v>
      </c>
    </row>
    <row r="1717" spans="1:10" x14ac:dyDescent="0.2">
      <c r="A1717" s="87"/>
      <c r="B1717" s="56" t="s">
        <v>22</v>
      </c>
      <c r="C1717" s="90"/>
      <c r="D1717" s="57"/>
      <c r="E1717" s="57"/>
      <c r="F1717" s="57"/>
      <c r="G1717" s="57"/>
      <c r="H1717" s="57" t="e">
        <v>#DIV/0!</v>
      </c>
      <c r="I1717" s="57" t="e">
        <v>#DIV/0!</v>
      </c>
      <c r="J1717" s="49" t="e">
        <v>#DIV/0!</v>
      </c>
    </row>
    <row r="1718" spans="1:10" x14ac:dyDescent="0.2">
      <c r="A1718" s="91" t="s">
        <v>14</v>
      </c>
      <c r="B1718" s="53" t="s">
        <v>20</v>
      </c>
      <c r="C1718" s="92">
        <v>10</v>
      </c>
      <c r="D1718" s="48"/>
      <c r="E1718" s="48"/>
      <c r="F1718" s="48"/>
      <c r="G1718" s="48"/>
      <c r="H1718" s="48" t="e">
        <v>#DIV/0!</v>
      </c>
      <c r="I1718" s="48" t="e">
        <v>#DIV/0!</v>
      </c>
      <c r="J1718" s="52" t="e">
        <v>#DIV/0!</v>
      </c>
    </row>
    <row r="1719" spans="1:10" x14ac:dyDescent="0.2">
      <c r="A1719" s="85"/>
      <c r="B1719" s="53" t="s">
        <v>21</v>
      </c>
      <c r="C1719" s="89"/>
      <c r="D1719" s="48"/>
      <c r="E1719" s="48"/>
      <c r="F1719" s="48"/>
      <c r="G1719" s="48"/>
      <c r="H1719" s="48" t="e">
        <v>#DIV/0!</v>
      </c>
      <c r="I1719" s="48" t="e">
        <v>#DIV/0!</v>
      </c>
      <c r="J1719" s="52" t="e">
        <v>#DIV/0!</v>
      </c>
    </row>
    <row r="1720" spans="1:10" ht="16" thickBot="1" x14ac:dyDescent="0.25">
      <c r="A1720" s="93"/>
      <c r="B1720" s="58" t="s">
        <v>22</v>
      </c>
      <c r="C1720" s="94"/>
      <c r="D1720" s="59"/>
      <c r="E1720" s="59"/>
      <c r="F1720" s="59"/>
      <c r="G1720" s="59"/>
      <c r="H1720" s="59" t="e">
        <v>#DIV/0!</v>
      </c>
      <c r="I1720" s="59" t="e">
        <v>#DIV/0!</v>
      </c>
      <c r="J1720" s="50" t="e">
        <v>#DIV/0!</v>
      </c>
    </row>
    <row r="1721" spans="1:10" ht="16" thickBot="1" x14ac:dyDescent="0.25">
      <c r="A1721" s="60" t="s">
        <v>1</v>
      </c>
      <c r="B1721" s="61"/>
      <c r="C1721" s="62"/>
      <c r="D1721" s="63" t="s">
        <v>40</v>
      </c>
      <c r="E1721" s="64"/>
      <c r="F1721" s="58" t="s">
        <v>0</v>
      </c>
      <c r="G1721" s="18">
        <v>44159</v>
      </c>
      <c r="H1721" s="65" t="s">
        <v>24</v>
      </c>
      <c r="I1721" s="66"/>
      <c r="J1721" s="49">
        <v>77</v>
      </c>
    </row>
    <row r="1722" spans="1:10" ht="16" thickBot="1" x14ac:dyDescent="0.25">
      <c r="A1722" s="67" t="s">
        <v>2</v>
      </c>
      <c r="B1722" s="68"/>
      <c r="C1722" s="69"/>
      <c r="D1722" s="70"/>
      <c r="E1722" s="71"/>
      <c r="F1722" s="72"/>
      <c r="G1722" s="73"/>
      <c r="H1722" s="74" t="s">
        <v>25</v>
      </c>
      <c r="I1722" s="75"/>
      <c r="J1722" s="49">
        <v>27</v>
      </c>
    </row>
    <row r="1723" spans="1:10" ht="16" thickBot="1" x14ac:dyDescent="0.25">
      <c r="A1723" s="76" t="s">
        <v>27</v>
      </c>
      <c r="B1723" s="77"/>
      <c r="C1723" s="78"/>
      <c r="D1723" s="79" t="s">
        <v>36</v>
      </c>
      <c r="E1723" s="80"/>
      <c r="F1723" s="48" t="s">
        <v>30</v>
      </c>
      <c r="G1723" s="48">
        <v>3.81</v>
      </c>
      <c r="H1723" s="81" t="s">
        <v>26</v>
      </c>
      <c r="I1723" s="82"/>
      <c r="J1723" s="50">
        <v>59</v>
      </c>
    </row>
    <row r="1724" spans="1:10" x14ac:dyDescent="0.2">
      <c r="A1724" s="83"/>
      <c r="B1724" s="84"/>
      <c r="C1724" s="51" t="s">
        <v>29</v>
      </c>
      <c r="D1724" s="51" t="s">
        <v>19</v>
      </c>
      <c r="E1724" s="51" t="s">
        <v>15</v>
      </c>
      <c r="F1724" s="51" t="s">
        <v>18</v>
      </c>
      <c r="G1724" s="51" t="s">
        <v>17</v>
      </c>
      <c r="H1724" s="48" t="s">
        <v>28</v>
      </c>
      <c r="I1724" s="48" t="s">
        <v>16</v>
      </c>
      <c r="J1724" s="52" t="s">
        <v>23</v>
      </c>
    </row>
    <row r="1725" spans="1:10" x14ac:dyDescent="0.2">
      <c r="A1725" s="86" t="s">
        <v>3</v>
      </c>
      <c r="B1725" s="53" t="s">
        <v>20</v>
      </c>
      <c r="C1725" s="88">
        <v>10</v>
      </c>
      <c r="D1725" s="54"/>
      <c r="E1725" s="54">
        <v>2.4260000000000002</v>
      </c>
      <c r="F1725" s="54">
        <v>3.6429999999999998</v>
      </c>
      <c r="G1725" s="54">
        <v>5.4050000000000002</v>
      </c>
      <c r="H1725" s="54">
        <v>0.18226735999999999</v>
      </c>
      <c r="I1725" s="54">
        <v>0</v>
      </c>
      <c r="J1725" s="55">
        <v>0</v>
      </c>
    </row>
    <row r="1726" spans="1:10" x14ac:dyDescent="0.2">
      <c r="A1726" s="85"/>
      <c r="B1726" s="53" t="s">
        <v>21</v>
      </c>
      <c r="C1726" s="89"/>
      <c r="D1726" s="48">
        <v>849</v>
      </c>
      <c r="E1726" s="48">
        <v>2.4169999999999998</v>
      </c>
      <c r="F1726" s="48">
        <v>3.6259999999999999</v>
      </c>
      <c r="G1726" s="48">
        <v>5.4269999999999996</v>
      </c>
      <c r="H1726" s="48">
        <v>0.16988417</v>
      </c>
      <c r="I1726" s="48">
        <v>704.76833980000004</v>
      </c>
      <c r="J1726" s="52" t="e">
        <v>#DIV/0!</v>
      </c>
    </row>
    <row r="1727" spans="1:10" x14ac:dyDescent="0.2">
      <c r="A1727" s="87"/>
      <c r="B1727" s="56" t="s">
        <v>22</v>
      </c>
      <c r="C1727" s="90"/>
      <c r="D1727" s="57"/>
      <c r="E1727" s="57">
        <v>2.4940000000000002</v>
      </c>
      <c r="F1727" s="57">
        <v>3.234</v>
      </c>
      <c r="G1727" s="57">
        <v>5.1180000000000003</v>
      </c>
      <c r="H1727" s="57">
        <v>0.18862090000000001</v>
      </c>
      <c r="I1727" s="57">
        <v>0</v>
      </c>
      <c r="J1727" s="49" t="e">
        <v>#DIV/0!</v>
      </c>
    </row>
    <row r="1728" spans="1:10" x14ac:dyDescent="0.2">
      <c r="A1728" s="91" t="s">
        <v>4</v>
      </c>
      <c r="B1728" s="53" t="s">
        <v>20</v>
      </c>
      <c r="C1728" s="92">
        <v>10</v>
      </c>
      <c r="D1728" s="48"/>
      <c r="E1728" s="48">
        <v>2.4369999999999998</v>
      </c>
      <c r="F1728" s="48">
        <v>3.6150000000000002</v>
      </c>
      <c r="G1728" s="48">
        <v>5.4480000000000004</v>
      </c>
      <c r="H1728" s="48">
        <v>0.1670816</v>
      </c>
      <c r="I1728" s="48">
        <v>0</v>
      </c>
      <c r="J1728" s="52">
        <v>0</v>
      </c>
    </row>
    <row r="1729" spans="1:10" x14ac:dyDescent="0.2">
      <c r="A1729" s="85"/>
      <c r="B1729" s="53" t="s">
        <v>21</v>
      </c>
      <c r="C1729" s="89"/>
      <c r="D1729" s="48">
        <v>849</v>
      </c>
      <c r="E1729" s="48">
        <v>2.4020000000000001</v>
      </c>
      <c r="F1729" s="48">
        <v>3.923</v>
      </c>
      <c r="G1729" s="48">
        <v>5.6310000000000002</v>
      </c>
      <c r="H1729" s="48">
        <v>0.17690543</v>
      </c>
      <c r="I1729" s="48">
        <v>698.80729029999998</v>
      </c>
      <c r="J1729" s="52" t="e">
        <v>#DIV/0!</v>
      </c>
    </row>
    <row r="1730" spans="1:10" x14ac:dyDescent="0.2">
      <c r="A1730" s="87"/>
      <c r="B1730" s="56" t="s">
        <v>22</v>
      </c>
      <c r="C1730" s="90"/>
      <c r="D1730" s="57"/>
      <c r="E1730" s="57">
        <v>2.4649999999999999</v>
      </c>
      <c r="F1730" s="57">
        <v>3.794</v>
      </c>
      <c r="G1730" s="57">
        <v>5.5750000000000002</v>
      </c>
      <c r="H1730" s="57">
        <v>0.18028466000000001</v>
      </c>
      <c r="I1730" s="57">
        <v>0</v>
      </c>
      <c r="J1730" s="49" t="e">
        <v>#DIV/0!</v>
      </c>
    </row>
    <row r="1731" spans="1:10" x14ac:dyDescent="0.2">
      <c r="A1731" s="91" t="s">
        <v>5</v>
      </c>
      <c r="B1731" s="53" t="s">
        <v>20</v>
      </c>
      <c r="C1731" s="92">
        <v>10</v>
      </c>
      <c r="D1731" s="48"/>
      <c r="E1731" s="48">
        <v>2.46</v>
      </c>
      <c r="F1731" s="48">
        <v>3.625</v>
      </c>
      <c r="G1731" s="48">
        <v>5.4740000000000002</v>
      </c>
      <c r="H1731" s="48">
        <v>0.16855171999999999</v>
      </c>
      <c r="I1731" s="48">
        <v>0</v>
      </c>
      <c r="J1731" s="52">
        <v>0</v>
      </c>
    </row>
    <row r="1732" spans="1:10" x14ac:dyDescent="0.2">
      <c r="A1732" s="85"/>
      <c r="B1732" s="53" t="s">
        <v>21</v>
      </c>
      <c r="C1732" s="89"/>
      <c r="D1732" s="48">
        <v>818</v>
      </c>
      <c r="E1732" s="48">
        <v>2.4790000000000001</v>
      </c>
      <c r="F1732" s="48">
        <v>3.0950000000000002</v>
      </c>
      <c r="G1732" s="48">
        <v>5.0839999999999996</v>
      </c>
      <c r="H1732" s="48">
        <v>0.15831987</v>
      </c>
      <c r="I1732" s="48">
        <v>688.49434570000005</v>
      </c>
      <c r="J1732" s="52" t="e">
        <v>#DIV/0!</v>
      </c>
    </row>
    <row r="1733" spans="1:10" x14ac:dyDescent="0.2">
      <c r="A1733" s="87"/>
      <c r="B1733" s="56" t="s">
        <v>22</v>
      </c>
      <c r="C1733" s="90"/>
      <c r="D1733" s="57"/>
      <c r="E1733" s="57">
        <v>2.4510000000000001</v>
      </c>
      <c r="F1733" s="57">
        <v>3.2570000000000001</v>
      </c>
      <c r="G1733" s="57">
        <v>5.157</v>
      </c>
      <c r="H1733" s="57">
        <v>0.16917409</v>
      </c>
      <c r="I1733" s="57">
        <v>0</v>
      </c>
      <c r="J1733" s="49" t="e">
        <v>#DIV/0!</v>
      </c>
    </row>
    <row r="1734" spans="1:10" x14ac:dyDescent="0.2">
      <c r="A1734" s="91" t="s">
        <v>6</v>
      </c>
      <c r="B1734" s="53" t="s">
        <v>20</v>
      </c>
      <c r="C1734" s="92">
        <v>10</v>
      </c>
      <c r="D1734" s="48"/>
      <c r="E1734" s="48">
        <v>2.4510000000000001</v>
      </c>
      <c r="F1734" s="48">
        <v>3.0169999999999999</v>
      </c>
      <c r="G1734" s="48">
        <v>5.9850000000000003</v>
      </c>
      <c r="H1734" s="48">
        <v>-0.1713623</v>
      </c>
      <c r="I1734" s="48">
        <v>0</v>
      </c>
      <c r="J1734" s="52">
        <v>0</v>
      </c>
    </row>
    <row r="1735" spans="1:10" x14ac:dyDescent="0.2">
      <c r="A1735" s="85"/>
      <c r="B1735" s="53" t="s">
        <v>21</v>
      </c>
      <c r="C1735" s="89"/>
      <c r="D1735" s="48">
        <v>829</v>
      </c>
      <c r="E1735" s="48">
        <v>2.419</v>
      </c>
      <c r="F1735" s="48">
        <v>3.1659999999999999</v>
      </c>
      <c r="G1735" s="48">
        <v>5.085</v>
      </c>
      <c r="H1735" s="48">
        <v>0.15792798</v>
      </c>
      <c r="I1735" s="48">
        <v>698.07770059999996</v>
      </c>
      <c r="J1735" s="52" t="e">
        <v>#DIV/0!</v>
      </c>
    </row>
    <row r="1736" spans="1:10" x14ac:dyDescent="0.2">
      <c r="A1736" s="87"/>
      <c r="B1736" s="56" t="s">
        <v>22</v>
      </c>
      <c r="C1736" s="90"/>
      <c r="D1736" s="57"/>
      <c r="E1736" s="57">
        <v>2.4220000000000002</v>
      </c>
      <c r="F1736" s="57">
        <v>3.7869999999999999</v>
      </c>
      <c r="G1736" s="57">
        <v>5.601</v>
      </c>
      <c r="H1736" s="57">
        <v>0.16054925</v>
      </c>
      <c r="I1736" s="57">
        <v>0</v>
      </c>
      <c r="J1736" s="49" t="e">
        <v>#DIV/0!</v>
      </c>
    </row>
    <row r="1737" spans="1:10" x14ac:dyDescent="0.2">
      <c r="A1737" s="91" t="s">
        <v>7</v>
      </c>
      <c r="B1737" s="53" t="s">
        <v>20</v>
      </c>
      <c r="C1737" s="92">
        <v>10</v>
      </c>
      <c r="D1737" s="48"/>
      <c r="E1737" s="48">
        <v>2.44</v>
      </c>
      <c r="F1737" s="48">
        <v>3.2530000000000001</v>
      </c>
      <c r="G1737" s="48">
        <v>5.1989999999999998</v>
      </c>
      <c r="H1737" s="48">
        <v>0.15185982000000001</v>
      </c>
      <c r="I1737" s="48">
        <v>0</v>
      </c>
      <c r="J1737" s="52">
        <v>0</v>
      </c>
    </row>
    <row r="1738" spans="1:10" x14ac:dyDescent="0.2">
      <c r="A1738" s="85"/>
      <c r="B1738" s="53" t="s">
        <v>21</v>
      </c>
      <c r="C1738" s="89"/>
      <c r="D1738" s="48">
        <v>926</v>
      </c>
      <c r="E1738" s="48">
        <v>2.4830000000000001</v>
      </c>
      <c r="F1738" s="48">
        <v>3.125</v>
      </c>
      <c r="G1738" s="48">
        <v>5.1180000000000003</v>
      </c>
      <c r="H1738" s="48">
        <v>0.15679999999999999</v>
      </c>
      <c r="I1738" s="48">
        <v>780.80319999999995</v>
      </c>
      <c r="J1738" s="52" t="e">
        <v>#DIV/0!</v>
      </c>
    </row>
    <row r="1739" spans="1:10" x14ac:dyDescent="0.2">
      <c r="A1739" s="87"/>
      <c r="B1739" s="56" t="s">
        <v>22</v>
      </c>
      <c r="C1739" s="90"/>
      <c r="D1739" s="57"/>
      <c r="E1739" s="57">
        <v>2.4350000000000001</v>
      </c>
      <c r="F1739" s="57">
        <v>3.3730000000000002</v>
      </c>
      <c r="G1739" s="57">
        <v>5.2859999999999996</v>
      </c>
      <c r="H1739" s="57">
        <v>0.15475838</v>
      </c>
      <c r="I1739" s="57">
        <v>0</v>
      </c>
      <c r="J1739" s="49" t="e">
        <v>#DIV/0!</v>
      </c>
    </row>
    <row r="1740" spans="1:10" x14ac:dyDescent="0.2">
      <c r="A1740" s="91" t="s">
        <v>8</v>
      </c>
      <c r="B1740" s="53" t="s">
        <v>20</v>
      </c>
      <c r="C1740" s="92">
        <v>10</v>
      </c>
      <c r="D1740" s="48"/>
      <c r="E1740" s="48">
        <v>2.456</v>
      </c>
      <c r="F1740" s="48">
        <v>3.7069999999999999</v>
      </c>
      <c r="G1740" s="48">
        <v>5.5819999999999999</v>
      </c>
      <c r="H1740" s="48">
        <v>0.15673050999999999</v>
      </c>
      <c r="I1740" s="48">
        <v>0</v>
      </c>
      <c r="J1740" s="52">
        <v>0</v>
      </c>
    </row>
    <row r="1741" spans="1:10" x14ac:dyDescent="0.2">
      <c r="A1741" s="85"/>
      <c r="B1741" s="53" t="s">
        <v>21</v>
      </c>
      <c r="C1741" s="89"/>
      <c r="D1741" s="48">
        <v>914</v>
      </c>
      <c r="E1741" s="48">
        <v>2.4430000000000001</v>
      </c>
      <c r="F1741" s="48">
        <v>3.1280000000000001</v>
      </c>
      <c r="G1741" s="48">
        <v>5.0940000000000003</v>
      </c>
      <c r="H1741" s="48">
        <v>0.15249361</v>
      </c>
      <c r="I1741" s="48">
        <v>774.62084400000003</v>
      </c>
      <c r="J1741" s="52" t="e">
        <v>#DIV/0!</v>
      </c>
    </row>
    <row r="1742" spans="1:10" x14ac:dyDescent="0.2">
      <c r="A1742" s="87"/>
      <c r="B1742" s="56" t="s">
        <v>22</v>
      </c>
      <c r="C1742" s="90"/>
      <c r="D1742" s="57"/>
      <c r="E1742" s="57">
        <v>2.4159999999999999</v>
      </c>
      <c r="F1742" s="57">
        <v>3.1669999999999998</v>
      </c>
      <c r="G1742" s="57">
        <v>5.0990000000000002</v>
      </c>
      <c r="H1742" s="57">
        <v>0.15282602000000001</v>
      </c>
      <c r="I1742" s="57">
        <v>0</v>
      </c>
      <c r="J1742" s="49" t="e">
        <v>#DIV/0!</v>
      </c>
    </row>
    <row r="1743" spans="1:10" x14ac:dyDescent="0.2">
      <c r="A1743" s="91" t="s">
        <v>9</v>
      </c>
      <c r="B1743" s="53" t="s">
        <v>20</v>
      </c>
      <c r="C1743" s="92">
        <v>10</v>
      </c>
      <c r="D1743" s="48"/>
      <c r="E1743" s="48">
        <v>2.415</v>
      </c>
      <c r="F1743" s="48">
        <v>3.157</v>
      </c>
      <c r="G1743" s="48">
        <v>5.0149999999999997</v>
      </c>
      <c r="H1743" s="48">
        <v>0.17643332</v>
      </c>
      <c r="I1743" s="48">
        <v>0</v>
      </c>
      <c r="J1743" s="52">
        <v>0</v>
      </c>
    </row>
    <row r="1744" spans="1:10" x14ac:dyDescent="0.2">
      <c r="A1744" s="85"/>
      <c r="B1744" s="53" t="s">
        <v>21</v>
      </c>
      <c r="C1744" s="89"/>
      <c r="D1744" s="48">
        <v>816</v>
      </c>
      <c r="E1744" s="48">
        <v>2.4740000000000002</v>
      </c>
      <c r="F1744" s="48">
        <v>3.1469999999999998</v>
      </c>
      <c r="G1744" s="48">
        <v>5.048</v>
      </c>
      <c r="H1744" s="48">
        <v>0.18207817000000001</v>
      </c>
      <c r="I1744" s="48">
        <v>667.42421349999995</v>
      </c>
      <c r="J1744" s="52" t="e">
        <v>#DIV/0!</v>
      </c>
    </row>
    <row r="1745" spans="1:10" x14ac:dyDescent="0.2">
      <c r="A1745" s="87"/>
      <c r="B1745" s="56" t="s">
        <v>22</v>
      </c>
      <c r="C1745" s="90"/>
      <c r="D1745" s="57"/>
      <c r="E1745" s="57">
        <v>2.4510000000000001</v>
      </c>
      <c r="F1745" s="57">
        <v>3.6890000000000001</v>
      </c>
      <c r="G1745" s="57">
        <v>5.5350000000000001</v>
      </c>
      <c r="H1745" s="57">
        <v>0.16400107999999999</v>
      </c>
      <c r="I1745" s="57">
        <v>0</v>
      </c>
      <c r="J1745" s="49" t="e">
        <v>#DIV/0!</v>
      </c>
    </row>
    <row r="1746" spans="1:10" x14ac:dyDescent="0.2">
      <c r="A1746" s="91" t="s">
        <v>10</v>
      </c>
      <c r="B1746" s="53" t="s">
        <v>20</v>
      </c>
      <c r="C1746" s="92">
        <v>7</v>
      </c>
      <c r="D1746" s="48"/>
      <c r="E1746" s="48">
        <v>2.39</v>
      </c>
      <c r="F1746" s="48">
        <v>3.54</v>
      </c>
      <c r="G1746" s="48">
        <v>5.3250000000000002</v>
      </c>
      <c r="H1746" s="48">
        <v>0.17090395</v>
      </c>
      <c r="I1746" s="48">
        <v>0</v>
      </c>
      <c r="J1746" s="52">
        <v>0</v>
      </c>
    </row>
    <row r="1747" spans="1:10" x14ac:dyDescent="0.2">
      <c r="A1747" s="85"/>
      <c r="B1747" s="53" t="s">
        <v>21</v>
      </c>
      <c r="C1747" s="89"/>
      <c r="D1747" s="48">
        <v>591</v>
      </c>
      <c r="E1747" s="48">
        <v>2.41</v>
      </c>
      <c r="F1747" s="48">
        <v>3.964</v>
      </c>
      <c r="G1747" s="48">
        <v>5.6660000000000004</v>
      </c>
      <c r="H1747" s="48">
        <v>0.17860746999999999</v>
      </c>
      <c r="I1747" s="48">
        <v>485.44298689999999</v>
      </c>
      <c r="J1747" s="52" t="e">
        <v>#DIV/0!</v>
      </c>
    </row>
    <row r="1748" spans="1:10" x14ac:dyDescent="0.2">
      <c r="A1748" s="87"/>
      <c r="B1748" s="56" t="s">
        <v>22</v>
      </c>
      <c r="C1748" s="90"/>
      <c r="D1748" s="57"/>
      <c r="E1748" s="57">
        <v>2.42</v>
      </c>
      <c r="F1748" s="57">
        <v>3.6419999999999999</v>
      </c>
      <c r="G1748" s="57">
        <v>5.4020000000000001</v>
      </c>
      <c r="H1748" s="57">
        <v>0.18121910999999999</v>
      </c>
      <c r="I1748" s="57">
        <v>0</v>
      </c>
      <c r="J1748" s="49" t="e">
        <v>#DIV/0!</v>
      </c>
    </row>
    <row r="1749" spans="1:10" x14ac:dyDescent="0.2">
      <c r="A1749" s="91" t="s">
        <v>11</v>
      </c>
      <c r="B1749" s="53" t="s">
        <v>20</v>
      </c>
      <c r="C1749" s="92">
        <v>10</v>
      </c>
      <c r="D1749" s="48"/>
      <c r="E1749" s="48"/>
      <c r="F1749" s="48"/>
      <c r="G1749" s="48"/>
      <c r="H1749" s="48" t="e">
        <v>#DIV/0!</v>
      </c>
      <c r="I1749" s="48" t="e">
        <v>#DIV/0!</v>
      </c>
      <c r="J1749" s="52" t="e">
        <v>#DIV/0!</v>
      </c>
    </row>
    <row r="1750" spans="1:10" x14ac:dyDescent="0.2">
      <c r="A1750" s="85"/>
      <c r="B1750" s="53" t="s">
        <v>21</v>
      </c>
      <c r="C1750" s="89"/>
      <c r="D1750" s="48"/>
      <c r="E1750" s="48"/>
      <c r="F1750" s="48"/>
      <c r="G1750" s="48"/>
      <c r="H1750" s="48" t="e">
        <v>#DIV/0!</v>
      </c>
      <c r="I1750" s="48" t="e">
        <v>#DIV/0!</v>
      </c>
      <c r="J1750" s="52" t="e">
        <v>#DIV/0!</v>
      </c>
    </row>
    <row r="1751" spans="1:10" x14ac:dyDescent="0.2">
      <c r="A1751" s="87"/>
      <c r="B1751" s="56" t="s">
        <v>22</v>
      </c>
      <c r="C1751" s="90"/>
      <c r="D1751" s="57"/>
      <c r="E1751" s="57"/>
      <c r="F1751" s="57"/>
      <c r="G1751" s="57"/>
      <c r="H1751" s="57" t="e">
        <v>#DIV/0!</v>
      </c>
      <c r="I1751" s="57" t="e">
        <v>#DIV/0!</v>
      </c>
      <c r="J1751" s="49" t="e">
        <v>#DIV/0!</v>
      </c>
    </row>
    <row r="1752" spans="1:10" x14ac:dyDescent="0.2">
      <c r="A1752" s="91" t="s">
        <v>12</v>
      </c>
      <c r="B1752" s="53" t="s">
        <v>20</v>
      </c>
      <c r="C1752" s="92">
        <v>10</v>
      </c>
      <c r="D1752" s="48"/>
      <c r="E1752" s="48"/>
      <c r="F1752" s="48"/>
      <c r="G1752" s="48"/>
      <c r="H1752" s="48" t="e">
        <v>#DIV/0!</v>
      </c>
      <c r="I1752" s="48" t="e">
        <v>#DIV/0!</v>
      </c>
      <c r="J1752" s="52" t="e">
        <v>#DIV/0!</v>
      </c>
    </row>
    <row r="1753" spans="1:10" x14ac:dyDescent="0.2">
      <c r="A1753" s="85"/>
      <c r="B1753" s="53" t="s">
        <v>21</v>
      </c>
      <c r="C1753" s="89"/>
      <c r="D1753" s="48"/>
      <c r="E1753" s="48"/>
      <c r="F1753" s="48"/>
      <c r="G1753" s="48"/>
      <c r="H1753" s="48" t="e">
        <v>#DIV/0!</v>
      </c>
      <c r="I1753" s="48" t="e">
        <v>#DIV/0!</v>
      </c>
      <c r="J1753" s="52" t="e">
        <v>#DIV/0!</v>
      </c>
    </row>
    <row r="1754" spans="1:10" x14ac:dyDescent="0.2">
      <c r="A1754" s="87"/>
      <c r="B1754" s="56" t="s">
        <v>22</v>
      </c>
      <c r="C1754" s="90"/>
      <c r="D1754" s="57"/>
      <c r="E1754" s="57"/>
      <c r="F1754" s="57"/>
      <c r="G1754" s="57"/>
      <c r="H1754" s="57" t="e">
        <v>#DIV/0!</v>
      </c>
      <c r="I1754" s="57" t="e">
        <v>#DIV/0!</v>
      </c>
      <c r="J1754" s="49" t="e">
        <v>#DIV/0!</v>
      </c>
    </row>
    <row r="1755" spans="1:10" x14ac:dyDescent="0.2">
      <c r="A1755" s="91" t="s">
        <v>13</v>
      </c>
      <c r="B1755" s="53" t="s">
        <v>20</v>
      </c>
      <c r="C1755" s="92">
        <v>10</v>
      </c>
      <c r="D1755" s="48"/>
      <c r="E1755" s="48"/>
      <c r="F1755" s="48"/>
      <c r="G1755" s="48"/>
      <c r="H1755" s="48" t="e">
        <v>#DIV/0!</v>
      </c>
      <c r="I1755" s="48" t="e">
        <v>#DIV/0!</v>
      </c>
      <c r="J1755" s="52" t="e">
        <v>#DIV/0!</v>
      </c>
    </row>
    <row r="1756" spans="1:10" x14ac:dyDescent="0.2">
      <c r="A1756" s="85"/>
      <c r="B1756" s="53" t="s">
        <v>21</v>
      </c>
      <c r="C1756" s="89"/>
      <c r="D1756" s="48"/>
      <c r="E1756" s="48"/>
      <c r="F1756" s="48"/>
      <c r="G1756" s="48"/>
      <c r="H1756" s="48" t="e">
        <v>#DIV/0!</v>
      </c>
      <c r="I1756" s="48" t="e">
        <v>#DIV/0!</v>
      </c>
      <c r="J1756" s="52" t="e">
        <v>#DIV/0!</v>
      </c>
    </row>
    <row r="1757" spans="1:10" x14ac:dyDescent="0.2">
      <c r="A1757" s="87"/>
      <c r="B1757" s="56" t="s">
        <v>22</v>
      </c>
      <c r="C1757" s="90"/>
      <c r="D1757" s="57"/>
      <c r="E1757" s="57"/>
      <c r="F1757" s="57"/>
      <c r="G1757" s="57"/>
      <c r="H1757" s="57" t="e">
        <v>#DIV/0!</v>
      </c>
      <c r="I1757" s="57" t="e">
        <v>#DIV/0!</v>
      </c>
      <c r="J1757" s="49" t="e">
        <v>#DIV/0!</v>
      </c>
    </row>
    <row r="1758" spans="1:10" x14ac:dyDescent="0.2">
      <c r="A1758" s="91" t="s">
        <v>14</v>
      </c>
      <c r="B1758" s="53" t="s">
        <v>20</v>
      </c>
      <c r="C1758" s="92">
        <v>10</v>
      </c>
      <c r="D1758" s="48"/>
      <c r="E1758" s="48"/>
      <c r="F1758" s="48"/>
      <c r="G1758" s="48"/>
      <c r="H1758" s="48" t="e">
        <v>#DIV/0!</v>
      </c>
      <c r="I1758" s="48" t="e">
        <v>#DIV/0!</v>
      </c>
      <c r="J1758" s="52" t="e">
        <v>#DIV/0!</v>
      </c>
    </row>
    <row r="1759" spans="1:10" x14ac:dyDescent="0.2">
      <c r="A1759" s="85"/>
      <c r="B1759" s="53" t="s">
        <v>21</v>
      </c>
      <c r="C1759" s="89"/>
      <c r="D1759" s="48"/>
      <c r="E1759" s="48"/>
      <c r="F1759" s="48"/>
      <c r="G1759" s="48"/>
      <c r="H1759" s="48" t="e">
        <v>#DIV/0!</v>
      </c>
      <c r="I1759" s="48" t="e">
        <v>#DIV/0!</v>
      </c>
      <c r="J1759" s="52" t="e">
        <v>#DIV/0!</v>
      </c>
    </row>
    <row r="1760" spans="1:10" ht="16" thickBot="1" x14ac:dyDescent="0.25">
      <c r="A1760" s="93"/>
      <c r="B1760" s="58" t="s">
        <v>22</v>
      </c>
      <c r="C1760" s="94"/>
      <c r="D1760" s="59"/>
      <c r="E1760" s="59"/>
      <c r="F1760" s="59"/>
      <c r="G1760" s="59"/>
      <c r="H1760" s="59" t="e">
        <v>#DIV/0!</v>
      </c>
      <c r="I1760" s="59" t="e">
        <v>#DIV/0!</v>
      </c>
      <c r="J1760" s="50" t="e">
        <v>#DIV/0!</v>
      </c>
    </row>
    <row r="1761" spans="1:17" ht="16" thickBot="1" x14ac:dyDescent="0.25">
      <c r="A1761" s="60" t="s">
        <v>1</v>
      </c>
      <c r="B1761" s="61"/>
      <c r="C1761" s="62"/>
      <c r="D1761" s="63" t="s">
        <v>53</v>
      </c>
      <c r="E1761" s="64"/>
      <c r="F1761" s="58" t="s">
        <v>0</v>
      </c>
      <c r="G1761" s="18">
        <v>44157</v>
      </c>
      <c r="H1761" s="65" t="s">
        <v>24</v>
      </c>
      <c r="I1761" s="66"/>
      <c r="J1761" s="49">
        <v>110</v>
      </c>
    </row>
    <row r="1762" spans="1:17" ht="16" thickBot="1" x14ac:dyDescent="0.25">
      <c r="A1762" s="67" t="s">
        <v>2</v>
      </c>
      <c r="B1762" s="68"/>
      <c r="C1762" s="69"/>
      <c r="D1762" s="70"/>
      <c r="E1762" s="71"/>
      <c r="F1762" s="72"/>
      <c r="G1762" s="73"/>
      <c r="H1762" s="74" t="s">
        <v>25</v>
      </c>
      <c r="I1762" s="75"/>
      <c r="J1762" s="49">
        <v>36</v>
      </c>
    </row>
    <row r="1763" spans="1:17" ht="16" thickBot="1" x14ac:dyDescent="0.25">
      <c r="A1763" s="76" t="s">
        <v>27</v>
      </c>
      <c r="B1763" s="77"/>
      <c r="C1763" s="78"/>
      <c r="D1763" s="79" t="s">
        <v>36</v>
      </c>
      <c r="E1763" s="80"/>
      <c r="F1763" s="48" t="s">
        <v>30</v>
      </c>
      <c r="G1763" s="48">
        <v>3.81</v>
      </c>
      <c r="H1763" s="81" t="s">
        <v>26</v>
      </c>
      <c r="I1763" s="82"/>
      <c r="J1763" s="50">
        <v>53.5</v>
      </c>
    </row>
    <row r="1764" spans="1:17" x14ac:dyDescent="0.2">
      <c r="A1764" s="83"/>
      <c r="B1764" s="84"/>
      <c r="C1764" s="51" t="s">
        <v>29</v>
      </c>
      <c r="D1764" s="51" t="s">
        <v>19</v>
      </c>
      <c r="E1764" s="51" t="s">
        <v>15</v>
      </c>
      <c r="F1764" s="51" t="s">
        <v>18</v>
      </c>
      <c r="G1764" s="51" t="s">
        <v>17</v>
      </c>
      <c r="H1764" s="48" t="s">
        <v>28</v>
      </c>
      <c r="I1764" s="48" t="s">
        <v>16</v>
      </c>
      <c r="J1764" s="52" t="s">
        <v>23</v>
      </c>
    </row>
    <row r="1765" spans="1:17" x14ac:dyDescent="0.2">
      <c r="A1765" s="86" t="s">
        <v>3</v>
      </c>
      <c r="B1765" s="53" t="s">
        <v>20</v>
      </c>
      <c r="C1765" s="88">
        <v>10</v>
      </c>
      <c r="D1765" s="54"/>
      <c r="E1765" s="54">
        <v>2.427</v>
      </c>
      <c r="F1765" s="54">
        <v>3.8340000000000001</v>
      </c>
      <c r="G1765" s="54">
        <v>5.81</v>
      </c>
      <c r="H1765" s="54">
        <v>0.11763172</v>
      </c>
      <c r="I1765" s="54">
        <v>0</v>
      </c>
      <c r="J1765" s="55">
        <v>0</v>
      </c>
      <c r="L1765">
        <f>(G1765+G1766+G1767)/3</f>
        <v>5.5429999999999993</v>
      </c>
      <c r="M1765">
        <f>(F1765+F1766+F1767)/3</f>
        <v>3.528</v>
      </c>
      <c r="N1765">
        <f>(L1765-M1765)/M1765</f>
        <v>0.5711451247165531</v>
      </c>
      <c r="O1765">
        <f>(D1766/(1+N1765))</f>
        <v>444.89843045282345</v>
      </c>
      <c r="P1765">
        <f>PI()*$G$3^2*C1765</f>
        <v>456.03673118774793</v>
      </c>
      <c r="Q1765">
        <f>O1765/P1765</f>
        <v>0.97557586928159323</v>
      </c>
    </row>
    <row r="1766" spans="1:17" x14ac:dyDescent="0.2">
      <c r="A1766" s="85"/>
      <c r="B1766" s="53" t="s">
        <v>21</v>
      </c>
      <c r="C1766" s="89"/>
      <c r="D1766" s="48">
        <v>699</v>
      </c>
      <c r="E1766" s="48">
        <v>2.4260000000000002</v>
      </c>
      <c r="F1766" s="48">
        <v>3.5950000000000002</v>
      </c>
      <c r="G1766" s="48">
        <v>5.5910000000000002</v>
      </c>
      <c r="H1766" s="48">
        <v>0.11961057</v>
      </c>
      <c r="I1766" s="48">
        <v>615.39221139999995</v>
      </c>
      <c r="J1766" s="52" t="e">
        <v>#DIV/0!</v>
      </c>
    </row>
    <row r="1767" spans="1:17" x14ac:dyDescent="0.2">
      <c r="A1767" s="87"/>
      <c r="B1767" s="56" t="s">
        <v>22</v>
      </c>
      <c r="C1767" s="90"/>
      <c r="D1767" s="57"/>
      <c r="E1767" s="57">
        <v>2.4470000000000001</v>
      </c>
      <c r="F1767" s="57">
        <v>3.1549999999999998</v>
      </c>
      <c r="G1767" s="57">
        <v>5.2279999999999998</v>
      </c>
      <c r="H1767" s="57">
        <v>0.11854199999999999</v>
      </c>
      <c r="I1767" s="57">
        <v>0</v>
      </c>
      <c r="J1767" s="49" t="e">
        <v>#DIV/0!</v>
      </c>
    </row>
    <row r="1768" spans="1:17" x14ac:dyDescent="0.2">
      <c r="A1768" s="91" t="s">
        <v>4</v>
      </c>
      <c r="B1768" s="53" t="s">
        <v>20</v>
      </c>
      <c r="C1768" s="92">
        <v>10</v>
      </c>
      <c r="D1768" s="48"/>
      <c r="E1768" s="48">
        <v>2.4609999999999999</v>
      </c>
      <c r="F1768" s="48">
        <v>3.5539999999999998</v>
      </c>
      <c r="G1768" s="48">
        <v>5.6360000000000001</v>
      </c>
      <c r="H1768" s="48">
        <v>0.10664041</v>
      </c>
      <c r="I1768" s="48">
        <v>0</v>
      </c>
      <c r="J1768" s="52">
        <v>0</v>
      </c>
      <c r="L1768">
        <f>(G1768+G1769+G1770)/3</f>
        <v>5.4219999999999997</v>
      </c>
      <c r="M1768">
        <f>(F1768+F1769+F1770)/3</f>
        <v>3.3186666666666667</v>
      </c>
      <c r="N1768">
        <f>(L1768-M1768)/M1768</f>
        <v>0.63378867014865403</v>
      </c>
      <c r="O1768">
        <f>(D1769/(1+N1768))</f>
        <v>449.87458502397641</v>
      </c>
      <c r="P1768">
        <f>PI()*$G$3^2*C1768</f>
        <v>456.03673118774793</v>
      </c>
      <c r="Q1768">
        <f>O1768/P1768</f>
        <v>0.98648761000518048</v>
      </c>
    </row>
    <row r="1769" spans="1:17" x14ac:dyDescent="0.2">
      <c r="A1769" s="85"/>
      <c r="B1769" s="53" t="s">
        <v>21</v>
      </c>
      <c r="C1769" s="89"/>
      <c r="D1769" s="48">
        <v>735</v>
      </c>
      <c r="E1769" s="48">
        <v>2.444</v>
      </c>
      <c r="F1769" s="48">
        <v>3.1579999999999999</v>
      </c>
      <c r="G1769" s="48">
        <v>5.27</v>
      </c>
      <c r="H1769" s="48">
        <v>0.10512982999999999</v>
      </c>
      <c r="I1769" s="48">
        <v>657.72957570000005</v>
      </c>
      <c r="J1769" s="52" t="e">
        <v>#DIV/0!</v>
      </c>
    </row>
    <row r="1770" spans="1:17" x14ac:dyDescent="0.2">
      <c r="A1770" s="87"/>
      <c r="B1770" s="56" t="s">
        <v>22</v>
      </c>
      <c r="C1770" s="90"/>
      <c r="D1770" s="57"/>
      <c r="E1770" s="57">
        <v>2.4420000000000002</v>
      </c>
      <c r="F1770" s="57">
        <v>3.2440000000000002</v>
      </c>
      <c r="G1770" s="57">
        <v>5.36</v>
      </c>
      <c r="H1770" s="57">
        <v>0.10049321999999999</v>
      </c>
      <c r="I1770" s="57">
        <v>0</v>
      </c>
      <c r="J1770" s="49" t="e">
        <v>#DIV/0!</v>
      </c>
    </row>
    <row r="1771" spans="1:17" x14ac:dyDescent="0.2">
      <c r="A1771" s="91" t="s">
        <v>5</v>
      </c>
      <c r="B1771" s="53" t="s">
        <v>20</v>
      </c>
      <c r="C1771" s="92">
        <v>10</v>
      </c>
      <c r="D1771" s="48"/>
      <c r="E1771" s="48">
        <v>2.4460000000000002</v>
      </c>
      <c r="F1771" s="48">
        <v>3.577</v>
      </c>
      <c r="G1771" s="48">
        <v>5.6669999999999998</v>
      </c>
      <c r="H1771" s="48">
        <v>9.952474E-2</v>
      </c>
      <c r="I1771" s="48">
        <v>0</v>
      </c>
      <c r="J1771" s="52">
        <v>0</v>
      </c>
      <c r="L1771">
        <f>(G1771+G1772+G1773)/3</f>
        <v>5.4130000000000003</v>
      </c>
      <c r="M1771">
        <f>(F1771+F1772+F1773)/3</f>
        <v>3.3026666666666671</v>
      </c>
      <c r="N1771">
        <f>(L1771-M1771)/M1771</f>
        <v>0.63897860314897037</v>
      </c>
      <c r="O1771">
        <f>(D1772/(1+N1771))</f>
        <v>491.15955415973895</v>
      </c>
      <c r="P1771">
        <f>PI()*$G$3^2*C1771</f>
        <v>456.03673118774793</v>
      </c>
      <c r="Q1771">
        <f>O1771/P1771</f>
        <v>1.0770175307601069</v>
      </c>
    </row>
    <row r="1772" spans="1:17" x14ac:dyDescent="0.2">
      <c r="A1772" s="85"/>
      <c r="B1772" s="53" t="s">
        <v>21</v>
      </c>
      <c r="C1772" s="89"/>
      <c r="D1772" s="48">
        <v>805</v>
      </c>
      <c r="E1772" s="48">
        <v>2.4430000000000001</v>
      </c>
      <c r="F1772" s="48">
        <v>3.2010000000000001</v>
      </c>
      <c r="G1772" s="48">
        <v>5.3230000000000004</v>
      </c>
      <c r="H1772" s="48">
        <v>0.10028115999999999</v>
      </c>
      <c r="I1772" s="48">
        <v>724.2736645</v>
      </c>
      <c r="J1772" s="52" t="e">
        <v>#DIV/0!</v>
      </c>
    </row>
    <row r="1773" spans="1:17" x14ac:dyDescent="0.2">
      <c r="A1773" s="87"/>
      <c r="B1773" s="56" t="s">
        <v>22</v>
      </c>
      <c r="C1773" s="90"/>
      <c r="D1773" s="57"/>
      <c r="E1773" s="57">
        <v>2.44</v>
      </c>
      <c r="F1773" s="57">
        <v>3.13</v>
      </c>
      <c r="G1773" s="57">
        <v>5.2489999999999997</v>
      </c>
      <c r="H1773" s="57">
        <v>0.10255591</v>
      </c>
      <c r="I1773" s="57">
        <v>0</v>
      </c>
      <c r="J1773" s="49" t="e">
        <v>#DIV/0!</v>
      </c>
    </row>
    <row r="1774" spans="1:17" x14ac:dyDescent="0.2">
      <c r="A1774" s="91" t="s">
        <v>6</v>
      </c>
      <c r="B1774" s="53" t="s">
        <v>20</v>
      </c>
      <c r="C1774" s="92">
        <v>10</v>
      </c>
      <c r="D1774" s="48"/>
      <c r="E1774" s="48">
        <v>2.444</v>
      </c>
      <c r="F1774" s="48">
        <v>3.7229999999999999</v>
      </c>
      <c r="G1774" s="48">
        <v>5.7869999999999999</v>
      </c>
      <c r="H1774" s="48">
        <v>0.10206822</v>
      </c>
      <c r="I1774" s="48">
        <v>0</v>
      </c>
      <c r="J1774" s="52">
        <v>0</v>
      </c>
      <c r="L1774">
        <f>(G1774+G1775+G1776)/3</f>
        <v>5.8143333333333338</v>
      </c>
      <c r="M1774">
        <f>(F1774+F1775+F1776)/3</f>
        <v>3.7620000000000005</v>
      </c>
      <c r="N1774">
        <f>(L1774-M1774)/M1774</f>
        <v>0.54554315080630866</v>
      </c>
      <c r="O1774">
        <f>(D1775/(1+N1774))</f>
        <v>565.49699019664047</v>
      </c>
      <c r="P1774">
        <f>PI()*$G$3^2*C1774</f>
        <v>456.03673118774793</v>
      </c>
      <c r="Q1774">
        <f>O1774/P1774</f>
        <v>1.2400250934257055</v>
      </c>
    </row>
    <row r="1775" spans="1:17" x14ac:dyDescent="0.2">
      <c r="A1775" s="85"/>
      <c r="B1775" s="53" t="s">
        <v>21</v>
      </c>
      <c r="C1775" s="89"/>
      <c r="D1775" s="48">
        <v>874</v>
      </c>
      <c r="E1775" s="48">
        <v>2.4409999999999998</v>
      </c>
      <c r="F1775" s="48">
        <v>3.5710000000000002</v>
      </c>
      <c r="G1775" s="48">
        <v>5.6379999999999999</v>
      </c>
      <c r="H1775" s="48">
        <v>0.10473257</v>
      </c>
      <c r="I1775" s="48">
        <v>782.46373559999995</v>
      </c>
      <c r="J1775" s="52" t="e">
        <v>#DIV/0!</v>
      </c>
    </row>
    <row r="1776" spans="1:17" x14ac:dyDescent="0.2">
      <c r="A1776" s="87"/>
      <c r="B1776" s="56" t="s">
        <v>22</v>
      </c>
      <c r="C1776" s="90"/>
      <c r="D1776" s="57"/>
      <c r="E1776" s="57">
        <v>2.4489999999999998</v>
      </c>
      <c r="F1776" s="57">
        <v>3.992</v>
      </c>
      <c r="G1776" s="57">
        <v>6.0179999999999998</v>
      </c>
      <c r="H1776" s="57">
        <v>0.10596192</v>
      </c>
      <c r="I1776" s="57">
        <v>0</v>
      </c>
      <c r="J1776" s="49" t="e">
        <v>#DIV/0!</v>
      </c>
    </row>
    <row r="1777" spans="1:17" x14ac:dyDescent="0.2">
      <c r="A1777" s="91" t="s">
        <v>7</v>
      </c>
      <c r="B1777" s="53" t="s">
        <v>20</v>
      </c>
      <c r="C1777" s="92">
        <v>10</v>
      </c>
      <c r="D1777" s="48"/>
      <c r="E1777" s="48">
        <v>2.4449999999999998</v>
      </c>
      <c r="F1777" s="48">
        <v>3.048</v>
      </c>
      <c r="G1777" s="48">
        <v>5.1440000000000001</v>
      </c>
      <c r="H1777" s="48">
        <v>0.11450131</v>
      </c>
      <c r="I1777" s="48">
        <v>0</v>
      </c>
      <c r="J1777" s="52">
        <v>0</v>
      </c>
      <c r="L1777">
        <f>(G1777+G1778+G1779)/3</f>
        <v>5.5973333333333342</v>
      </c>
      <c r="M1777">
        <f>(F1777+F1778+F1779)/3</f>
        <v>3.5576666666666665</v>
      </c>
      <c r="N1777">
        <f>(L1777-M1777)/M1777</f>
        <v>0.57331584371779287</v>
      </c>
      <c r="O1777">
        <f>(D1778/(1+N1777))</f>
        <v>523.73463554073351</v>
      </c>
      <c r="P1777">
        <f>PI()*$G$3^2*C1777</f>
        <v>456.03673118774793</v>
      </c>
      <c r="Q1777">
        <f>O1777/P1777</f>
        <v>1.1484483589220245</v>
      </c>
    </row>
    <row r="1778" spans="1:17" x14ac:dyDescent="0.2">
      <c r="A1778" s="85"/>
      <c r="B1778" s="53" t="s">
        <v>21</v>
      </c>
      <c r="C1778" s="89"/>
      <c r="D1778" s="48">
        <v>824</v>
      </c>
      <c r="E1778" s="48">
        <v>2.4540000000000002</v>
      </c>
      <c r="F1778" s="48">
        <v>3.9740000000000002</v>
      </c>
      <c r="G1778" s="48">
        <v>5.984</v>
      </c>
      <c r="H1778" s="48">
        <v>0.11172622</v>
      </c>
      <c r="I1778" s="48">
        <v>731.93759439999997</v>
      </c>
      <c r="J1778" s="52" t="e">
        <v>#DIV/0!</v>
      </c>
    </row>
    <row r="1779" spans="1:17" x14ac:dyDescent="0.2">
      <c r="A1779" s="87"/>
      <c r="B1779" s="56" t="s">
        <v>22</v>
      </c>
      <c r="C1779" s="90"/>
      <c r="D1779" s="57"/>
      <c r="E1779" s="57">
        <v>2.423</v>
      </c>
      <c r="F1779" s="57">
        <v>3.6509999999999998</v>
      </c>
      <c r="G1779" s="57">
        <v>5.6639999999999997</v>
      </c>
      <c r="H1779" s="57">
        <v>0.112298</v>
      </c>
      <c r="I1779" s="57">
        <v>0</v>
      </c>
      <c r="J1779" s="49" t="e">
        <v>#DIV/0!</v>
      </c>
    </row>
    <row r="1780" spans="1:17" x14ac:dyDescent="0.2">
      <c r="A1780" s="91" t="s">
        <v>8</v>
      </c>
      <c r="B1780" s="53" t="s">
        <v>20</v>
      </c>
      <c r="C1780" s="92">
        <v>10</v>
      </c>
      <c r="D1780" s="48"/>
      <c r="E1780" s="48">
        <v>2.4239999999999999</v>
      </c>
      <c r="F1780" s="48">
        <v>3.5339999999999998</v>
      </c>
      <c r="G1780" s="48">
        <v>5.6360000000000001</v>
      </c>
      <c r="H1780" s="48">
        <v>9.1114879999999995E-2</v>
      </c>
      <c r="I1780" s="48">
        <v>0</v>
      </c>
      <c r="J1780" s="52">
        <v>0</v>
      </c>
      <c r="L1780">
        <f>(G1780+G1781+G1782)/3</f>
        <v>5.6333333333333329</v>
      </c>
      <c r="M1780">
        <f>(F1780+F1781+F1782)/3</f>
        <v>3.5333333333333332</v>
      </c>
      <c r="N1780">
        <f>(L1780-M1780)/M1780</f>
        <v>0.5943396226415093</v>
      </c>
      <c r="O1780">
        <f>(D1781/(1+N1780))</f>
        <v>469.15976331360952</v>
      </c>
      <c r="P1780">
        <f>PI()*$G$3^2*C1780</f>
        <v>456.03673118774793</v>
      </c>
      <c r="Q1780">
        <f>O1780/P1780</f>
        <v>1.028776261271066</v>
      </c>
    </row>
    <row r="1781" spans="1:17" x14ac:dyDescent="0.2">
      <c r="A1781" s="85"/>
      <c r="B1781" s="53" t="s">
        <v>21</v>
      </c>
      <c r="C1781" s="89"/>
      <c r="D1781" s="48">
        <v>748</v>
      </c>
      <c r="E1781" s="48">
        <v>2.42</v>
      </c>
      <c r="F1781" s="48">
        <v>3.0960000000000001</v>
      </c>
      <c r="G1781" s="48">
        <v>5.21</v>
      </c>
      <c r="H1781" s="48">
        <v>9.8837209999999995E-2</v>
      </c>
      <c r="I1781" s="48">
        <v>674.06976740000005</v>
      </c>
      <c r="J1781" s="52" t="e">
        <v>#DIV/0!</v>
      </c>
    </row>
    <row r="1782" spans="1:17" x14ac:dyDescent="0.2">
      <c r="A1782" s="87"/>
      <c r="B1782" s="56" t="s">
        <v>22</v>
      </c>
      <c r="C1782" s="90"/>
      <c r="D1782" s="57"/>
      <c r="E1782" s="57">
        <v>2.4180000000000001</v>
      </c>
      <c r="F1782" s="57">
        <v>3.97</v>
      </c>
      <c r="G1782" s="57">
        <v>6.0540000000000003</v>
      </c>
      <c r="H1782" s="57">
        <v>8.4130979999999994E-2</v>
      </c>
      <c r="I1782" s="57">
        <v>0</v>
      </c>
      <c r="J1782" s="49" t="e">
        <v>#DIV/0!</v>
      </c>
    </row>
    <row r="1783" spans="1:17" x14ac:dyDescent="0.2">
      <c r="A1783" s="91" t="s">
        <v>9</v>
      </c>
      <c r="B1783" s="53" t="s">
        <v>20</v>
      </c>
      <c r="C1783" s="92">
        <v>10</v>
      </c>
      <c r="D1783" s="48"/>
      <c r="E1783" s="48">
        <v>2.4239999999999999</v>
      </c>
      <c r="F1783" s="48">
        <v>3.544</v>
      </c>
      <c r="G1783" s="48">
        <v>5.7060000000000004</v>
      </c>
      <c r="H1783" s="48">
        <v>7.3927770000000004E-2</v>
      </c>
      <c r="I1783" s="48">
        <v>0</v>
      </c>
      <c r="J1783" s="52">
        <v>0</v>
      </c>
      <c r="L1783">
        <f>(G1783+G1784+G1785)/3</f>
        <v>5.6380000000000008</v>
      </c>
      <c r="M1783">
        <f>(F1783+F1784+F1785)/3</f>
        <v>3.4830000000000001</v>
      </c>
      <c r="N1783">
        <f>(L1783-M1783)/M1783</f>
        <v>0.61871949468848708</v>
      </c>
      <c r="O1783">
        <f>(D1784/(1+N1783))</f>
        <v>497.30666903157146</v>
      </c>
      <c r="P1783">
        <f>PI()*$G$3^2*C1783</f>
        <v>456.03673118774793</v>
      </c>
      <c r="Q1783">
        <f>O1783/P1783</f>
        <v>1.090496960050424</v>
      </c>
    </row>
    <row r="1784" spans="1:17" x14ac:dyDescent="0.2">
      <c r="A1784" s="85"/>
      <c r="B1784" s="53" t="s">
        <v>21</v>
      </c>
      <c r="C1784" s="89"/>
      <c r="D1784" s="48">
        <v>805</v>
      </c>
      <c r="E1784" s="48">
        <v>2.4239999999999999</v>
      </c>
      <c r="F1784" s="48">
        <v>3.53</v>
      </c>
      <c r="G1784" s="48">
        <v>5.6740000000000004</v>
      </c>
      <c r="H1784" s="48">
        <v>7.9320109999999999E-2</v>
      </c>
      <c r="I1784" s="48">
        <v>741.14730880000002</v>
      </c>
      <c r="J1784" s="52" t="e">
        <v>#DIV/0!</v>
      </c>
    </row>
    <row r="1785" spans="1:17" x14ac:dyDescent="0.2">
      <c r="A1785" s="87"/>
      <c r="B1785" s="56" t="s">
        <v>22</v>
      </c>
      <c r="C1785" s="90"/>
      <c r="D1785" s="57"/>
      <c r="E1785" s="57">
        <v>2.4329999999999998</v>
      </c>
      <c r="F1785" s="57">
        <v>3.375</v>
      </c>
      <c r="G1785" s="57">
        <v>5.5339999999999998</v>
      </c>
      <c r="H1785" s="57">
        <v>8.1185190000000004E-2</v>
      </c>
      <c r="I1785" s="57">
        <v>0</v>
      </c>
      <c r="J1785" s="49" t="e">
        <v>#DIV/0!</v>
      </c>
    </row>
    <row r="1786" spans="1:17" x14ac:dyDescent="0.2">
      <c r="A1786" s="91" t="s">
        <v>10</v>
      </c>
      <c r="B1786" s="53" t="s">
        <v>20</v>
      </c>
      <c r="C1786" s="92">
        <v>10</v>
      </c>
      <c r="D1786" s="48"/>
      <c r="E1786" s="48">
        <v>2.423</v>
      </c>
      <c r="F1786" s="48">
        <v>3.6419999999999999</v>
      </c>
      <c r="G1786" s="48">
        <v>5.8570000000000002</v>
      </c>
      <c r="H1786" s="48">
        <v>5.7111479999999999E-2</v>
      </c>
      <c r="I1786" s="48">
        <v>0</v>
      </c>
      <c r="J1786" s="52">
        <v>0</v>
      </c>
      <c r="L1786">
        <f>(G1786+G1787+G1788)/3</f>
        <v>5.7146666666666661</v>
      </c>
      <c r="M1786">
        <f>(F1786+F1787+F1788)/3</f>
        <v>3.4789999999999996</v>
      </c>
      <c r="N1786">
        <f>(L1786-M1786)/M1786</f>
        <v>0.64261761042445142</v>
      </c>
      <c r="O1786">
        <f>(D1787/(1+N1786))</f>
        <v>508.94377041530566</v>
      </c>
      <c r="P1786">
        <f>PI()*$G$3^2*C1786</f>
        <v>456.03673118774793</v>
      </c>
      <c r="Q1786">
        <f>O1786/P1786</f>
        <v>1.1160148637364391</v>
      </c>
    </row>
    <row r="1787" spans="1:17" x14ac:dyDescent="0.2">
      <c r="A1787" s="85"/>
      <c r="B1787" s="53" t="s">
        <v>21</v>
      </c>
      <c r="C1787" s="89"/>
      <c r="D1787" s="48">
        <v>836</v>
      </c>
      <c r="E1787" s="48">
        <v>2.42</v>
      </c>
      <c r="F1787" s="48">
        <v>3.2250000000000001</v>
      </c>
      <c r="G1787" s="48">
        <v>5.46</v>
      </c>
      <c r="H1787" s="48">
        <v>5.736434E-2</v>
      </c>
      <c r="I1787" s="48">
        <v>788.04341090000003</v>
      </c>
      <c r="J1787" s="52" t="e">
        <v>#DIV/0!</v>
      </c>
    </row>
    <row r="1788" spans="1:17" x14ac:dyDescent="0.2">
      <c r="A1788" s="87"/>
      <c r="B1788" s="56" t="s">
        <v>22</v>
      </c>
      <c r="C1788" s="90"/>
      <c r="D1788" s="57"/>
      <c r="E1788" s="57">
        <v>2.448</v>
      </c>
      <c r="F1788" s="57">
        <v>3.57</v>
      </c>
      <c r="G1788" s="57">
        <v>5.827</v>
      </c>
      <c r="H1788" s="57">
        <v>5.3501399999999998E-2</v>
      </c>
      <c r="I1788" s="57">
        <v>0</v>
      </c>
      <c r="J1788" s="49" t="e">
        <v>#DIV/0!</v>
      </c>
    </row>
    <row r="1789" spans="1:17" x14ac:dyDescent="0.2">
      <c r="A1789" s="91" t="s">
        <v>11</v>
      </c>
      <c r="B1789" s="53" t="s">
        <v>20</v>
      </c>
      <c r="C1789" s="92">
        <v>10</v>
      </c>
      <c r="D1789" s="48"/>
      <c r="E1789" s="48">
        <v>2.4420000000000002</v>
      </c>
      <c r="F1789" s="48">
        <v>3.4249999999999998</v>
      </c>
      <c r="G1789" s="48">
        <v>5.6509999999999998</v>
      </c>
      <c r="H1789" s="48">
        <v>6.3065689999999994E-2</v>
      </c>
      <c r="I1789" s="48">
        <v>0</v>
      </c>
      <c r="J1789" s="52">
        <v>0</v>
      </c>
      <c r="L1789">
        <f>(G1789+G1790+G1791)/3</f>
        <v>5.4426666666666668</v>
      </c>
      <c r="M1789">
        <f>(F1789+F1790+F1791)/3</f>
        <v>3.2669999999999999</v>
      </c>
      <c r="N1789">
        <f>(L1789-M1789)/M1789</f>
        <v>0.6659524538312418</v>
      </c>
      <c r="O1789">
        <f>(D1790/(1+N1789))</f>
        <v>589.45259676629098</v>
      </c>
      <c r="P1789">
        <f>PI()*$G$3^2*C1789</f>
        <v>456.03673118774793</v>
      </c>
      <c r="Q1789">
        <f>O1789/P1789</f>
        <v>1.2925550870234979</v>
      </c>
    </row>
    <row r="1790" spans="1:17" x14ac:dyDescent="0.2">
      <c r="A1790" s="85"/>
      <c r="B1790" s="53" t="s">
        <v>21</v>
      </c>
      <c r="C1790" s="89"/>
      <c r="D1790" s="48">
        <v>982</v>
      </c>
      <c r="E1790" s="48">
        <v>2.4249999999999998</v>
      </c>
      <c r="F1790" s="48">
        <v>3.3180000000000001</v>
      </c>
      <c r="G1790" s="48">
        <v>5.5170000000000003</v>
      </c>
      <c r="H1790" s="48">
        <v>6.8113320000000005E-2</v>
      </c>
      <c r="I1790" s="48">
        <v>915.11271850000003</v>
      </c>
      <c r="J1790" s="52" t="e">
        <v>#DIV/0!</v>
      </c>
    </row>
    <row r="1791" spans="1:17" x14ac:dyDescent="0.2">
      <c r="A1791" s="87"/>
      <c r="B1791" s="56" t="s">
        <v>22</v>
      </c>
      <c r="C1791" s="90"/>
      <c r="D1791" s="57"/>
      <c r="E1791" s="57">
        <v>2.4329999999999998</v>
      </c>
      <c r="F1791" s="57">
        <v>3.0579999999999998</v>
      </c>
      <c r="G1791" s="57">
        <v>5.16</v>
      </c>
      <c r="H1791" s="57">
        <v>0.10824068000000001</v>
      </c>
      <c r="I1791" s="57">
        <v>0</v>
      </c>
      <c r="J1791" s="49" t="e">
        <v>#DIV/0!</v>
      </c>
    </row>
    <row r="1792" spans="1:17" x14ac:dyDescent="0.2">
      <c r="A1792" s="91" t="s">
        <v>12</v>
      </c>
      <c r="B1792" s="53" t="s">
        <v>20</v>
      </c>
      <c r="C1792" s="92">
        <v>10</v>
      </c>
      <c r="D1792" s="48"/>
      <c r="E1792" s="48">
        <v>2.431</v>
      </c>
      <c r="F1792" s="48">
        <v>3.1459999999999999</v>
      </c>
      <c r="G1792" s="48">
        <v>4.9980000000000002</v>
      </c>
      <c r="H1792" s="48">
        <v>0.18404323</v>
      </c>
      <c r="I1792" s="48">
        <v>0</v>
      </c>
      <c r="J1792" s="52">
        <v>0</v>
      </c>
      <c r="L1792">
        <f>(G1792+G1793+G1794)/3</f>
        <v>5.0446666666666671</v>
      </c>
      <c r="M1792">
        <f>(F1792+F1793+F1794)/3</f>
        <v>3.202666666666667</v>
      </c>
      <c r="N1792">
        <f>(L1792-M1792)/M1792</f>
        <v>0.57514571190674435</v>
      </c>
      <c r="O1792">
        <f>(D1793/(1+N1792))</f>
        <v>556.13902471256779</v>
      </c>
      <c r="P1792">
        <f>PI()*$G$3^2*C1792</f>
        <v>456.03673118774793</v>
      </c>
      <c r="Q1792">
        <f>O1792/P1792</f>
        <v>1.2195048922136236</v>
      </c>
    </row>
    <row r="1793" spans="1:17" x14ac:dyDescent="0.2">
      <c r="A1793" s="85"/>
      <c r="B1793" s="53" t="s">
        <v>21</v>
      </c>
      <c r="C1793" s="89"/>
      <c r="D1793" s="48">
        <v>876</v>
      </c>
      <c r="E1793" s="48">
        <v>2.423</v>
      </c>
      <c r="F1793" s="48">
        <v>3.3029999999999999</v>
      </c>
      <c r="G1793" s="48">
        <v>5.1180000000000003</v>
      </c>
      <c r="H1793" s="48">
        <v>0.18407508</v>
      </c>
      <c r="I1793" s="48">
        <v>714.75022709999996</v>
      </c>
      <c r="J1793" s="52" t="e">
        <v>#DIV/0!</v>
      </c>
    </row>
    <row r="1794" spans="1:17" x14ac:dyDescent="0.2">
      <c r="A1794" s="87"/>
      <c r="B1794" s="56" t="s">
        <v>22</v>
      </c>
      <c r="C1794" s="90"/>
      <c r="D1794" s="57"/>
      <c r="E1794" s="57">
        <v>2.4420000000000002</v>
      </c>
      <c r="F1794" s="57">
        <v>3.1589999999999998</v>
      </c>
      <c r="G1794" s="57">
        <v>5.0179999999999998</v>
      </c>
      <c r="H1794" s="57">
        <v>0.18455207000000001</v>
      </c>
      <c r="I1794" s="57">
        <v>0</v>
      </c>
      <c r="J1794" s="49" t="e">
        <v>#DIV/0!</v>
      </c>
    </row>
    <row r="1795" spans="1:17" x14ac:dyDescent="0.2">
      <c r="A1795" s="91" t="s">
        <v>13</v>
      </c>
      <c r="B1795" s="53" t="s">
        <v>20</v>
      </c>
      <c r="C1795" s="92">
        <v>10</v>
      </c>
      <c r="D1795" s="48"/>
      <c r="E1795" s="48"/>
      <c r="F1795" s="48"/>
      <c r="G1795" s="48"/>
      <c r="H1795" s="48" t="e">
        <v>#DIV/0!</v>
      </c>
      <c r="I1795" s="48" t="e">
        <v>#DIV/0!</v>
      </c>
      <c r="J1795" s="52" t="e">
        <v>#DIV/0!</v>
      </c>
    </row>
    <row r="1796" spans="1:17" x14ac:dyDescent="0.2">
      <c r="A1796" s="85"/>
      <c r="B1796" s="53" t="s">
        <v>21</v>
      </c>
      <c r="C1796" s="89"/>
      <c r="D1796" s="48"/>
      <c r="E1796" s="48"/>
      <c r="F1796" s="48"/>
      <c r="G1796" s="48"/>
      <c r="H1796" s="48" t="e">
        <v>#DIV/0!</v>
      </c>
      <c r="I1796" s="48" t="e">
        <v>#DIV/0!</v>
      </c>
      <c r="J1796" s="52" t="e">
        <v>#DIV/0!</v>
      </c>
    </row>
    <row r="1797" spans="1:17" x14ac:dyDescent="0.2">
      <c r="A1797" s="87"/>
      <c r="B1797" s="56" t="s">
        <v>22</v>
      </c>
      <c r="C1797" s="90"/>
      <c r="D1797" s="57"/>
      <c r="E1797" s="57"/>
      <c r="F1797" s="57"/>
      <c r="G1797" s="57"/>
      <c r="H1797" s="57" t="e">
        <v>#DIV/0!</v>
      </c>
      <c r="I1797" s="57" t="e">
        <v>#DIV/0!</v>
      </c>
      <c r="J1797" s="49" t="e">
        <v>#DIV/0!</v>
      </c>
    </row>
    <row r="1798" spans="1:17" x14ac:dyDescent="0.2">
      <c r="A1798" s="91" t="s">
        <v>14</v>
      </c>
      <c r="B1798" s="53" t="s">
        <v>20</v>
      </c>
      <c r="C1798" s="92">
        <v>10</v>
      </c>
      <c r="D1798" s="48"/>
      <c r="E1798" s="48"/>
      <c r="F1798" s="48"/>
      <c r="G1798" s="48"/>
      <c r="H1798" s="48" t="e">
        <v>#DIV/0!</v>
      </c>
      <c r="I1798" s="48" t="e">
        <v>#DIV/0!</v>
      </c>
      <c r="J1798" s="52" t="e">
        <v>#DIV/0!</v>
      </c>
    </row>
    <row r="1799" spans="1:17" x14ac:dyDescent="0.2">
      <c r="A1799" s="85"/>
      <c r="B1799" s="53" t="s">
        <v>21</v>
      </c>
      <c r="C1799" s="89"/>
      <c r="D1799" s="48"/>
      <c r="E1799" s="48"/>
      <c r="F1799" s="48"/>
      <c r="G1799" s="48"/>
      <c r="H1799" s="48" t="e">
        <v>#DIV/0!</v>
      </c>
      <c r="I1799" s="48" t="e">
        <v>#DIV/0!</v>
      </c>
      <c r="J1799" s="52" t="e">
        <v>#DIV/0!</v>
      </c>
    </row>
    <row r="1800" spans="1:17" ht="16" thickBot="1" x14ac:dyDescent="0.25">
      <c r="A1800" s="93"/>
      <c r="B1800" s="58" t="s">
        <v>22</v>
      </c>
      <c r="C1800" s="94"/>
      <c r="D1800" s="59"/>
      <c r="E1800" s="59"/>
      <c r="F1800" s="59"/>
      <c r="G1800" s="59"/>
      <c r="H1800" s="59" t="e">
        <v>#DIV/0!</v>
      </c>
      <c r="I1800" s="59" t="e">
        <v>#DIV/0!</v>
      </c>
      <c r="J1800" s="50" t="e">
        <v>#DIV/0!</v>
      </c>
    </row>
    <row r="1801" spans="1:17" ht="16" thickBot="1" x14ac:dyDescent="0.25">
      <c r="A1801" s="60" t="s">
        <v>1</v>
      </c>
      <c r="B1801" s="61"/>
      <c r="C1801" s="62"/>
      <c r="D1801" s="63" t="s">
        <v>54</v>
      </c>
      <c r="E1801" s="64"/>
      <c r="F1801" s="58" t="s">
        <v>0</v>
      </c>
      <c r="G1801" s="18">
        <v>44157</v>
      </c>
      <c r="H1801" s="65" t="s">
        <v>24</v>
      </c>
      <c r="I1801" s="66"/>
      <c r="J1801" s="49">
        <v>80</v>
      </c>
    </row>
    <row r="1802" spans="1:17" ht="16" thickBot="1" x14ac:dyDescent="0.25">
      <c r="A1802" s="67" t="s">
        <v>2</v>
      </c>
      <c r="B1802" s="68"/>
      <c r="C1802" s="69"/>
      <c r="D1802" s="70"/>
      <c r="E1802" s="71"/>
      <c r="F1802" s="72"/>
      <c r="G1802" s="73"/>
      <c r="H1802" s="74" t="s">
        <v>25</v>
      </c>
      <c r="I1802" s="75"/>
      <c r="J1802" s="49">
        <v>23</v>
      </c>
    </row>
    <row r="1803" spans="1:17" ht="16" thickBot="1" x14ac:dyDescent="0.25">
      <c r="A1803" s="76" t="s">
        <v>27</v>
      </c>
      <c r="B1803" s="77"/>
      <c r="C1803" s="78"/>
      <c r="D1803" s="79" t="s">
        <v>36</v>
      </c>
      <c r="E1803" s="80"/>
      <c r="F1803" s="48" t="s">
        <v>30</v>
      </c>
      <c r="G1803" s="48">
        <v>3.81</v>
      </c>
      <c r="H1803" s="81" t="s">
        <v>26</v>
      </c>
      <c r="I1803" s="82"/>
      <c r="J1803" s="50">
        <v>38</v>
      </c>
    </row>
    <row r="1804" spans="1:17" x14ac:dyDescent="0.2">
      <c r="A1804" s="83"/>
      <c r="B1804" s="84"/>
      <c r="C1804" s="51" t="s">
        <v>29</v>
      </c>
      <c r="D1804" s="51" t="s">
        <v>19</v>
      </c>
      <c r="E1804" s="51" t="s">
        <v>15</v>
      </c>
      <c r="F1804" s="51" t="s">
        <v>18</v>
      </c>
      <c r="G1804" s="51" t="s">
        <v>17</v>
      </c>
      <c r="H1804" s="48" t="s">
        <v>28</v>
      </c>
      <c r="I1804" s="48" t="s">
        <v>16</v>
      </c>
      <c r="J1804" s="52" t="s">
        <v>23</v>
      </c>
    </row>
    <row r="1805" spans="1:17" x14ac:dyDescent="0.2">
      <c r="A1805" s="86" t="s">
        <v>3</v>
      </c>
      <c r="B1805" s="53" t="s">
        <v>20</v>
      </c>
      <c r="C1805" s="88">
        <v>10</v>
      </c>
      <c r="D1805" s="54"/>
      <c r="E1805" s="54">
        <v>1.73</v>
      </c>
      <c r="F1805" s="54">
        <v>3.0939999999999999</v>
      </c>
      <c r="G1805" s="54">
        <v>4.3949999999999996</v>
      </c>
      <c r="H1805" s="54">
        <v>0.13865546000000001</v>
      </c>
      <c r="I1805" s="54">
        <v>0</v>
      </c>
      <c r="J1805" s="55">
        <v>0</v>
      </c>
      <c r="L1805">
        <f>(G1805+G1806+G1807)/3</f>
        <v>4.559333333333333</v>
      </c>
      <c r="M1805">
        <f>(F1805+F1806+F1807)/3</f>
        <v>3.2903333333333333</v>
      </c>
      <c r="N1805">
        <f>(L1805-M1805)/M1805</f>
        <v>0.38567521021173123</v>
      </c>
      <c r="O1805">
        <f>(D1806/(1+N1805))</f>
        <v>255.47112150899258</v>
      </c>
      <c r="P1805">
        <f>PI()*$G$3^2*C1805</f>
        <v>456.03673118774793</v>
      </c>
      <c r="Q1805">
        <f>O1805/P1805</f>
        <v>0.56019856304911642</v>
      </c>
    </row>
    <row r="1806" spans="1:17" x14ac:dyDescent="0.2">
      <c r="A1806" s="85"/>
      <c r="B1806" s="53" t="s">
        <v>21</v>
      </c>
      <c r="C1806" s="89"/>
      <c r="D1806" s="48">
        <v>354</v>
      </c>
      <c r="E1806" s="48">
        <v>1.7270000000000001</v>
      </c>
      <c r="F1806" s="48">
        <v>3.1579999999999999</v>
      </c>
      <c r="G1806" s="48">
        <v>4.4329999999999998</v>
      </c>
      <c r="H1806" s="48">
        <v>0.14312855999999999</v>
      </c>
      <c r="I1806" s="48">
        <v>303.33248889999999</v>
      </c>
      <c r="J1806" s="52" t="e">
        <v>#DIV/0!</v>
      </c>
    </row>
    <row r="1807" spans="1:17" x14ac:dyDescent="0.2">
      <c r="A1807" s="87"/>
      <c r="B1807" s="56" t="s">
        <v>22</v>
      </c>
      <c r="C1807" s="90"/>
      <c r="D1807" s="57"/>
      <c r="E1807" s="57">
        <v>1.7310000000000001</v>
      </c>
      <c r="F1807" s="57">
        <v>3.6190000000000002</v>
      </c>
      <c r="G1807" s="57">
        <v>4.8499999999999996</v>
      </c>
      <c r="H1807" s="57">
        <v>0.13815970999999999</v>
      </c>
      <c r="I1807" s="57">
        <v>0</v>
      </c>
      <c r="J1807" s="49" t="e">
        <v>#DIV/0!</v>
      </c>
    </row>
    <row r="1808" spans="1:17" x14ac:dyDescent="0.2">
      <c r="A1808" s="91" t="s">
        <v>4</v>
      </c>
      <c r="B1808" s="53" t="s">
        <v>20</v>
      </c>
      <c r="C1808" s="92">
        <v>10</v>
      </c>
      <c r="D1808" s="48"/>
      <c r="E1808" s="48">
        <v>1.736</v>
      </c>
      <c r="F1808" s="48">
        <v>3.431</v>
      </c>
      <c r="G1808" s="48">
        <v>4.7149999999999999</v>
      </c>
      <c r="H1808" s="48">
        <v>0.13174002000000001</v>
      </c>
      <c r="I1808" s="48">
        <v>0</v>
      </c>
      <c r="J1808" s="52">
        <v>0</v>
      </c>
      <c r="L1808">
        <f>(G1808+G1809+G1810)/3</f>
        <v>4.5150000000000006</v>
      </c>
      <c r="M1808">
        <f>(F1808+F1809+F1810)/3</f>
        <v>3.170666666666667</v>
      </c>
      <c r="N1808">
        <f>(L1808-M1808)/M1808</f>
        <v>0.42399074852817498</v>
      </c>
      <c r="O1808">
        <f>(D1809/(1+N1808))</f>
        <v>488.0649686231082</v>
      </c>
      <c r="P1808">
        <f>PI()*$G$3^2*C1808</f>
        <v>456.03673118774793</v>
      </c>
      <c r="Q1808">
        <f>O1808/P1808</f>
        <v>1.0702317055732391</v>
      </c>
    </row>
    <row r="1809" spans="1:17" x14ac:dyDescent="0.2">
      <c r="A1809" s="85"/>
      <c r="B1809" s="53" t="s">
        <v>21</v>
      </c>
      <c r="C1809" s="89"/>
      <c r="D1809" s="48">
        <v>695</v>
      </c>
      <c r="E1809" s="48">
        <v>1.7310000000000001</v>
      </c>
      <c r="F1809" s="48">
        <v>3.0430000000000001</v>
      </c>
      <c r="G1809" s="48">
        <v>4.4539999999999997</v>
      </c>
      <c r="H1809" s="48">
        <v>0.10515938</v>
      </c>
      <c r="I1809" s="48">
        <v>621.91422939999995</v>
      </c>
      <c r="J1809" s="52" t="e">
        <v>#DIV/0!</v>
      </c>
    </row>
    <row r="1810" spans="1:17" x14ac:dyDescent="0.2">
      <c r="A1810" s="87"/>
      <c r="B1810" s="56" t="s">
        <v>22</v>
      </c>
      <c r="C1810" s="90"/>
      <c r="D1810" s="57"/>
      <c r="E1810" s="57">
        <v>1.7130000000000001</v>
      </c>
      <c r="F1810" s="57">
        <v>3.0379999999999998</v>
      </c>
      <c r="G1810" s="57">
        <v>4.3760000000000003</v>
      </c>
      <c r="H1810" s="57">
        <v>0.12343647000000001</v>
      </c>
      <c r="I1810" s="57">
        <v>0</v>
      </c>
      <c r="J1810" s="49" t="e">
        <v>#DIV/0!</v>
      </c>
    </row>
    <row r="1811" spans="1:17" x14ac:dyDescent="0.2">
      <c r="A1811" s="91" t="s">
        <v>5</v>
      </c>
      <c r="B1811" s="53" t="s">
        <v>20</v>
      </c>
      <c r="C1811" s="92">
        <v>10</v>
      </c>
      <c r="D1811" s="48"/>
      <c r="E1811" s="48">
        <v>1.7470000000000001</v>
      </c>
      <c r="F1811" s="48">
        <v>3.089</v>
      </c>
      <c r="G1811" s="48">
        <v>4.5720000000000001</v>
      </c>
      <c r="H1811" s="48">
        <v>8.546455E-2</v>
      </c>
      <c r="I1811" s="48">
        <v>0</v>
      </c>
      <c r="J1811" s="52">
        <v>0</v>
      </c>
      <c r="L1811">
        <f>(G1811+G1812+G1813)/3</f>
        <v>4.6726666666666672</v>
      </c>
      <c r="M1811">
        <f>(F1811+F1812+F1813)/3</f>
        <v>3.218666666666667</v>
      </c>
      <c r="N1811">
        <f>(L1811-M1811)/M1811</f>
        <v>0.45173985086992546</v>
      </c>
      <c r="O1811">
        <f>(D1812/(1+N1811))</f>
        <v>592.39263803680979</v>
      </c>
      <c r="P1811">
        <f>PI()*$G$3^2*C1811</f>
        <v>456.03673118774793</v>
      </c>
      <c r="Q1811">
        <f>O1811/P1811</f>
        <v>1.2990020266436058</v>
      </c>
    </row>
    <row r="1812" spans="1:17" x14ac:dyDescent="0.2">
      <c r="A1812" s="85"/>
      <c r="B1812" s="53" t="s">
        <v>21</v>
      </c>
      <c r="C1812" s="89"/>
      <c r="D1812" s="48">
        <v>860</v>
      </c>
      <c r="E1812" s="48">
        <v>1.716</v>
      </c>
      <c r="F1812" s="48">
        <v>3.3109999999999999</v>
      </c>
      <c r="G1812" s="48">
        <v>4.8280000000000003</v>
      </c>
      <c r="H1812" s="48">
        <v>6.010269E-2</v>
      </c>
      <c r="I1812" s="48">
        <v>808.31168830000001</v>
      </c>
      <c r="J1812" s="52" t="e">
        <v>#DIV/0!</v>
      </c>
    </row>
    <row r="1813" spans="1:17" x14ac:dyDescent="0.2">
      <c r="A1813" s="87"/>
      <c r="B1813" s="56" t="s">
        <v>22</v>
      </c>
      <c r="C1813" s="90"/>
      <c r="D1813" s="57"/>
      <c r="E1813" s="57">
        <v>1.706</v>
      </c>
      <c r="F1813" s="57">
        <v>3.2559999999999998</v>
      </c>
      <c r="G1813" s="57">
        <v>4.6180000000000003</v>
      </c>
      <c r="H1813" s="57">
        <v>0.10565111000000001</v>
      </c>
      <c r="I1813" s="57">
        <v>0</v>
      </c>
      <c r="J1813" s="49" t="e">
        <v>#DIV/0!</v>
      </c>
    </row>
    <row r="1814" spans="1:17" x14ac:dyDescent="0.2">
      <c r="A1814" s="91" t="s">
        <v>6</v>
      </c>
      <c r="B1814" s="53" t="s">
        <v>20</v>
      </c>
      <c r="C1814" s="92">
        <v>10</v>
      </c>
      <c r="D1814" s="48"/>
      <c r="E1814" s="48">
        <v>1.7170000000000001</v>
      </c>
      <c r="F1814" s="48">
        <v>3.8109999999999999</v>
      </c>
      <c r="G1814" s="48">
        <v>5.3010000000000002</v>
      </c>
      <c r="H1814" s="48">
        <v>5.956442E-2</v>
      </c>
      <c r="I1814" s="48">
        <v>0</v>
      </c>
      <c r="J1814" s="52">
        <v>0</v>
      </c>
      <c r="L1814">
        <f>(G1814+G1815+G1816)/3</f>
        <v>5.1146666666666674</v>
      </c>
      <c r="M1814">
        <f>(F1814+F1815+F1816)/3</f>
        <v>3.6843333333333335</v>
      </c>
      <c r="N1814">
        <f>(L1814-M1814)/M1814</f>
        <v>0.38822039265357833</v>
      </c>
      <c r="O1814">
        <f>(D1815/(1+N1814))</f>
        <v>602.93020072992692</v>
      </c>
      <c r="P1814">
        <f>PI()*$G$3^2*C1814</f>
        <v>456.03673118774793</v>
      </c>
      <c r="Q1814">
        <f>O1814/P1814</f>
        <v>1.322108855485379</v>
      </c>
    </row>
    <row r="1815" spans="1:17" x14ac:dyDescent="0.2">
      <c r="A1815" s="85"/>
      <c r="B1815" s="53" t="s">
        <v>21</v>
      </c>
      <c r="C1815" s="89"/>
      <c r="D1815" s="48">
        <v>837</v>
      </c>
      <c r="E1815" s="48">
        <v>1.74</v>
      </c>
      <c r="F1815" s="48">
        <v>3.3220000000000001</v>
      </c>
      <c r="G1815" s="48">
        <v>4.67</v>
      </c>
      <c r="H1815" s="48">
        <v>0.1180012</v>
      </c>
      <c r="I1815" s="48">
        <v>738.23299220000001</v>
      </c>
      <c r="J1815" s="52" t="e">
        <v>#DIV/0!</v>
      </c>
    </row>
    <row r="1816" spans="1:17" x14ac:dyDescent="0.2">
      <c r="A1816" s="87"/>
      <c r="B1816" s="56" t="s">
        <v>22</v>
      </c>
      <c r="C1816" s="90"/>
      <c r="D1816" s="57"/>
      <c r="E1816" s="57">
        <v>1.7170000000000001</v>
      </c>
      <c r="F1816" s="57">
        <v>3.92</v>
      </c>
      <c r="G1816" s="57">
        <v>5.3730000000000002</v>
      </c>
      <c r="H1816" s="57">
        <v>6.7346939999999994E-2</v>
      </c>
      <c r="I1816" s="57">
        <v>0</v>
      </c>
      <c r="J1816" s="49" t="e">
        <v>#DIV/0!</v>
      </c>
    </row>
    <row r="1817" spans="1:17" x14ac:dyDescent="0.2">
      <c r="A1817" s="91" t="s">
        <v>7</v>
      </c>
      <c r="B1817" s="53" t="s">
        <v>20</v>
      </c>
      <c r="C1817" s="92">
        <v>10</v>
      </c>
      <c r="D1817" s="48"/>
      <c r="E1817" s="48">
        <v>1.7210000000000001</v>
      </c>
      <c r="F1817" s="48">
        <v>3.8839999999999999</v>
      </c>
      <c r="G1817" s="48">
        <v>5.37</v>
      </c>
      <c r="H1817" s="48">
        <v>6.0504629999999997E-2</v>
      </c>
      <c r="I1817" s="48">
        <v>0</v>
      </c>
      <c r="J1817" s="52">
        <v>0</v>
      </c>
      <c r="L1817">
        <f>(G1817+G1818+G1819)/3</f>
        <v>4.9340000000000002</v>
      </c>
      <c r="M1817">
        <f>(F1817+F1818+F1819)/3</f>
        <v>3.4113333333333333</v>
      </c>
      <c r="N1817">
        <f>(L1817-M1817)/M1817</f>
        <v>0.44635528630056681</v>
      </c>
      <c r="O1817">
        <f>(D1818/(1+N1817))</f>
        <v>580.07877313876497</v>
      </c>
      <c r="P1817">
        <f>PI()*$G$3^2*C1817</f>
        <v>456.03673118774793</v>
      </c>
      <c r="Q1817">
        <f>O1817/P1817</f>
        <v>1.2720001119820974</v>
      </c>
    </row>
    <row r="1818" spans="1:17" x14ac:dyDescent="0.2">
      <c r="A1818" s="85"/>
      <c r="B1818" s="53" t="s">
        <v>21</v>
      </c>
      <c r="C1818" s="89"/>
      <c r="D1818" s="48">
        <v>839</v>
      </c>
      <c r="E1818" s="48">
        <v>1.728</v>
      </c>
      <c r="F1818" s="48">
        <v>3.1230000000000002</v>
      </c>
      <c r="G1818" s="48">
        <v>4.6459999999999999</v>
      </c>
      <c r="H1818" s="48">
        <v>6.5642010000000001E-2</v>
      </c>
      <c r="I1818" s="48">
        <v>783.92635289999998</v>
      </c>
      <c r="J1818" s="52" t="e">
        <v>#DIV/0!</v>
      </c>
    </row>
    <row r="1819" spans="1:17" x14ac:dyDescent="0.2">
      <c r="A1819" s="87"/>
      <c r="B1819" s="56" t="s">
        <v>22</v>
      </c>
      <c r="C1819" s="90"/>
      <c r="D1819" s="57"/>
      <c r="E1819" s="57">
        <v>1.716</v>
      </c>
      <c r="F1819" s="57">
        <v>3.2269999999999999</v>
      </c>
      <c r="G1819" s="57">
        <v>4.7859999999999996</v>
      </c>
      <c r="H1819" s="57">
        <v>4.8652000000000001E-2</v>
      </c>
      <c r="I1819" s="57">
        <v>0</v>
      </c>
      <c r="J1819" s="49" t="e">
        <v>#DIV/0!</v>
      </c>
    </row>
    <row r="1820" spans="1:17" x14ac:dyDescent="0.2">
      <c r="A1820" s="91" t="s">
        <v>8</v>
      </c>
      <c r="B1820" s="53" t="s">
        <v>20</v>
      </c>
      <c r="C1820" s="92">
        <v>10</v>
      </c>
      <c r="D1820" s="48"/>
      <c r="E1820" s="48">
        <v>1.748</v>
      </c>
      <c r="F1820" s="48">
        <v>3.944</v>
      </c>
      <c r="G1820" s="48">
        <v>5.4740000000000002</v>
      </c>
      <c r="H1820" s="48">
        <v>5.5273830000000003E-2</v>
      </c>
      <c r="I1820" s="48">
        <v>0</v>
      </c>
      <c r="J1820" s="52">
        <v>0</v>
      </c>
      <c r="L1820">
        <f>(G1820+G1821+G1822)/3</f>
        <v>5.1403333333333334</v>
      </c>
      <c r="M1820">
        <f>(F1820+F1821+F1822)/3</f>
        <v>3.6126666666666662</v>
      </c>
      <c r="N1820">
        <f>(L1820-M1820)/M1820</f>
        <v>0.42286399704742589</v>
      </c>
      <c r="O1820">
        <f>(D1821/(1+N1820))</f>
        <v>647.28603851890273</v>
      </c>
      <c r="P1820">
        <f>PI()*$G$3^2*C1820</f>
        <v>456.03673118774793</v>
      </c>
      <c r="Q1820">
        <f>O1820/P1820</f>
        <v>1.4193725949070941</v>
      </c>
    </row>
    <row r="1821" spans="1:17" x14ac:dyDescent="0.2">
      <c r="A1821" s="85"/>
      <c r="B1821" s="53" t="s">
        <v>21</v>
      </c>
      <c r="C1821" s="89"/>
      <c r="D1821" s="48">
        <v>921</v>
      </c>
      <c r="E1821" s="48">
        <v>1.716</v>
      </c>
      <c r="F1821" s="48">
        <v>3.1379999999999999</v>
      </c>
      <c r="G1821" s="48">
        <v>4.6870000000000003</v>
      </c>
      <c r="H1821" s="48">
        <v>5.321861E-2</v>
      </c>
      <c r="I1821" s="48">
        <v>871.98565970000004</v>
      </c>
      <c r="J1821" s="52" t="e">
        <v>#DIV/0!</v>
      </c>
    </row>
    <row r="1822" spans="1:17" x14ac:dyDescent="0.2">
      <c r="A1822" s="87"/>
      <c r="B1822" s="56" t="s">
        <v>22</v>
      </c>
      <c r="C1822" s="90"/>
      <c r="D1822" s="57"/>
      <c r="E1822" s="57">
        <v>1.712</v>
      </c>
      <c r="F1822" s="57">
        <v>3.7559999999999998</v>
      </c>
      <c r="G1822" s="57">
        <v>5.26</v>
      </c>
      <c r="H1822" s="57">
        <v>5.537806E-2</v>
      </c>
      <c r="I1822" s="57">
        <v>0</v>
      </c>
      <c r="J1822" s="49" t="e">
        <v>#DIV/0!</v>
      </c>
    </row>
    <row r="1823" spans="1:17" x14ac:dyDescent="0.2">
      <c r="A1823" s="91" t="s">
        <v>9</v>
      </c>
      <c r="B1823" s="53" t="s">
        <v>20</v>
      </c>
      <c r="C1823" s="92">
        <v>10</v>
      </c>
      <c r="D1823" s="48"/>
      <c r="E1823" s="48">
        <v>1.7150000000000001</v>
      </c>
      <c r="F1823" s="48">
        <v>3.6190000000000002</v>
      </c>
      <c r="G1823" s="48">
        <v>4.7699999999999996</v>
      </c>
      <c r="H1823" s="48">
        <v>0.15584416000000001</v>
      </c>
      <c r="I1823" s="48">
        <v>0</v>
      </c>
      <c r="J1823" s="52">
        <v>0</v>
      </c>
      <c r="L1823">
        <f>(G1823+G1824+G1825)/3</f>
        <v>4.5409999999999995</v>
      </c>
      <c r="M1823">
        <f>(F1823+F1824+F1825)/3</f>
        <v>3.3693333333333335</v>
      </c>
      <c r="N1823">
        <f>(L1823-M1823)/M1823</f>
        <v>0.34774436090225541</v>
      </c>
      <c r="O1823">
        <f>(D1824/(1+N1823))</f>
        <v>864.4072524407253</v>
      </c>
      <c r="P1823">
        <f>PI()*$G$3^2*C1823</f>
        <v>456.03673118774793</v>
      </c>
      <c r="Q1823">
        <f>O1823/P1823</f>
        <v>1.8954772572581513</v>
      </c>
    </row>
    <row r="1824" spans="1:17" x14ac:dyDescent="0.2">
      <c r="A1824" s="85"/>
      <c r="B1824" s="53" t="s">
        <v>21</v>
      </c>
      <c r="C1824" s="89"/>
      <c r="D1824" s="48">
        <v>1165</v>
      </c>
      <c r="E1824" s="48">
        <v>1.736</v>
      </c>
      <c r="F1824" s="48">
        <v>3.1070000000000002</v>
      </c>
      <c r="G1824" s="48">
        <v>4.3049999999999997</v>
      </c>
      <c r="H1824" s="48">
        <v>0.17315738999999999</v>
      </c>
      <c r="I1824" s="48">
        <v>963.27164470000002</v>
      </c>
      <c r="J1824" s="52" t="e">
        <v>#DIV/0!</v>
      </c>
    </row>
    <row r="1825" spans="1:17" x14ac:dyDescent="0.2">
      <c r="A1825" s="87"/>
      <c r="B1825" s="56" t="s">
        <v>22</v>
      </c>
      <c r="C1825" s="90"/>
      <c r="D1825" s="57"/>
      <c r="E1825" s="57">
        <v>1.738</v>
      </c>
      <c r="F1825" s="57">
        <v>3.3820000000000001</v>
      </c>
      <c r="G1825" s="57">
        <v>4.548</v>
      </c>
      <c r="H1825" s="57">
        <v>0.16913069</v>
      </c>
      <c r="I1825" s="57">
        <v>0</v>
      </c>
      <c r="J1825" s="49" t="e">
        <v>#DIV/0!</v>
      </c>
    </row>
    <row r="1826" spans="1:17" x14ac:dyDescent="0.2">
      <c r="A1826" s="91" t="s">
        <v>10</v>
      </c>
      <c r="B1826" s="53" t="s">
        <v>20</v>
      </c>
      <c r="C1826" s="92">
        <v>10</v>
      </c>
      <c r="D1826" s="48"/>
      <c r="E1826" s="48">
        <v>1.7290000000000001</v>
      </c>
      <c r="F1826" s="48">
        <v>3.359</v>
      </c>
      <c r="G1826" s="48">
        <v>4.6379999999999999</v>
      </c>
      <c r="H1826" s="48">
        <v>0.13396843999999999</v>
      </c>
      <c r="I1826" s="48">
        <v>0</v>
      </c>
      <c r="J1826" s="52">
        <v>0</v>
      </c>
      <c r="L1826">
        <f>(G1826+G1827+G1828)/3</f>
        <v>4.4923333333333337</v>
      </c>
      <c r="M1826">
        <f>(F1826+F1827+F1828)/3</f>
        <v>3.3369999999999997</v>
      </c>
      <c r="N1826">
        <f>(L1826-M1826)/M1826</f>
        <v>0.34621915892518251</v>
      </c>
      <c r="O1826">
        <f>(D1827/(1+N1826))</f>
        <v>739.84981820880012</v>
      </c>
      <c r="P1826">
        <f>PI()*$G$3^2*C1826</f>
        <v>456.03673118774793</v>
      </c>
      <c r="Q1826">
        <f>O1826/P1826</f>
        <v>1.6223469900809544</v>
      </c>
    </row>
    <row r="1827" spans="1:17" x14ac:dyDescent="0.2">
      <c r="A1827" s="85"/>
      <c r="B1827" s="53" t="s">
        <v>21</v>
      </c>
      <c r="C1827" s="89"/>
      <c r="D1827" s="48">
        <v>996</v>
      </c>
      <c r="E1827" s="48">
        <v>1.718</v>
      </c>
      <c r="F1827" s="48">
        <v>3.4169999999999998</v>
      </c>
      <c r="G1827" s="48">
        <v>4.444</v>
      </c>
      <c r="H1827" s="48">
        <v>0.20222417000000001</v>
      </c>
      <c r="I1827" s="48">
        <v>794.58472340000003</v>
      </c>
      <c r="J1827" s="52" t="e">
        <v>#DIV/0!</v>
      </c>
    </row>
    <row r="1828" spans="1:17" x14ac:dyDescent="0.2">
      <c r="A1828" s="87"/>
      <c r="B1828" s="56" t="s">
        <v>22</v>
      </c>
      <c r="C1828" s="90"/>
      <c r="D1828" s="57"/>
      <c r="E1828" s="57">
        <v>1.7230000000000001</v>
      </c>
      <c r="F1828" s="57">
        <v>3.2349999999999999</v>
      </c>
      <c r="G1828" s="57">
        <v>4.3949999999999996</v>
      </c>
      <c r="H1828" s="57">
        <v>0.17403399999999999</v>
      </c>
      <c r="I1828" s="57">
        <v>0</v>
      </c>
      <c r="J1828" s="49" t="e">
        <v>#DIV/0!</v>
      </c>
    </row>
    <row r="1829" spans="1:17" x14ac:dyDescent="0.2">
      <c r="A1829" s="91" t="s">
        <v>11</v>
      </c>
      <c r="B1829" s="53" t="s">
        <v>20</v>
      </c>
      <c r="C1829" s="92">
        <v>10</v>
      </c>
      <c r="D1829" s="48"/>
      <c r="E1829" s="48"/>
      <c r="F1829" s="48"/>
      <c r="G1829" s="48"/>
      <c r="H1829" s="48" t="e">
        <v>#DIV/0!</v>
      </c>
      <c r="I1829" s="48" t="e">
        <v>#DIV/0!</v>
      </c>
      <c r="J1829" s="52" t="e">
        <v>#DIV/0!</v>
      </c>
    </row>
    <row r="1830" spans="1:17" x14ac:dyDescent="0.2">
      <c r="A1830" s="85"/>
      <c r="B1830" s="53" t="s">
        <v>21</v>
      </c>
      <c r="C1830" s="89"/>
      <c r="D1830" s="48"/>
      <c r="E1830" s="48"/>
      <c r="F1830" s="48"/>
      <c r="G1830" s="48"/>
      <c r="H1830" s="48" t="e">
        <v>#DIV/0!</v>
      </c>
      <c r="I1830" s="48" t="e">
        <v>#DIV/0!</v>
      </c>
      <c r="J1830" s="52" t="e">
        <v>#DIV/0!</v>
      </c>
    </row>
    <row r="1831" spans="1:17" x14ac:dyDescent="0.2">
      <c r="A1831" s="87"/>
      <c r="B1831" s="56" t="s">
        <v>22</v>
      </c>
      <c r="C1831" s="90"/>
      <c r="D1831" s="57"/>
      <c r="E1831" s="57"/>
      <c r="F1831" s="57"/>
      <c r="G1831" s="57"/>
      <c r="H1831" s="57" t="e">
        <v>#DIV/0!</v>
      </c>
      <c r="I1831" s="57" t="e">
        <v>#DIV/0!</v>
      </c>
      <c r="J1831" s="49" t="e">
        <v>#DIV/0!</v>
      </c>
    </row>
    <row r="1832" spans="1:17" x14ac:dyDescent="0.2">
      <c r="A1832" s="91" t="s">
        <v>12</v>
      </c>
      <c r="B1832" s="53" t="s">
        <v>20</v>
      </c>
      <c r="C1832" s="92">
        <v>10</v>
      </c>
      <c r="D1832" s="48"/>
      <c r="E1832" s="48"/>
      <c r="F1832" s="48"/>
      <c r="G1832" s="48"/>
      <c r="H1832" s="48" t="e">
        <v>#DIV/0!</v>
      </c>
      <c r="I1832" s="48" t="e">
        <v>#DIV/0!</v>
      </c>
      <c r="J1832" s="52" t="e">
        <v>#DIV/0!</v>
      </c>
    </row>
    <row r="1833" spans="1:17" x14ac:dyDescent="0.2">
      <c r="A1833" s="85"/>
      <c r="B1833" s="53" t="s">
        <v>21</v>
      </c>
      <c r="C1833" s="89"/>
      <c r="D1833" s="48"/>
      <c r="E1833" s="48"/>
      <c r="F1833" s="48"/>
      <c r="G1833" s="48"/>
      <c r="H1833" s="48" t="e">
        <v>#DIV/0!</v>
      </c>
      <c r="I1833" s="48" t="e">
        <v>#DIV/0!</v>
      </c>
      <c r="J1833" s="52" t="e">
        <v>#DIV/0!</v>
      </c>
    </row>
    <row r="1834" spans="1:17" x14ac:dyDescent="0.2">
      <c r="A1834" s="87"/>
      <c r="B1834" s="56" t="s">
        <v>22</v>
      </c>
      <c r="C1834" s="90"/>
      <c r="D1834" s="57"/>
      <c r="E1834" s="57"/>
      <c r="F1834" s="57"/>
      <c r="G1834" s="57"/>
      <c r="H1834" s="57" t="e">
        <v>#DIV/0!</v>
      </c>
      <c r="I1834" s="57" t="e">
        <v>#DIV/0!</v>
      </c>
      <c r="J1834" s="49" t="e">
        <v>#DIV/0!</v>
      </c>
    </row>
    <row r="1835" spans="1:17" x14ac:dyDescent="0.2">
      <c r="A1835" s="91" t="s">
        <v>13</v>
      </c>
      <c r="B1835" s="53" t="s">
        <v>20</v>
      </c>
      <c r="C1835" s="92">
        <v>10</v>
      </c>
      <c r="D1835" s="48"/>
      <c r="E1835" s="48"/>
      <c r="F1835" s="48"/>
      <c r="G1835" s="48"/>
      <c r="H1835" s="48" t="e">
        <v>#DIV/0!</v>
      </c>
      <c r="I1835" s="48" t="e">
        <v>#DIV/0!</v>
      </c>
      <c r="J1835" s="52" t="e">
        <v>#DIV/0!</v>
      </c>
    </row>
    <row r="1836" spans="1:17" x14ac:dyDescent="0.2">
      <c r="A1836" s="85"/>
      <c r="B1836" s="53" t="s">
        <v>21</v>
      </c>
      <c r="C1836" s="89"/>
      <c r="D1836" s="48"/>
      <c r="E1836" s="48"/>
      <c r="F1836" s="48"/>
      <c r="G1836" s="48"/>
      <c r="H1836" s="48" t="e">
        <v>#DIV/0!</v>
      </c>
      <c r="I1836" s="48" t="e">
        <v>#DIV/0!</v>
      </c>
      <c r="J1836" s="52" t="e">
        <v>#DIV/0!</v>
      </c>
    </row>
    <row r="1837" spans="1:17" x14ac:dyDescent="0.2">
      <c r="A1837" s="87"/>
      <c r="B1837" s="56" t="s">
        <v>22</v>
      </c>
      <c r="C1837" s="90"/>
      <c r="D1837" s="57"/>
      <c r="E1837" s="57"/>
      <c r="F1837" s="57"/>
      <c r="G1837" s="57"/>
      <c r="H1837" s="57" t="e">
        <v>#DIV/0!</v>
      </c>
      <c r="I1837" s="57" t="e">
        <v>#DIV/0!</v>
      </c>
      <c r="J1837" s="49" t="e">
        <v>#DIV/0!</v>
      </c>
    </row>
    <row r="1838" spans="1:17" x14ac:dyDescent="0.2">
      <c r="A1838" s="91" t="s">
        <v>14</v>
      </c>
      <c r="B1838" s="53" t="s">
        <v>20</v>
      </c>
      <c r="C1838" s="92">
        <v>10</v>
      </c>
      <c r="D1838" s="48"/>
      <c r="E1838" s="48"/>
      <c r="F1838" s="48"/>
      <c r="G1838" s="48"/>
      <c r="H1838" s="48" t="e">
        <v>#DIV/0!</v>
      </c>
      <c r="I1838" s="48" t="e">
        <v>#DIV/0!</v>
      </c>
      <c r="J1838" s="52" t="e">
        <v>#DIV/0!</v>
      </c>
    </row>
    <row r="1839" spans="1:17" x14ac:dyDescent="0.2">
      <c r="A1839" s="85"/>
      <c r="B1839" s="53" t="s">
        <v>21</v>
      </c>
      <c r="C1839" s="89"/>
      <c r="D1839" s="48"/>
      <c r="E1839" s="48"/>
      <c r="F1839" s="48"/>
      <c r="G1839" s="48"/>
      <c r="H1839" s="48" t="e">
        <v>#DIV/0!</v>
      </c>
      <c r="I1839" s="48" t="e">
        <v>#DIV/0!</v>
      </c>
      <c r="J1839" s="52" t="e">
        <v>#DIV/0!</v>
      </c>
    </row>
    <row r="1840" spans="1:17" ht="16" thickBot="1" x14ac:dyDescent="0.25">
      <c r="A1840" s="93"/>
      <c r="B1840" s="58" t="s">
        <v>22</v>
      </c>
      <c r="C1840" s="94"/>
      <c r="D1840" s="59"/>
      <c r="E1840" s="59"/>
      <c r="F1840" s="59"/>
      <c r="G1840" s="59"/>
      <c r="H1840" s="59" t="e">
        <v>#DIV/0!</v>
      </c>
      <c r="I1840" s="59" t="e">
        <v>#DIV/0!</v>
      </c>
      <c r="J1840" s="50" t="e">
        <v>#DIV/0!</v>
      </c>
    </row>
    <row r="1841" spans="1:10" ht="16" thickBot="1" x14ac:dyDescent="0.25">
      <c r="A1841" s="60" t="s">
        <v>1</v>
      </c>
      <c r="B1841" s="61"/>
      <c r="C1841" s="62"/>
      <c r="D1841" s="63" t="s">
        <v>55</v>
      </c>
      <c r="E1841" s="64"/>
      <c r="F1841" s="58" t="s">
        <v>0</v>
      </c>
      <c r="G1841" s="18">
        <v>44157</v>
      </c>
      <c r="H1841" s="65" t="s">
        <v>24</v>
      </c>
      <c r="I1841" s="66"/>
      <c r="J1841" s="49">
        <v>110</v>
      </c>
    </row>
    <row r="1842" spans="1:10" ht="16" thickBot="1" x14ac:dyDescent="0.25">
      <c r="A1842" s="67" t="s">
        <v>2</v>
      </c>
      <c r="B1842" s="68"/>
      <c r="C1842" s="69"/>
      <c r="D1842" s="70"/>
      <c r="E1842" s="71"/>
      <c r="F1842" s="72"/>
      <c r="G1842" s="73"/>
      <c r="H1842" s="74" t="s">
        <v>25</v>
      </c>
      <c r="I1842" s="75"/>
      <c r="J1842" s="49">
        <v>28</v>
      </c>
    </row>
    <row r="1843" spans="1:10" ht="16" thickBot="1" x14ac:dyDescent="0.25">
      <c r="A1843" s="76" t="s">
        <v>27</v>
      </c>
      <c r="B1843" s="77"/>
      <c r="C1843" s="78"/>
      <c r="D1843" s="79" t="s">
        <v>36</v>
      </c>
      <c r="E1843" s="80"/>
      <c r="F1843" s="48" t="s">
        <v>30</v>
      </c>
      <c r="G1843" s="48">
        <v>3.81</v>
      </c>
      <c r="H1843" s="81" t="s">
        <v>26</v>
      </c>
      <c r="I1843" s="82"/>
      <c r="J1843" s="50">
        <v>51</v>
      </c>
    </row>
    <row r="1844" spans="1:10" x14ac:dyDescent="0.2">
      <c r="A1844" s="83"/>
      <c r="B1844" s="84"/>
      <c r="C1844" s="51" t="s">
        <v>29</v>
      </c>
      <c r="D1844" s="51" t="s">
        <v>19</v>
      </c>
      <c r="E1844" s="51" t="s">
        <v>15</v>
      </c>
      <c r="F1844" s="51" t="s">
        <v>18</v>
      </c>
      <c r="G1844" s="51" t="s">
        <v>17</v>
      </c>
      <c r="H1844" s="48" t="s">
        <v>28</v>
      </c>
      <c r="I1844" s="48" t="s">
        <v>16</v>
      </c>
      <c r="J1844" s="52" t="s">
        <v>23</v>
      </c>
    </row>
    <row r="1845" spans="1:10" x14ac:dyDescent="0.2">
      <c r="A1845" s="86" t="s">
        <v>3</v>
      </c>
      <c r="B1845" s="53" t="s">
        <v>20</v>
      </c>
      <c r="C1845" s="88">
        <v>10</v>
      </c>
      <c r="D1845" s="54"/>
      <c r="E1845" s="54">
        <v>2.4089999999999998</v>
      </c>
      <c r="F1845" s="54">
        <v>3.7959999999999998</v>
      </c>
      <c r="G1845" s="54">
        <v>5.2149999999999999</v>
      </c>
      <c r="H1845" s="54">
        <v>0.26080083999999998</v>
      </c>
      <c r="I1845" s="54">
        <v>0</v>
      </c>
      <c r="J1845" s="55">
        <v>0</v>
      </c>
    </row>
    <row r="1846" spans="1:10" x14ac:dyDescent="0.2">
      <c r="A1846" s="85"/>
      <c r="B1846" s="53" t="s">
        <v>21</v>
      </c>
      <c r="C1846" s="89"/>
      <c r="D1846" s="48">
        <v>590</v>
      </c>
      <c r="E1846" s="48">
        <v>2.4079999999999999</v>
      </c>
      <c r="F1846" s="48">
        <v>3.722</v>
      </c>
      <c r="G1846" s="48">
        <v>5.28</v>
      </c>
      <c r="H1846" s="48">
        <v>0.22837183999999999</v>
      </c>
      <c r="I1846" s="48">
        <v>455.2606126</v>
      </c>
      <c r="J1846" s="52" t="e">
        <v>#DIV/0!</v>
      </c>
    </row>
    <row r="1847" spans="1:10" x14ac:dyDescent="0.2">
      <c r="A1847" s="87"/>
      <c r="B1847" s="56" t="s">
        <v>22</v>
      </c>
      <c r="C1847" s="90"/>
      <c r="D1847" s="57"/>
      <c r="E1847" s="57">
        <v>2.4300000000000002</v>
      </c>
      <c r="F1847" s="57">
        <v>3.806</v>
      </c>
      <c r="G1847" s="57">
        <v>5.31</v>
      </c>
      <c r="H1847" s="57">
        <v>0.24330004999999999</v>
      </c>
      <c r="I1847" s="57">
        <v>0</v>
      </c>
      <c r="J1847" s="49" t="e">
        <v>#DIV/0!</v>
      </c>
    </row>
    <row r="1848" spans="1:10" x14ac:dyDescent="0.2">
      <c r="A1848" s="91" t="s">
        <v>4</v>
      </c>
      <c r="B1848" s="53" t="s">
        <v>20</v>
      </c>
      <c r="C1848" s="92">
        <v>10</v>
      </c>
      <c r="D1848" s="48"/>
      <c r="E1848" s="48">
        <v>2.4820000000000002</v>
      </c>
      <c r="F1848" s="48">
        <v>3.4670000000000001</v>
      </c>
      <c r="G1848" s="48">
        <v>5.1479999999999997</v>
      </c>
      <c r="H1848" s="48">
        <v>0.23103547999999999</v>
      </c>
      <c r="I1848" s="48">
        <v>0</v>
      </c>
      <c r="J1848" s="52">
        <v>0</v>
      </c>
    </row>
    <row r="1849" spans="1:10" x14ac:dyDescent="0.2">
      <c r="A1849" s="85"/>
      <c r="B1849" s="53" t="s">
        <v>21</v>
      </c>
      <c r="C1849" s="89"/>
      <c r="D1849" s="48">
        <v>644</v>
      </c>
      <c r="E1849" s="48">
        <v>2.4700000000000002</v>
      </c>
      <c r="F1849" s="48">
        <v>3.2530000000000001</v>
      </c>
      <c r="G1849" s="48">
        <v>5.0999999999999996</v>
      </c>
      <c r="H1849" s="48">
        <v>0.19151551999999999</v>
      </c>
      <c r="I1849" s="48">
        <v>520.66400250000004</v>
      </c>
      <c r="J1849" s="52" t="e">
        <v>#DIV/0!</v>
      </c>
    </row>
    <row r="1850" spans="1:10" x14ac:dyDescent="0.2">
      <c r="A1850" s="87"/>
      <c r="B1850" s="56" t="s">
        <v>22</v>
      </c>
      <c r="C1850" s="90"/>
      <c r="D1850" s="57"/>
      <c r="E1850" s="57">
        <v>2.4670000000000001</v>
      </c>
      <c r="F1850" s="57">
        <v>3.2690000000000001</v>
      </c>
      <c r="G1850" s="57">
        <v>5.0529999999999999</v>
      </c>
      <c r="H1850" s="57">
        <v>0.20893239999999999</v>
      </c>
      <c r="I1850" s="57">
        <v>0</v>
      </c>
      <c r="J1850" s="49" t="e">
        <v>#DIV/0!</v>
      </c>
    </row>
    <row r="1851" spans="1:10" x14ac:dyDescent="0.2">
      <c r="A1851" s="91" t="s">
        <v>5</v>
      </c>
      <c r="B1851" s="53" t="s">
        <v>20</v>
      </c>
      <c r="C1851" s="92">
        <v>10</v>
      </c>
      <c r="D1851" s="48"/>
      <c r="E1851" s="48">
        <v>2.4319999999999999</v>
      </c>
      <c r="F1851" s="48">
        <v>3.2229999999999999</v>
      </c>
      <c r="G1851" s="48">
        <v>5.0659999999999998</v>
      </c>
      <c r="H1851" s="48">
        <v>0.18274899</v>
      </c>
      <c r="I1851" s="48">
        <v>0</v>
      </c>
      <c r="J1851" s="52">
        <v>0</v>
      </c>
    </row>
    <row r="1852" spans="1:10" x14ac:dyDescent="0.2">
      <c r="A1852" s="85"/>
      <c r="B1852" s="53" t="s">
        <v>21</v>
      </c>
      <c r="C1852" s="89"/>
      <c r="D1852" s="48">
        <v>735</v>
      </c>
      <c r="E1852" s="48">
        <v>2.468</v>
      </c>
      <c r="F1852" s="48">
        <v>3.3929999999999998</v>
      </c>
      <c r="G1852" s="48">
        <v>5.2370000000000001</v>
      </c>
      <c r="H1852" s="48">
        <v>0.18390804999999999</v>
      </c>
      <c r="I1852" s="48">
        <v>599.82758620000004</v>
      </c>
      <c r="J1852" s="52" t="e">
        <v>#DIV/0!</v>
      </c>
    </row>
    <row r="1853" spans="1:10" x14ac:dyDescent="0.2">
      <c r="A1853" s="87"/>
      <c r="B1853" s="56" t="s">
        <v>22</v>
      </c>
      <c r="C1853" s="90"/>
      <c r="D1853" s="57"/>
      <c r="E1853" s="57">
        <v>2.484</v>
      </c>
      <c r="F1853" s="57">
        <v>3.1309999999999998</v>
      </c>
      <c r="G1853" s="57">
        <v>5.0590000000000002</v>
      </c>
      <c r="H1853" s="57">
        <v>0.17757904999999999</v>
      </c>
      <c r="I1853" s="57">
        <v>0</v>
      </c>
      <c r="J1853" s="49" t="e">
        <v>#DIV/0!</v>
      </c>
    </row>
    <row r="1854" spans="1:10" x14ac:dyDescent="0.2">
      <c r="A1854" s="91" t="s">
        <v>6</v>
      </c>
      <c r="B1854" s="53" t="s">
        <v>20</v>
      </c>
      <c r="C1854" s="92">
        <v>10</v>
      </c>
      <c r="D1854" s="48"/>
      <c r="E1854" s="48">
        <v>2.44</v>
      </c>
      <c r="F1854" s="48">
        <v>3.343</v>
      </c>
      <c r="G1854" s="48">
        <v>5.1859999999999999</v>
      </c>
      <c r="H1854" s="48">
        <v>0.17858210999999999</v>
      </c>
      <c r="I1854" s="48">
        <v>0</v>
      </c>
      <c r="J1854" s="52">
        <v>0</v>
      </c>
    </row>
    <row r="1855" spans="1:10" x14ac:dyDescent="0.2">
      <c r="A1855" s="85"/>
      <c r="B1855" s="53" t="s">
        <v>21</v>
      </c>
      <c r="C1855" s="89"/>
      <c r="D1855" s="48">
        <v>797</v>
      </c>
      <c r="E1855" s="48">
        <v>2.4380000000000002</v>
      </c>
      <c r="F1855" s="48">
        <v>3.2290000000000001</v>
      </c>
      <c r="G1855" s="48">
        <v>5.0910000000000002</v>
      </c>
      <c r="H1855" s="48">
        <v>0.1783834</v>
      </c>
      <c r="I1855" s="48">
        <v>654.82842989999995</v>
      </c>
      <c r="J1855" s="52" t="e">
        <v>#DIV/0!</v>
      </c>
    </row>
    <row r="1856" spans="1:10" x14ac:dyDescent="0.2">
      <c r="A1856" s="87"/>
      <c r="B1856" s="56" t="s">
        <v>22</v>
      </c>
      <c r="C1856" s="90"/>
      <c r="D1856" s="57"/>
      <c r="E1856" s="57">
        <v>2.4849999999999999</v>
      </c>
      <c r="F1856" s="57">
        <v>3.19</v>
      </c>
      <c r="G1856" s="57">
        <v>5.0999999999999996</v>
      </c>
      <c r="H1856" s="57">
        <v>0.18025078</v>
      </c>
      <c r="I1856" s="57">
        <v>0</v>
      </c>
      <c r="J1856" s="49" t="e">
        <v>#DIV/0!</v>
      </c>
    </row>
    <row r="1857" spans="1:10" x14ac:dyDescent="0.2">
      <c r="A1857" s="91" t="s">
        <v>7</v>
      </c>
      <c r="B1857" s="53" t="s">
        <v>20</v>
      </c>
      <c r="C1857" s="92">
        <v>10</v>
      </c>
      <c r="D1857" s="48"/>
      <c r="E1857" s="48">
        <v>2.4169999999999998</v>
      </c>
      <c r="F1857" s="48">
        <v>3.3730000000000002</v>
      </c>
      <c r="G1857" s="48">
        <v>5.1230000000000002</v>
      </c>
      <c r="H1857" s="48">
        <v>0.19774681</v>
      </c>
      <c r="I1857" s="48">
        <v>0</v>
      </c>
      <c r="J1857" s="52">
        <v>0</v>
      </c>
    </row>
    <row r="1858" spans="1:10" x14ac:dyDescent="0.2">
      <c r="A1858" s="85"/>
      <c r="B1858" s="53" t="s">
        <v>21</v>
      </c>
      <c r="C1858" s="89"/>
      <c r="D1858" s="48">
        <v>786</v>
      </c>
      <c r="E1858" s="48">
        <v>2.4409999999999998</v>
      </c>
      <c r="F1858" s="48">
        <v>3.173</v>
      </c>
      <c r="G1858" s="48">
        <v>4.9909999999999997</v>
      </c>
      <c r="H1858" s="48">
        <v>0.19634415</v>
      </c>
      <c r="I1858" s="48">
        <v>631.67349509999997</v>
      </c>
      <c r="J1858" s="52" t="e">
        <v>#DIV/0!</v>
      </c>
    </row>
    <row r="1859" spans="1:10" x14ac:dyDescent="0.2">
      <c r="A1859" s="87"/>
      <c r="B1859" s="56" t="s">
        <v>22</v>
      </c>
      <c r="C1859" s="90"/>
      <c r="D1859" s="57"/>
      <c r="E1859" s="57">
        <v>2.4009999999999998</v>
      </c>
      <c r="F1859" s="57">
        <v>3.073</v>
      </c>
      <c r="G1859" s="57">
        <v>4.8860000000000001</v>
      </c>
      <c r="H1859" s="57">
        <v>0.19134396000000001</v>
      </c>
      <c r="I1859" s="57">
        <v>0</v>
      </c>
      <c r="J1859" s="49" t="e">
        <v>#DIV/0!</v>
      </c>
    </row>
    <row r="1860" spans="1:10" x14ac:dyDescent="0.2">
      <c r="A1860" s="91" t="s">
        <v>8</v>
      </c>
      <c r="B1860" s="53" t="s">
        <v>20</v>
      </c>
      <c r="C1860" s="92">
        <v>10</v>
      </c>
      <c r="D1860" s="48"/>
      <c r="E1860" s="48">
        <v>2.423</v>
      </c>
      <c r="F1860" s="48">
        <v>3.6110000000000002</v>
      </c>
      <c r="G1860" s="48">
        <v>5.3250000000000002</v>
      </c>
      <c r="H1860" s="48">
        <v>0.19634450000000001</v>
      </c>
      <c r="I1860" s="48">
        <v>0</v>
      </c>
      <c r="J1860" s="52">
        <v>0</v>
      </c>
    </row>
    <row r="1861" spans="1:10" x14ac:dyDescent="0.2">
      <c r="A1861" s="85"/>
      <c r="B1861" s="53" t="s">
        <v>21</v>
      </c>
      <c r="C1861" s="89"/>
      <c r="D1861" s="48">
        <v>859</v>
      </c>
      <c r="E1861" s="48">
        <v>2.4180000000000001</v>
      </c>
      <c r="F1861" s="48">
        <v>3.5510000000000002</v>
      </c>
      <c r="G1861" s="48">
        <v>5.2750000000000004</v>
      </c>
      <c r="H1861" s="48">
        <v>0.1954379</v>
      </c>
      <c r="I1861" s="48">
        <v>691.11883980000005</v>
      </c>
      <c r="J1861" s="52" t="e">
        <v>#DIV/0!</v>
      </c>
    </row>
    <row r="1862" spans="1:10" x14ac:dyDescent="0.2">
      <c r="A1862" s="87"/>
      <c r="B1862" s="56" t="s">
        <v>22</v>
      </c>
      <c r="C1862" s="90"/>
      <c r="D1862" s="57"/>
      <c r="E1862" s="57">
        <v>2.4470000000000001</v>
      </c>
      <c r="F1862" s="57">
        <v>3.0379999999999998</v>
      </c>
      <c r="G1862" s="57">
        <v>4.8600000000000003</v>
      </c>
      <c r="H1862" s="57">
        <v>0.20572745000000001</v>
      </c>
      <c r="I1862" s="57">
        <v>0</v>
      </c>
      <c r="J1862" s="49" t="e">
        <v>#DIV/0!</v>
      </c>
    </row>
    <row r="1863" spans="1:10" x14ac:dyDescent="0.2">
      <c r="A1863" s="91" t="s">
        <v>9</v>
      </c>
      <c r="B1863" s="53" t="s">
        <v>20</v>
      </c>
      <c r="C1863" s="92">
        <v>10</v>
      </c>
      <c r="D1863" s="48"/>
      <c r="E1863" s="48">
        <v>2.4489999999999998</v>
      </c>
      <c r="F1863" s="48">
        <v>3.1629999999999998</v>
      </c>
      <c r="G1863" s="48">
        <v>5.0640000000000001</v>
      </c>
      <c r="H1863" s="48">
        <v>0.17325324</v>
      </c>
      <c r="I1863" s="48">
        <v>0</v>
      </c>
      <c r="J1863" s="52">
        <v>0</v>
      </c>
    </row>
    <row r="1864" spans="1:10" x14ac:dyDescent="0.2">
      <c r="A1864" s="85"/>
      <c r="B1864" s="53" t="s">
        <v>21</v>
      </c>
      <c r="C1864" s="89"/>
      <c r="D1864" s="48">
        <v>802</v>
      </c>
      <c r="E1864" s="48">
        <v>2.444</v>
      </c>
      <c r="F1864" s="48">
        <v>3.1240000000000001</v>
      </c>
      <c r="G1864" s="48">
        <v>5.9939999999999998</v>
      </c>
      <c r="H1864" s="48">
        <v>-0.1363636</v>
      </c>
      <c r="I1864" s="48">
        <v>911.36363640000002</v>
      </c>
      <c r="J1864" s="52" t="e">
        <v>#DIV/0!</v>
      </c>
    </row>
    <row r="1865" spans="1:10" x14ac:dyDescent="0.2">
      <c r="A1865" s="87"/>
      <c r="B1865" s="56" t="s">
        <v>22</v>
      </c>
      <c r="C1865" s="90"/>
      <c r="D1865" s="57"/>
      <c r="E1865" s="57">
        <v>2.4510000000000001</v>
      </c>
      <c r="F1865" s="57">
        <v>3.3050000000000002</v>
      </c>
      <c r="G1865" s="57">
        <v>5.14</v>
      </c>
      <c r="H1865" s="57">
        <v>0.18638426999999999</v>
      </c>
      <c r="I1865" s="57">
        <v>0</v>
      </c>
      <c r="J1865" s="49" t="e">
        <v>#DIV/0!</v>
      </c>
    </row>
    <row r="1866" spans="1:10" x14ac:dyDescent="0.2">
      <c r="A1866" s="91" t="s">
        <v>10</v>
      </c>
      <c r="B1866" s="53" t="s">
        <v>20</v>
      </c>
      <c r="C1866" s="92">
        <v>10</v>
      </c>
      <c r="D1866" s="48"/>
      <c r="E1866" s="48">
        <v>2.4449999999999998</v>
      </c>
      <c r="F1866" s="48">
        <v>3.3090000000000002</v>
      </c>
      <c r="G1866" s="48">
        <v>5.0389999999999997</v>
      </c>
      <c r="H1866" s="48">
        <v>0.21607736</v>
      </c>
      <c r="I1866" s="48">
        <v>0</v>
      </c>
      <c r="J1866" s="52">
        <v>0</v>
      </c>
    </row>
    <row r="1867" spans="1:10" x14ac:dyDescent="0.2">
      <c r="A1867" s="85"/>
      <c r="B1867" s="53" t="s">
        <v>21</v>
      </c>
      <c r="C1867" s="89"/>
      <c r="D1867" s="48">
        <v>798</v>
      </c>
      <c r="E1867" s="48">
        <v>2.4470000000000001</v>
      </c>
      <c r="F1867" s="48">
        <v>3.3860000000000001</v>
      </c>
      <c r="G1867" s="48">
        <v>5.1950000000000003</v>
      </c>
      <c r="H1867" s="48">
        <v>0.18842291999999999</v>
      </c>
      <c r="I1867" s="48">
        <v>647.63851150000005</v>
      </c>
      <c r="J1867" s="52" t="e">
        <v>#DIV/0!</v>
      </c>
    </row>
    <row r="1868" spans="1:10" x14ac:dyDescent="0.2">
      <c r="A1868" s="87"/>
      <c r="B1868" s="56" t="s">
        <v>22</v>
      </c>
      <c r="C1868" s="90"/>
      <c r="D1868" s="57"/>
      <c r="E1868" s="57">
        <v>2.468</v>
      </c>
      <c r="F1868" s="57">
        <v>3.4409999999999998</v>
      </c>
      <c r="G1868" s="57">
        <v>5.2130000000000001</v>
      </c>
      <c r="H1868" s="57">
        <v>0.20226678000000001</v>
      </c>
      <c r="I1868" s="57">
        <v>0</v>
      </c>
      <c r="J1868" s="49" t="e">
        <v>#DIV/0!</v>
      </c>
    </row>
    <row r="1869" spans="1:10" x14ac:dyDescent="0.2">
      <c r="A1869" s="91" t="s">
        <v>11</v>
      </c>
      <c r="B1869" s="53" t="s">
        <v>20</v>
      </c>
      <c r="C1869" s="92">
        <v>10</v>
      </c>
      <c r="D1869" s="48"/>
      <c r="E1869" s="48">
        <v>2.4569999999999999</v>
      </c>
      <c r="F1869" s="48">
        <v>3.6230000000000002</v>
      </c>
      <c r="G1869" s="48">
        <v>5.3730000000000002</v>
      </c>
      <c r="H1869" s="48">
        <v>0.19514214999999999</v>
      </c>
      <c r="I1869" s="48">
        <v>0</v>
      </c>
      <c r="J1869" s="52">
        <v>0</v>
      </c>
    </row>
    <row r="1870" spans="1:10" x14ac:dyDescent="0.2">
      <c r="A1870" s="85"/>
      <c r="B1870" s="53" t="s">
        <v>21</v>
      </c>
      <c r="C1870" s="89"/>
      <c r="D1870" s="48">
        <v>748</v>
      </c>
      <c r="E1870" s="48">
        <v>2.4409999999999998</v>
      </c>
      <c r="F1870" s="48">
        <v>3.5619999999999998</v>
      </c>
      <c r="G1870" s="48">
        <v>5.1210000000000004</v>
      </c>
      <c r="H1870" s="48">
        <v>0.24761369999999999</v>
      </c>
      <c r="I1870" s="48">
        <v>562.78495229999999</v>
      </c>
      <c r="J1870" s="52" t="e">
        <v>#DIV/0!</v>
      </c>
    </row>
    <row r="1871" spans="1:10" x14ac:dyDescent="0.2">
      <c r="A1871" s="87"/>
      <c r="B1871" s="56" t="s">
        <v>22</v>
      </c>
      <c r="C1871" s="90"/>
      <c r="D1871" s="57"/>
      <c r="E1871" s="57">
        <v>2.431</v>
      </c>
      <c r="F1871" s="57">
        <v>3.4220000000000002</v>
      </c>
      <c r="G1871" s="57">
        <v>5.1849999999999996</v>
      </c>
      <c r="H1871" s="57">
        <v>0.19520747999999999</v>
      </c>
      <c r="I1871" s="57">
        <v>0</v>
      </c>
      <c r="J1871" s="49" t="e">
        <v>#DIV/0!</v>
      </c>
    </row>
    <row r="1872" spans="1:10" x14ac:dyDescent="0.2">
      <c r="A1872" s="91" t="s">
        <v>12</v>
      </c>
      <c r="B1872" s="53" t="s">
        <v>20</v>
      </c>
      <c r="C1872" s="92">
        <v>10</v>
      </c>
      <c r="D1872" s="48"/>
      <c r="E1872" s="48">
        <v>2.4489999999999998</v>
      </c>
      <c r="F1872" s="48">
        <v>3.08</v>
      </c>
      <c r="G1872" s="48">
        <v>4.9160000000000004</v>
      </c>
      <c r="H1872" s="48">
        <v>0.19902597</v>
      </c>
      <c r="I1872" s="48">
        <v>0</v>
      </c>
      <c r="J1872" s="52">
        <v>0</v>
      </c>
    </row>
    <row r="1873" spans="1:10" x14ac:dyDescent="0.2">
      <c r="A1873" s="85"/>
      <c r="B1873" s="53" t="s">
        <v>21</v>
      </c>
      <c r="C1873" s="89"/>
      <c r="D1873" s="48">
        <v>754</v>
      </c>
      <c r="E1873" s="48">
        <v>2.444</v>
      </c>
      <c r="F1873" s="48">
        <v>3.9220000000000002</v>
      </c>
      <c r="G1873" s="48">
        <v>5.5350000000000001</v>
      </c>
      <c r="H1873" s="48">
        <v>0.21188169000000001</v>
      </c>
      <c r="I1873" s="48">
        <v>594.24120349999998</v>
      </c>
      <c r="J1873" s="52" t="e">
        <v>#DIV/0!</v>
      </c>
    </row>
    <row r="1874" spans="1:10" x14ac:dyDescent="0.2">
      <c r="A1874" s="87"/>
      <c r="B1874" s="56" t="s">
        <v>22</v>
      </c>
      <c r="C1874" s="90"/>
      <c r="D1874" s="57"/>
      <c r="E1874" s="57">
        <v>2.427</v>
      </c>
      <c r="F1874" s="57">
        <v>3.3540000000000001</v>
      </c>
      <c r="G1874" s="57">
        <v>5.1349999999999998</v>
      </c>
      <c r="H1874" s="57">
        <v>0.19260584</v>
      </c>
      <c r="I1874" s="57">
        <v>0</v>
      </c>
      <c r="J1874" s="49" t="e">
        <v>#DIV/0!</v>
      </c>
    </row>
    <row r="1875" spans="1:10" x14ac:dyDescent="0.2">
      <c r="A1875" s="91" t="s">
        <v>13</v>
      </c>
      <c r="B1875" s="53" t="s">
        <v>20</v>
      </c>
      <c r="C1875" s="92">
        <v>10</v>
      </c>
      <c r="D1875" s="48"/>
      <c r="E1875" s="48">
        <v>2.444</v>
      </c>
      <c r="F1875" s="48">
        <v>3.1589999999999998</v>
      </c>
      <c r="G1875" s="48">
        <v>4.9829999999999997</v>
      </c>
      <c r="H1875" s="48">
        <v>0.19626463999999999</v>
      </c>
      <c r="I1875" s="48">
        <v>0</v>
      </c>
      <c r="J1875" s="52">
        <v>0</v>
      </c>
    </row>
    <row r="1876" spans="1:10" x14ac:dyDescent="0.2">
      <c r="A1876" s="85"/>
      <c r="B1876" s="53" t="s">
        <v>21</v>
      </c>
      <c r="C1876" s="89"/>
      <c r="D1876" s="48">
        <v>828</v>
      </c>
      <c r="E1876" s="48">
        <v>2.4380000000000002</v>
      </c>
      <c r="F1876" s="48">
        <v>3.3530000000000002</v>
      </c>
      <c r="G1876" s="48">
        <v>5.1740000000000004</v>
      </c>
      <c r="H1876" s="48">
        <v>0.18401432000000001</v>
      </c>
      <c r="I1876" s="48">
        <v>675.63614670000004</v>
      </c>
      <c r="J1876" s="52" t="e">
        <v>#DIV/0!</v>
      </c>
    </row>
    <row r="1877" spans="1:10" x14ac:dyDescent="0.2">
      <c r="A1877" s="87"/>
      <c r="B1877" s="56" t="s">
        <v>22</v>
      </c>
      <c r="C1877" s="90"/>
      <c r="D1877" s="57"/>
      <c r="E1877" s="57">
        <v>2.4449999999999998</v>
      </c>
      <c r="F1877" s="57">
        <v>3.145</v>
      </c>
      <c r="G1877" s="57">
        <v>5.01</v>
      </c>
      <c r="H1877" s="57">
        <v>0.18441970999999999</v>
      </c>
      <c r="I1877" s="57">
        <v>0</v>
      </c>
      <c r="J1877" s="49" t="e">
        <v>#DIV/0!</v>
      </c>
    </row>
    <row r="1878" spans="1:10" x14ac:dyDescent="0.2">
      <c r="A1878" s="91" t="s">
        <v>14</v>
      </c>
      <c r="B1878" s="53" t="s">
        <v>20</v>
      </c>
      <c r="C1878" s="92">
        <v>10</v>
      </c>
      <c r="D1878" s="48"/>
      <c r="E1878" s="48"/>
      <c r="F1878" s="48"/>
      <c r="G1878" s="48"/>
      <c r="H1878" s="48" t="e">
        <v>#DIV/0!</v>
      </c>
      <c r="I1878" s="48" t="e">
        <v>#DIV/0!</v>
      </c>
      <c r="J1878" s="52" t="e">
        <v>#DIV/0!</v>
      </c>
    </row>
    <row r="1879" spans="1:10" x14ac:dyDescent="0.2">
      <c r="A1879" s="85"/>
      <c r="B1879" s="53" t="s">
        <v>21</v>
      </c>
      <c r="C1879" s="89"/>
      <c r="D1879" s="48"/>
      <c r="E1879" s="48"/>
      <c r="F1879" s="48"/>
      <c r="G1879" s="48"/>
      <c r="H1879" s="48" t="e">
        <v>#DIV/0!</v>
      </c>
      <c r="I1879" s="48" t="e">
        <v>#DIV/0!</v>
      </c>
      <c r="J1879" s="52" t="e">
        <v>#DIV/0!</v>
      </c>
    </row>
    <row r="1880" spans="1:10" ht="16" thickBot="1" x14ac:dyDescent="0.25">
      <c r="A1880" s="93"/>
      <c r="B1880" s="58" t="s">
        <v>22</v>
      </c>
      <c r="C1880" s="94"/>
      <c r="D1880" s="59"/>
      <c r="E1880" s="59"/>
      <c r="F1880" s="59"/>
      <c r="G1880" s="59"/>
      <c r="H1880" s="59" t="e">
        <v>#DIV/0!</v>
      </c>
      <c r="I1880" s="59" t="e">
        <v>#DIV/0!</v>
      </c>
      <c r="J1880" s="50" t="e">
        <v>#DIV/0!</v>
      </c>
    </row>
    <row r="1881" spans="1:10" ht="16" thickBot="1" x14ac:dyDescent="0.25">
      <c r="A1881" s="60" t="s">
        <v>1</v>
      </c>
      <c r="B1881" s="61"/>
      <c r="C1881" s="62"/>
      <c r="D1881" s="63" t="s">
        <v>46</v>
      </c>
      <c r="E1881" s="64"/>
      <c r="F1881" s="58" t="s">
        <v>0</v>
      </c>
      <c r="G1881" s="18">
        <v>44157</v>
      </c>
      <c r="H1881" s="65" t="s">
        <v>24</v>
      </c>
      <c r="I1881" s="66"/>
      <c r="J1881" s="49">
        <v>110</v>
      </c>
    </row>
    <row r="1882" spans="1:10" ht="16" thickBot="1" x14ac:dyDescent="0.25">
      <c r="A1882" s="67" t="s">
        <v>2</v>
      </c>
      <c r="B1882" s="68"/>
      <c r="C1882" s="69"/>
      <c r="D1882" s="70"/>
      <c r="E1882" s="71"/>
      <c r="F1882" s="72"/>
      <c r="G1882" s="73"/>
      <c r="H1882" s="74" t="s">
        <v>25</v>
      </c>
      <c r="I1882" s="75"/>
      <c r="J1882" s="49">
        <v>22.5</v>
      </c>
    </row>
    <row r="1883" spans="1:10" ht="16" thickBot="1" x14ac:dyDescent="0.25">
      <c r="A1883" s="76" t="s">
        <v>27</v>
      </c>
      <c r="B1883" s="77"/>
      <c r="C1883" s="78"/>
      <c r="D1883" s="79" t="s">
        <v>36</v>
      </c>
      <c r="E1883" s="80"/>
      <c r="F1883" s="48" t="s">
        <v>30</v>
      </c>
      <c r="G1883" s="48">
        <v>3.81</v>
      </c>
      <c r="H1883" s="81" t="s">
        <v>26</v>
      </c>
      <c r="I1883" s="82"/>
      <c r="J1883" s="50">
        <v>51</v>
      </c>
    </row>
    <row r="1884" spans="1:10" x14ac:dyDescent="0.2">
      <c r="A1884" s="83"/>
      <c r="B1884" s="84"/>
      <c r="C1884" s="51" t="s">
        <v>29</v>
      </c>
      <c r="D1884" s="51" t="s">
        <v>19</v>
      </c>
      <c r="E1884" s="51" t="s">
        <v>15</v>
      </c>
      <c r="F1884" s="51" t="s">
        <v>18</v>
      </c>
      <c r="G1884" s="51" t="s">
        <v>17</v>
      </c>
      <c r="H1884" s="48" t="s">
        <v>28</v>
      </c>
      <c r="I1884" s="48" t="s">
        <v>16</v>
      </c>
      <c r="J1884" s="52" t="s">
        <v>23</v>
      </c>
    </row>
    <row r="1885" spans="1:10" x14ac:dyDescent="0.2">
      <c r="A1885" s="86" t="s">
        <v>3</v>
      </c>
      <c r="B1885" s="53" t="s">
        <v>20</v>
      </c>
      <c r="C1885" s="88">
        <v>10</v>
      </c>
      <c r="D1885" s="54"/>
      <c r="E1885" s="54">
        <v>2.4670000000000001</v>
      </c>
      <c r="F1885" s="54">
        <v>3.117</v>
      </c>
      <c r="G1885" s="54">
        <v>4.915</v>
      </c>
      <c r="H1885" s="54">
        <v>0.21462945</v>
      </c>
      <c r="I1885" s="54">
        <v>0</v>
      </c>
      <c r="J1885" s="55">
        <v>0</v>
      </c>
    </row>
    <row r="1886" spans="1:10" x14ac:dyDescent="0.2">
      <c r="A1886" s="85"/>
      <c r="B1886" s="53" t="s">
        <v>21</v>
      </c>
      <c r="C1886" s="89"/>
      <c r="D1886" s="48">
        <v>647</v>
      </c>
      <c r="E1886" s="48">
        <v>2.4889999999999999</v>
      </c>
      <c r="F1886" s="48">
        <v>3.254</v>
      </c>
      <c r="G1886" s="48">
        <v>5.0419999999999998</v>
      </c>
      <c r="H1886" s="48">
        <v>0.21542717</v>
      </c>
      <c r="I1886" s="48">
        <v>507.6186232</v>
      </c>
      <c r="J1886" s="52" t="e">
        <v>#DIV/0!</v>
      </c>
    </row>
    <row r="1887" spans="1:10" x14ac:dyDescent="0.2">
      <c r="A1887" s="87"/>
      <c r="B1887" s="56" t="s">
        <v>22</v>
      </c>
      <c r="C1887" s="90"/>
      <c r="D1887" s="57"/>
      <c r="E1887" s="57">
        <v>2.456</v>
      </c>
      <c r="F1887" s="57">
        <v>3.4670000000000001</v>
      </c>
      <c r="G1887" s="57">
        <v>5.1289999999999996</v>
      </c>
      <c r="H1887" s="57">
        <v>0.22901643999999999</v>
      </c>
      <c r="I1887" s="57">
        <v>0</v>
      </c>
      <c r="J1887" s="49" t="e">
        <v>#DIV/0!</v>
      </c>
    </row>
    <row r="1888" spans="1:10" x14ac:dyDescent="0.2">
      <c r="A1888" s="91" t="s">
        <v>4</v>
      </c>
      <c r="B1888" s="53" t="s">
        <v>20</v>
      </c>
      <c r="C1888" s="92">
        <v>10</v>
      </c>
      <c r="D1888" s="48"/>
      <c r="E1888" s="48">
        <v>2.4119999999999999</v>
      </c>
      <c r="F1888" s="48">
        <v>3.573</v>
      </c>
      <c r="G1888" s="48">
        <v>5.3860000000000001</v>
      </c>
      <c r="H1888" s="48">
        <v>0.16764624</v>
      </c>
      <c r="I1888" s="48">
        <v>0</v>
      </c>
      <c r="J1888" s="52">
        <v>0</v>
      </c>
    </row>
    <row r="1889" spans="1:10" x14ac:dyDescent="0.2">
      <c r="A1889" s="85"/>
      <c r="B1889" s="53" t="s">
        <v>21</v>
      </c>
      <c r="C1889" s="89"/>
      <c r="D1889" s="48">
        <v>789</v>
      </c>
      <c r="E1889" s="48">
        <v>2.44</v>
      </c>
      <c r="F1889" s="48">
        <v>3.6789999999999998</v>
      </c>
      <c r="G1889" s="48">
        <v>5.5659999999999998</v>
      </c>
      <c r="H1889" s="48">
        <v>0.15031258</v>
      </c>
      <c r="I1889" s="48">
        <v>670.40337050000005</v>
      </c>
      <c r="J1889" s="52" t="e">
        <v>#DIV/0!</v>
      </c>
    </row>
    <row r="1890" spans="1:10" x14ac:dyDescent="0.2">
      <c r="A1890" s="87"/>
      <c r="B1890" s="56" t="s">
        <v>22</v>
      </c>
      <c r="C1890" s="90"/>
      <c r="D1890" s="57"/>
      <c r="E1890" s="57">
        <v>2.44</v>
      </c>
      <c r="F1890" s="57">
        <v>3.7810000000000001</v>
      </c>
      <c r="G1890" s="57">
        <v>5.4539999999999997</v>
      </c>
      <c r="H1890" s="57">
        <v>0.20285639</v>
      </c>
      <c r="I1890" s="57">
        <v>0</v>
      </c>
      <c r="J1890" s="49" t="e">
        <v>#DIV/0!</v>
      </c>
    </row>
    <row r="1891" spans="1:10" x14ac:dyDescent="0.2">
      <c r="A1891" s="91" t="s">
        <v>5</v>
      </c>
      <c r="B1891" s="53" t="s">
        <v>20</v>
      </c>
      <c r="C1891" s="92">
        <v>10</v>
      </c>
      <c r="D1891" s="48"/>
      <c r="E1891" s="48">
        <v>2.419</v>
      </c>
      <c r="F1891" s="48">
        <v>3.355</v>
      </c>
      <c r="G1891" s="48">
        <v>5.141</v>
      </c>
      <c r="H1891" s="48">
        <v>0.18867361999999999</v>
      </c>
      <c r="I1891" s="48">
        <v>0</v>
      </c>
      <c r="J1891" s="52">
        <v>0</v>
      </c>
    </row>
    <row r="1892" spans="1:10" x14ac:dyDescent="0.2">
      <c r="A1892" s="85"/>
      <c r="B1892" s="53" t="s">
        <v>21</v>
      </c>
      <c r="C1892" s="89"/>
      <c r="D1892" s="48">
        <v>645</v>
      </c>
      <c r="E1892" s="48">
        <v>2.4580000000000002</v>
      </c>
      <c r="F1892" s="48">
        <v>3.4990000000000001</v>
      </c>
      <c r="G1892" s="48">
        <v>5.194</v>
      </c>
      <c r="H1892" s="48">
        <v>0.21806229999999999</v>
      </c>
      <c r="I1892" s="48">
        <v>504.34981420000003</v>
      </c>
      <c r="J1892" s="52" t="e">
        <v>#DIV/0!</v>
      </c>
    </row>
    <row r="1893" spans="1:10" x14ac:dyDescent="0.2">
      <c r="A1893" s="87"/>
      <c r="B1893" s="56" t="s">
        <v>22</v>
      </c>
      <c r="C1893" s="90"/>
      <c r="D1893" s="57"/>
      <c r="E1893" s="57">
        <v>2.4380000000000002</v>
      </c>
      <c r="F1893" s="57">
        <v>3.0649999999999999</v>
      </c>
      <c r="G1893" s="57">
        <v>4.8890000000000002</v>
      </c>
      <c r="H1893" s="57">
        <v>0.20032626000000001</v>
      </c>
      <c r="I1893" s="57">
        <v>0</v>
      </c>
      <c r="J1893" s="49" t="e">
        <v>#DIV/0!</v>
      </c>
    </row>
    <row r="1894" spans="1:10" x14ac:dyDescent="0.2">
      <c r="A1894" s="91" t="s">
        <v>6</v>
      </c>
      <c r="B1894" s="53" t="s">
        <v>20</v>
      </c>
      <c r="C1894" s="92">
        <v>10</v>
      </c>
      <c r="D1894" s="48"/>
      <c r="E1894" s="48">
        <v>2.4630000000000001</v>
      </c>
      <c r="F1894" s="48">
        <v>3.6429999999999998</v>
      </c>
      <c r="G1894" s="48">
        <v>5.3760000000000003</v>
      </c>
      <c r="H1894" s="48">
        <v>0.20038429999999999</v>
      </c>
      <c r="I1894" s="48">
        <v>0</v>
      </c>
      <c r="J1894" s="52">
        <v>0</v>
      </c>
    </row>
    <row r="1895" spans="1:10" x14ac:dyDescent="0.2">
      <c r="A1895" s="85"/>
      <c r="B1895" s="53" t="s">
        <v>21</v>
      </c>
      <c r="C1895" s="89"/>
      <c r="D1895" s="48">
        <v>715</v>
      </c>
      <c r="E1895" s="48">
        <v>2.4430000000000001</v>
      </c>
      <c r="F1895" s="48">
        <v>3.6819999999999999</v>
      </c>
      <c r="G1895" s="48">
        <v>5.359</v>
      </c>
      <c r="H1895" s="48">
        <v>0.20803911</v>
      </c>
      <c r="I1895" s="48">
        <v>566.25203690000001</v>
      </c>
      <c r="J1895" s="52" t="e">
        <v>#DIV/0!</v>
      </c>
    </row>
    <row r="1896" spans="1:10" x14ac:dyDescent="0.2">
      <c r="A1896" s="87"/>
      <c r="B1896" s="56" t="s">
        <v>22</v>
      </c>
      <c r="C1896" s="90"/>
      <c r="D1896" s="57"/>
      <c r="E1896" s="57">
        <v>2.4510000000000001</v>
      </c>
      <c r="F1896" s="57">
        <v>3.157</v>
      </c>
      <c r="G1896" s="57">
        <v>4.9800000000000004</v>
      </c>
      <c r="H1896" s="57">
        <v>0.19892303</v>
      </c>
      <c r="I1896" s="57">
        <v>0</v>
      </c>
      <c r="J1896" s="49" t="e">
        <v>#DIV/0!</v>
      </c>
    </row>
    <row r="1897" spans="1:10" x14ac:dyDescent="0.2">
      <c r="A1897" s="91" t="s">
        <v>7</v>
      </c>
      <c r="B1897" s="53" t="s">
        <v>20</v>
      </c>
      <c r="C1897" s="92">
        <v>10</v>
      </c>
      <c r="D1897" s="48"/>
      <c r="E1897" s="48">
        <v>2.4750000000000001</v>
      </c>
      <c r="F1897" s="48">
        <v>3.948</v>
      </c>
      <c r="G1897" s="48">
        <v>5.6870000000000003</v>
      </c>
      <c r="H1897" s="48">
        <v>0.18642350999999999</v>
      </c>
      <c r="I1897" s="48">
        <v>0</v>
      </c>
      <c r="J1897" s="52">
        <v>0</v>
      </c>
    </row>
    <row r="1898" spans="1:10" x14ac:dyDescent="0.2">
      <c r="A1898" s="85"/>
      <c r="B1898" s="53" t="s">
        <v>21</v>
      </c>
      <c r="C1898" s="89"/>
      <c r="D1898" s="48">
        <v>790</v>
      </c>
      <c r="E1898" s="48">
        <v>2.4529999999999998</v>
      </c>
      <c r="F1898" s="48">
        <v>3.8319999999999999</v>
      </c>
      <c r="G1898" s="48">
        <v>5.5309999999999997</v>
      </c>
      <c r="H1898" s="48">
        <v>0.19676409</v>
      </c>
      <c r="I1898" s="48">
        <v>634.5563674</v>
      </c>
      <c r="J1898" s="52" t="e">
        <v>#DIV/0!</v>
      </c>
    </row>
    <row r="1899" spans="1:10" x14ac:dyDescent="0.2">
      <c r="A1899" s="87"/>
      <c r="B1899" s="56" t="s">
        <v>22</v>
      </c>
      <c r="C1899" s="90"/>
      <c r="D1899" s="57"/>
      <c r="E1899" s="57">
        <v>2.4529999999999998</v>
      </c>
      <c r="F1899" s="57">
        <v>3.0129999999999999</v>
      </c>
      <c r="G1899" s="57">
        <v>4.8979999999999997</v>
      </c>
      <c r="H1899" s="57">
        <v>0.18851643000000001</v>
      </c>
      <c r="I1899" s="57">
        <v>0</v>
      </c>
      <c r="J1899" s="49" t="e">
        <v>#DIV/0!</v>
      </c>
    </row>
    <row r="1900" spans="1:10" x14ac:dyDescent="0.2">
      <c r="A1900" s="91" t="s">
        <v>8</v>
      </c>
      <c r="B1900" s="53" t="s">
        <v>20</v>
      </c>
      <c r="C1900" s="92">
        <v>10</v>
      </c>
      <c r="D1900" s="48"/>
      <c r="E1900" s="48">
        <v>2.4460000000000002</v>
      </c>
      <c r="F1900" s="48">
        <v>3.484</v>
      </c>
      <c r="G1900" s="48">
        <v>5.3170000000000002</v>
      </c>
      <c r="H1900" s="48">
        <v>0.17594719</v>
      </c>
      <c r="I1900" s="48">
        <v>0</v>
      </c>
      <c r="J1900" s="52">
        <v>0</v>
      </c>
    </row>
    <row r="1901" spans="1:10" x14ac:dyDescent="0.2">
      <c r="A1901" s="85"/>
      <c r="B1901" s="53" t="s">
        <v>21</v>
      </c>
      <c r="C1901" s="89"/>
      <c r="D1901" s="48">
        <v>840</v>
      </c>
      <c r="E1901" s="48">
        <v>2.4409999999999998</v>
      </c>
      <c r="F1901" s="48">
        <v>3.2650000000000001</v>
      </c>
      <c r="G1901" s="48">
        <v>5.1310000000000002</v>
      </c>
      <c r="H1901" s="48">
        <v>0.17611025999999999</v>
      </c>
      <c r="I1901" s="48">
        <v>692.06738129999997</v>
      </c>
      <c r="J1901" s="52" t="e">
        <v>#DIV/0!</v>
      </c>
    </row>
    <row r="1902" spans="1:10" x14ac:dyDescent="0.2">
      <c r="A1902" s="87"/>
      <c r="B1902" s="56" t="s">
        <v>22</v>
      </c>
      <c r="C1902" s="90"/>
      <c r="D1902" s="57"/>
      <c r="E1902" s="57">
        <v>2.4340000000000002</v>
      </c>
      <c r="F1902" s="57">
        <v>3.367</v>
      </c>
      <c r="G1902" s="57">
        <v>5.24</v>
      </c>
      <c r="H1902" s="57">
        <v>0.16661717000000001</v>
      </c>
      <c r="I1902" s="57">
        <v>0</v>
      </c>
      <c r="J1902" s="49" t="e">
        <v>#DIV/0!</v>
      </c>
    </row>
    <row r="1903" spans="1:10" x14ac:dyDescent="0.2">
      <c r="A1903" s="91" t="s">
        <v>9</v>
      </c>
      <c r="B1903" s="53" t="s">
        <v>20</v>
      </c>
      <c r="C1903" s="92">
        <v>10</v>
      </c>
      <c r="D1903" s="48"/>
      <c r="E1903" s="48">
        <v>2.4449999999999998</v>
      </c>
      <c r="F1903" s="48">
        <v>3.452</v>
      </c>
      <c r="G1903" s="48">
        <v>5.3109999999999999</v>
      </c>
      <c r="H1903" s="48">
        <v>0.16975666</v>
      </c>
      <c r="I1903" s="48">
        <v>0</v>
      </c>
      <c r="J1903" s="52">
        <v>0</v>
      </c>
    </row>
    <row r="1904" spans="1:10" x14ac:dyDescent="0.2">
      <c r="A1904" s="85"/>
      <c r="B1904" s="53" t="s">
        <v>21</v>
      </c>
      <c r="C1904" s="89"/>
      <c r="D1904" s="48">
        <v>962</v>
      </c>
      <c r="E1904" s="48">
        <v>2.4329999999999998</v>
      </c>
      <c r="F1904" s="48">
        <v>3.0409999999999999</v>
      </c>
      <c r="G1904" s="48">
        <v>4.915</v>
      </c>
      <c r="H1904" s="48">
        <v>0.18382111000000001</v>
      </c>
      <c r="I1904" s="48">
        <v>785.16409080000005</v>
      </c>
      <c r="J1904" s="52" t="e">
        <v>#DIV/0!</v>
      </c>
    </row>
    <row r="1905" spans="1:10" x14ac:dyDescent="0.2">
      <c r="A1905" s="87"/>
      <c r="B1905" s="56" t="s">
        <v>22</v>
      </c>
      <c r="C1905" s="90"/>
      <c r="D1905" s="57"/>
      <c r="E1905" s="57">
        <v>2.4620000000000002</v>
      </c>
      <c r="F1905" s="57">
        <v>3.7069999999999999</v>
      </c>
      <c r="G1905" s="57">
        <v>5.4649999999999999</v>
      </c>
      <c r="H1905" s="57">
        <v>0.18991098000000001</v>
      </c>
      <c r="I1905" s="57">
        <v>0</v>
      </c>
      <c r="J1905" s="49" t="e">
        <v>#DIV/0!</v>
      </c>
    </row>
    <row r="1906" spans="1:10" x14ac:dyDescent="0.2">
      <c r="A1906" s="91" t="s">
        <v>10</v>
      </c>
      <c r="B1906" s="53" t="s">
        <v>20</v>
      </c>
      <c r="C1906" s="92">
        <v>10</v>
      </c>
      <c r="D1906" s="48"/>
      <c r="E1906" s="48">
        <v>2.4460000000000002</v>
      </c>
      <c r="F1906" s="48">
        <v>3.0390000000000001</v>
      </c>
      <c r="G1906" s="48">
        <v>4.9160000000000004</v>
      </c>
      <c r="H1906" s="48">
        <v>0.18723264000000001</v>
      </c>
      <c r="I1906" s="48">
        <v>0</v>
      </c>
      <c r="J1906" s="52">
        <v>0</v>
      </c>
    </row>
    <row r="1907" spans="1:10" x14ac:dyDescent="0.2">
      <c r="A1907" s="85"/>
      <c r="B1907" s="53" t="s">
        <v>21</v>
      </c>
      <c r="C1907" s="89"/>
      <c r="D1907" s="48">
        <v>874</v>
      </c>
      <c r="E1907" s="48">
        <v>2.4390000000000001</v>
      </c>
      <c r="F1907" s="48">
        <v>3.577</v>
      </c>
      <c r="G1907" s="48">
        <v>5.351</v>
      </c>
      <c r="H1907" s="48">
        <v>0.18590998</v>
      </c>
      <c r="I1907" s="48">
        <v>711.51467709999997</v>
      </c>
      <c r="J1907" s="52" t="e">
        <v>#DIV/0!</v>
      </c>
    </row>
    <row r="1908" spans="1:10" x14ac:dyDescent="0.2">
      <c r="A1908" s="87"/>
      <c r="B1908" s="56" t="s">
        <v>22</v>
      </c>
      <c r="C1908" s="90"/>
      <c r="D1908" s="57"/>
      <c r="E1908" s="57">
        <v>2.4689999999999999</v>
      </c>
      <c r="F1908" s="57">
        <v>3.1339999999999999</v>
      </c>
      <c r="G1908" s="57">
        <v>5.0389999999999997</v>
      </c>
      <c r="H1908" s="57">
        <v>0.17996171</v>
      </c>
      <c r="I1908" s="57">
        <v>0</v>
      </c>
      <c r="J1908" s="49" t="e">
        <v>#DIV/0!</v>
      </c>
    </row>
    <row r="1909" spans="1:10" x14ac:dyDescent="0.2">
      <c r="A1909" s="91" t="s">
        <v>11</v>
      </c>
      <c r="B1909" s="53" t="s">
        <v>20</v>
      </c>
      <c r="C1909" s="92">
        <v>10</v>
      </c>
      <c r="D1909" s="48"/>
      <c r="E1909" s="48">
        <v>2.4510000000000001</v>
      </c>
      <c r="F1909" s="48">
        <v>3.677</v>
      </c>
      <c r="G1909" s="48">
        <v>5.3949999999999996</v>
      </c>
      <c r="H1909" s="48">
        <v>0.19934729000000001</v>
      </c>
      <c r="I1909" s="48">
        <v>0</v>
      </c>
      <c r="J1909" s="52">
        <v>0</v>
      </c>
    </row>
    <row r="1910" spans="1:10" x14ac:dyDescent="0.2">
      <c r="A1910" s="85"/>
      <c r="B1910" s="53" t="s">
        <v>21</v>
      </c>
      <c r="C1910" s="89"/>
      <c r="D1910" s="48">
        <v>925</v>
      </c>
      <c r="E1910" s="48">
        <v>2.4409999999999998</v>
      </c>
      <c r="F1910" s="48">
        <v>3.371</v>
      </c>
      <c r="G1910" s="48">
        <v>5.1840000000000002</v>
      </c>
      <c r="H1910" s="48">
        <v>0.18629487</v>
      </c>
      <c r="I1910" s="48">
        <v>752.67724710000005</v>
      </c>
      <c r="J1910" s="52" t="e">
        <v>#DIV/0!</v>
      </c>
    </row>
    <row r="1911" spans="1:10" x14ac:dyDescent="0.2">
      <c r="A1911" s="87"/>
      <c r="B1911" s="56" t="s">
        <v>22</v>
      </c>
      <c r="C1911" s="90"/>
      <c r="D1911" s="57"/>
      <c r="E1911" s="57">
        <v>2.41</v>
      </c>
      <c r="F1911" s="57">
        <v>3.8519999999999999</v>
      </c>
      <c r="G1911" s="57">
        <v>5.4610000000000003</v>
      </c>
      <c r="H1911" s="57">
        <v>0.20794393</v>
      </c>
      <c r="I1911" s="57">
        <v>0</v>
      </c>
      <c r="J1911" s="49" t="e">
        <v>#DIV/0!</v>
      </c>
    </row>
    <row r="1912" spans="1:10" x14ac:dyDescent="0.2">
      <c r="A1912" s="91" t="s">
        <v>12</v>
      </c>
      <c r="B1912" s="53" t="s">
        <v>20</v>
      </c>
      <c r="C1912" s="92">
        <v>10</v>
      </c>
      <c r="D1912" s="48"/>
      <c r="E1912" s="48">
        <v>2.4550000000000001</v>
      </c>
      <c r="F1912" s="48">
        <v>3.5089999999999999</v>
      </c>
      <c r="G1912" s="48">
        <v>5.1310000000000002</v>
      </c>
      <c r="H1912" s="48">
        <v>0.23738956999999999</v>
      </c>
      <c r="I1912" s="48">
        <v>0</v>
      </c>
      <c r="J1912" s="52">
        <v>0</v>
      </c>
    </row>
    <row r="1913" spans="1:10" x14ac:dyDescent="0.2">
      <c r="A1913" s="85"/>
      <c r="B1913" s="53" t="s">
        <v>21</v>
      </c>
      <c r="C1913" s="89"/>
      <c r="D1913" s="48">
        <v>802</v>
      </c>
      <c r="E1913" s="48">
        <v>2.4580000000000002</v>
      </c>
      <c r="F1913" s="48">
        <v>3.597</v>
      </c>
      <c r="G1913" s="48">
        <v>5.3109999999999999</v>
      </c>
      <c r="H1913" s="48">
        <v>0.20683903000000001</v>
      </c>
      <c r="I1913" s="48">
        <v>636.11509590000003</v>
      </c>
      <c r="J1913" s="52" t="e">
        <v>#DIV/0!</v>
      </c>
    </row>
    <row r="1914" spans="1:10" x14ac:dyDescent="0.2">
      <c r="A1914" s="87"/>
      <c r="B1914" s="56" t="s">
        <v>22</v>
      </c>
      <c r="C1914" s="90"/>
      <c r="D1914" s="57"/>
      <c r="E1914" s="57">
        <v>2.427</v>
      </c>
      <c r="F1914" s="57">
        <v>3.351</v>
      </c>
      <c r="G1914" s="57">
        <v>5.0289999999999999</v>
      </c>
      <c r="H1914" s="57">
        <v>0.22351536999999999</v>
      </c>
      <c r="I1914" s="57">
        <v>0</v>
      </c>
      <c r="J1914" s="49" t="e">
        <v>#DIV/0!</v>
      </c>
    </row>
    <row r="1915" spans="1:10" x14ac:dyDescent="0.2">
      <c r="A1915" s="91" t="s">
        <v>13</v>
      </c>
      <c r="B1915" s="53" t="s">
        <v>20</v>
      </c>
      <c r="C1915" s="92">
        <v>10</v>
      </c>
      <c r="D1915" s="48"/>
      <c r="E1915" s="48">
        <v>2.4609999999999999</v>
      </c>
      <c r="F1915" s="48">
        <v>3.0190000000000001</v>
      </c>
      <c r="G1915" s="48">
        <v>4.7720000000000002</v>
      </c>
      <c r="H1915" s="48">
        <v>0.23451474</v>
      </c>
      <c r="I1915" s="48">
        <v>0</v>
      </c>
      <c r="J1915" s="52">
        <v>0</v>
      </c>
    </row>
    <row r="1916" spans="1:10" x14ac:dyDescent="0.2">
      <c r="A1916" s="85"/>
      <c r="B1916" s="53" t="s">
        <v>21</v>
      </c>
      <c r="C1916" s="89"/>
      <c r="D1916" s="48">
        <v>993</v>
      </c>
      <c r="E1916" s="48">
        <v>2.4790000000000001</v>
      </c>
      <c r="F1916" s="48">
        <v>3.3959999999999999</v>
      </c>
      <c r="G1916" s="48">
        <v>5.0519999999999996</v>
      </c>
      <c r="H1916" s="48">
        <v>0.24234393000000001</v>
      </c>
      <c r="I1916" s="48">
        <v>752.35247349999997</v>
      </c>
      <c r="J1916" s="52" t="e">
        <v>#DIV/0!</v>
      </c>
    </row>
    <row r="1917" spans="1:10" x14ac:dyDescent="0.2">
      <c r="A1917" s="87"/>
      <c r="B1917" s="56" t="s">
        <v>22</v>
      </c>
      <c r="C1917" s="90"/>
      <c r="D1917" s="57"/>
      <c r="E1917" s="57">
        <v>2.464</v>
      </c>
      <c r="F1917" s="57">
        <v>3.6749999999999998</v>
      </c>
      <c r="G1917" s="57">
        <v>5.3529999999999998</v>
      </c>
      <c r="H1917" s="57">
        <v>0.21387755</v>
      </c>
      <c r="I1917" s="57">
        <v>0</v>
      </c>
      <c r="J1917" s="49" t="e">
        <v>#DIV/0!</v>
      </c>
    </row>
    <row r="1918" spans="1:10" x14ac:dyDescent="0.2">
      <c r="A1918" s="91" t="s">
        <v>14</v>
      </c>
      <c r="B1918" s="53" t="s">
        <v>20</v>
      </c>
      <c r="C1918" s="92">
        <v>10</v>
      </c>
      <c r="D1918" s="48"/>
      <c r="E1918" s="48"/>
      <c r="F1918" s="48"/>
      <c r="G1918" s="48"/>
      <c r="H1918" s="48" t="e">
        <v>#DIV/0!</v>
      </c>
      <c r="I1918" s="48" t="e">
        <v>#DIV/0!</v>
      </c>
      <c r="J1918" s="52" t="e">
        <v>#DIV/0!</v>
      </c>
    </row>
    <row r="1919" spans="1:10" x14ac:dyDescent="0.2">
      <c r="A1919" s="85"/>
      <c r="B1919" s="53" t="s">
        <v>21</v>
      </c>
      <c r="C1919" s="89"/>
      <c r="D1919" s="48"/>
      <c r="E1919" s="48"/>
      <c r="F1919" s="48"/>
      <c r="G1919" s="48"/>
      <c r="H1919" s="48" t="e">
        <v>#DIV/0!</v>
      </c>
      <c r="I1919" s="48" t="e">
        <v>#DIV/0!</v>
      </c>
      <c r="J1919" s="52" t="e">
        <v>#DIV/0!</v>
      </c>
    </row>
    <row r="1920" spans="1:10" ht="16" thickBot="1" x14ac:dyDescent="0.25">
      <c r="A1920" s="93"/>
      <c r="B1920" s="58" t="s">
        <v>22</v>
      </c>
      <c r="C1920" s="94"/>
      <c r="D1920" s="59"/>
      <c r="E1920" s="59"/>
      <c r="F1920" s="59"/>
      <c r="G1920" s="59"/>
      <c r="H1920" s="59" t="e">
        <v>#DIV/0!</v>
      </c>
      <c r="I1920" s="59" t="e">
        <v>#DIV/0!</v>
      </c>
      <c r="J1920" s="50" t="e">
        <v>#DIV/0!</v>
      </c>
    </row>
    <row r="1921" spans="1:10" ht="16" thickBot="1" x14ac:dyDescent="0.25">
      <c r="A1921" s="60" t="s">
        <v>1</v>
      </c>
      <c r="B1921" s="61"/>
      <c r="C1921" s="62"/>
      <c r="D1921" s="63" t="s">
        <v>46</v>
      </c>
      <c r="E1921" s="64"/>
      <c r="F1921" s="58" t="s">
        <v>0</v>
      </c>
      <c r="G1921" s="18">
        <v>44157</v>
      </c>
      <c r="H1921" s="65" t="s">
        <v>24</v>
      </c>
      <c r="I1921" s="66"/>
      <c r="J1921" s="49">
        <v>109</v>
      </c>
    </row>
    <row r="1922" spans="1:10" ht="16" thickBot="1" x14ac:dyDescent="0.25">
      <c r="A1922" s="67" t="s">
        <v>2</v>
      </c>
      <c r="B1922" s="68"/>
      <c r="C1922" s="69"/>
      <c r="D1922" s="70"/>
      <c r="E1922" s="71"/>
      <c r="F1922" s="72"/>
      <c r="G1922" s="73"/>
      <c r="H1922" s="74" t="s">
        <v>25</v>
      </c>
      <c r="I1922" s="75"/>
      <c r="J1922" s="49">
        <v>28</v>
      </c>
    </row>
    <row r="1923" spans="1:10" ht="16" thickBot="1" x14ac:dyDescent="0.25">
      <c r="A1923" s="76" t="s">
        <v>27</v>
      </c>
      <c r="B1923" s="77"/>
      <c r="C1923" s="78"/>
      <c r="D1923" s="79" t="s">
        <v>56</v>
      </c>
      <c r="E1923" s="80"/>
      <c r="F1923" s="48" t="s">
        <v>30</v>
      </c>
      <c r="G1923" s="48">
        <v>3.81</v>
      </c>
      <c r="H1923" s="81" t="s">
        <v>26</v>
      </c>
      <c r="I1923" s="82"/>
      <c r="J1923" s="50">
        <v>39.5</v>
      </c>
    </row>
    <row r="1924" spans="1:10" x14ac:dyDescent="0.2">
      <c r="A1924" s="83"/>
      <c r="B1924" s="84"/>
      <c r="C1924" s="51" t="s">
        <v>29</v>
      </c>
      <c r="D1924" s="51" t="s">
        <v>19</v>
      </c>
      <c r="E1924" s="51" t="s">
        <v>15</v>
      </c>
      <c r="F1924" s="51" t="s">
        <v>18</v>
      </c>
      <c r="G1924" s="51" t="s">
        <v>17</v>
      </c>
      <c r="H1924" s="48" t="s">
        <v>28</v>
      </c>
      <c r="I1924" s="48" t="s">
        <v>16</v>
      </c>
      <c r="J1924" s="52" t="s">
        <v>23</v>
      </c>
    </row>
    <row r="1925" spans="1:10" x14ac:dyDescent="0.2">
      <c r="A1925" s="86" t="s">
        <v>3</v>
      </c>
      <c r="B1925" s="53" t="s">
        <v>20</v>
      </c>
      <c r="C1925" s="88">
        <v>10</v>
      </c>
      <c r="D1925" s="54"/>
      <c r="E1925" s="54">
        <v>2.4670000000000001</v>
      </c>
      <c r="F1925" s="54">
        <v>3.8140000000000001</v>
      </c>
      <c r="G1925" s="54">
        <v>5.4909999999999997</v>
      </c>
      <c r="H1925" s="54">
        <v>0.20713161999999999</v>
      </c>
      <c r="I1925" s="54">
        <v>0</v>
      </c>
      <c r="J1925" s="55">
        <v>0</v>
      </c>
    </row>
    <row r="1926" spans="1:10" x14ac:dyDescent="0.2">
      <c r="A1926" s="85"/>
      <c r="B1926" s="53" t="s">
        <v>21</v>
      </c>
      <c r="C1926" s="89"/>
      <c r="D1926" s="48">
        <v>785</v>
      </c>
      <c r="E1926" s="48">
        <v>2.4849999999999999</v>
      </c>
      <c r="F1926" s="48">
        <v>3.6120000000000001</v>
      </c>
      <c r="G1926" s="48">
        <v>5.3090000000000002</v>
      </c>
      <c r="H1926" s="48">
        <v>0.21816168</v>
      </c>
      <c r="I1926" s="48">
        <v>613.74307859999999</v>
      </c>
      <c r="J1926" s="52" t="e">
        <v>#DIV/0!</v>
      </c>
    </row>
    <row r="1927" spans="1:10" x14ac:dyDescent="0.2">
      <c r="A1927" s="87"/>
      <c r="B1927" s="56" t="s">
        <v>22</v>
      </c>
      <c r="C1927" s="90"/>
      <c r="D1927" s="57"/>
      <c r="E1927" s="57">
        <v>2.4359999999999999</v>
      </c>
      <c r="F1927" s="57">
        <v>3.7490000000000001</v>
      </c>
      <c r="G1927" s="57">
        <v>5.3369999999999997</v>
      </c>
      <c r="H1927" s="57">
        <v>0.22619365</v>
      </c>
      <c r="I1927" s="57">
        <v>0</v>
      </c>
      <c r="J1927" s="49" t="e">
        <v>#DIV/0!</v>
      </c>
    </row>
    <row r="1928" spans="1:10" x14ac:dyDescent="0.2">
      <c r="A1928" s="91" t="s">
        <v>4</v>
      </c>
      <c r="B1928" s="53" t="s">
        <v>20</v>
      </c>
      <c r="C1928" s="92">
        <v>10</v>
      </c>
      <c r="D1928" s="48"/>
      <c r="E1928" s="48">
        <v>2.4049999999999998</v>
      </c>
      <c r="F1928" s="48">
        <v>3.1320000000000001</v>
      </c>
      <c r="G1928" s="48">
        <v>4.8410000000000002</v>
      </c>
      <c r="H1928" s="48">
        <v>0.22222222</v>
      </c>
      <c r="I1928" s="48">
        <v>0</v>
      </c>
      <c r="J1928" s="52">
        <v>0</v>
      </c>
    </row>
    <row r="1929" spans="1:10" x14ac:dyDescent="0.2">
      <c r="A1929" s="85"/>
      <c r="B1929" s="53" t="s">
        <v>21</v>
      </c>
      <c r="C1929" s="89"/>
      <c r="D1929" s="48">
        <v>770</v>
      </c>
      <c r="E1929" s="48">
        <v>2.4529999999999998</v>
      </c>
      <c r="F1929" s="48">
        <v>3.7250000000000001</v>
      </c>
      <c r="G1929" s="48">
        <v>5.4029999999999996</v>
      </c>
      <c r="H1929" s="48">
        <v>0.20805369000000001</v>
      </c>
      <c r="I1929" s="48">
        <v>609.79865770000004</v>
      </c>
      <c r="J1929" s="52" t="e">
        <v>#DIV/0!</v>
      </c>
    </row>
    <row r="1930" spans="1:10" x14ac:dyDescent="0.2">
      <c r="A1930" s="87"/>
      <c r="B1930" s="56" t="s">
        <v>22</v>
      </c>
      <c r="C1930" s="90"/>
      <c r="D1930" s="57"/>
      <c r="E1930" s="57">
        <v>2.44</v>
      </c>
      <c r="F1930" s="57">
        <v>3.0950000000000002</v>
      </c>
      <c r="G1930" s="57">
        <v>4.9130000000000003</v>
      </c>
      <c r="H1930" s="57">
        <v>0.20096931000000001</v>
      </c>
      <c r="I1930" s="57">
        <v>0</v>
      </c>
      <c r="J1930" s="49" t="e">
        <v>#DIV/0!</v>
      </c>
    </row>
    <row r="1931" spans="1:10" x14ac:dyDescent="0.2">
      <c r="A1931" s="91" t="s">
        <v>5</v>
      </c>
      <c r="B1931" s="53" t="s">
        <v>20</v>
      </c>
      <c r="C1931" s="92">
        <v>10</v>
      </c>
      <c r="D1931" s="48"/>
      <c r="E1931" s="48">
        <v>2.4769999999999999</v>
      </c>
      <c r="F1931" s="48">
        <v>3.722</v>
      </c>
      <c r="G1931" s="48">
        <v>5.3280000000000003</v>
      </c>
      <c r="H1931" s="48">
        <v>0.23401396999999999</v>
      </c>
      <c r="I1931" s="48">
        <v>0</v>
      </c>
      <c r="J1931" s="52">
        <v>0</v>
      </c>
    </row>
    <row r="1932" spans="1:10" x14ac:dyDescent="0.2">
      <c r="A1932" s="85"/>
      <c r="B1932" s="53" t="s">
        <v>21</v>
      </c>
      <c r="C1932" s="89"/>
      <c r="D1932" s="48">
        <v>770</v>
      </c>
      <c r="E1932" s="48">
        <v>2.4540000000000002</v>
      </c>
      <c r="F1932" s="48">
        <v>3.0379999999999998</v>
      </c>
      <c r="G1932" s="48">
        <v>4.7679999999999998</v>
      </c>
      <c r="H1932" s="48">
        <v>0.23831468</v>
      </c>
      <c r="I1932" s="48">
        <v>586.49769590000005</v>
      </c>
      <c r="J1932" s="52" t="e">
        <v>#DIV/0!</v>
      </c>
    </row>
    <row r="1933" spans="1:10" x14ac:dyDescent="0.2">
      <c r="A1933" s="87"/>
      <c r="B1933" s="56" t="s">
        <v>22</v>
      </c>
      <c r="C1933" s="90"/>
      <c r="D1933" s="57"/>
      <c r="E1933" s="57">
        <v>2.4329999999999998</v>
      </c>
      <c r="F1933" s="57">
        <v>3.5910000000000002</v>
      </c>
      <c r="G1933" s="57">
        <v>5.2030000000000003</v>
      </c>
      <c r="H1933" s="57">
        <v>0.22862711999999999</v>
      </c>
      <c r="I1933" s="57">
        <v>0</v>
      </c>
      <c r="J1933" s="49" t="e">
        <v>#DIV/0!</v>
      </c>
    </row>
    <row r="1934" spans="1:10" x14ac:dyDescent="0.2">
      <c r="A1934" s="91" t="s">
        <v>6</v>
      </c>
      <c r="B1934" s="53" t="s">
        <v>20</v>
      </c>
      <c r="C1934" s="92">
        <v>10</v>
      </c>
      <c r="D1934" s="48"/>
      <c r="E1934" s="48">
        <v>2.415</v>
      </c>
      <c r="F1934" s="48">
        <v>5.4690000000000003</v>
      </c>
      <c r="G1934" s="48">
        <v>5.109</v>
      </c>
      <c r="H1934" s="48">
        <v>0.50740538000000002</v>
      </c>
      <c r="I1934" s="48">
        <v>0</v>
      </c>
      <c r="J1934" s="52">
        <v>0</v>
      </c>
    </row>
    <row r="1935" spans="1:10" x14ac:dyDescent="0.2">
      <c r="A1935" s="85"/>
      <c r="B1935" s="53" t="s">
        <v>21</v>
      </c>
      <c r="C1935" s="89"/>
      <c r="D1935" s="48">
        <v>788</v>
      </c>
      <c r="E1935" s="48">
        <v>2.4079999999999999</v>
      </c>
      <c r="F1935" s="48">
        <v>3.5430000000000001</v>
      </c>
      <c r="G1935" s="48">
        <v>5.1340000000000003</v>
      </c>
      <c r="H1935" s="48">
        <v>0.23059553999999999</v>
      </c>
      <c r="I1935" s="48">
        <v>606.29071409999995</v>
      </c>
      <c r="J1935" s="52" t="e">
        <v>#DIV/0!</v>
      </c>
    </row>
    <row r="1936" spans="1:10" x14ac:dyDescent="0.2">
      <c r="A1936" s="87"/>
      <c r="B1936" s="56" t="s">
        <v>22</v>
      </c>
      <c r="C1936" s="90"/>
      <c r="D1936" s="57"/>
      <c r="E1936" s="57">
        <v>2.4470000000000001</v>
      </c>
      <c r="F1936" s="57">
        <v>3.238</v>
      </c>
      <c r="G1936" s="57">
        <v>4.9779999999999998</v>
      </c>
      <c r="H1936" s="57">
        <v>0.21834466</v>
      </c>
      <c r="I1936" s="57">
        <v>0</v>
      </c>
      <c r="J1936" s="49" t="e">
        <v>#DIV/0!</v>
      </c>
    </row>
    <row r="1937" spans="1:10" x14ac:dyDescent="0.2">
      <c r="A1937" s="91" t="s">
        <v>7</v>
      </c>
      <c r="B1937" s="53" t="s">
        <v>20</v>
      </c>
      <c r="C1937" s="92">
        <v>10</v>
      </c>
      <c r="D1937" s="48"/>
      <c r="E1937" s="48">
        <v>2.4449999999999998</v>
      </c>
      <c r="F1937" s="48">
        <v>3.2810000000000001</v>
      </c>
      <c r="G1937" s="48">
        <v>5.0839999999999996</v>
      </c>
      <c r="H1937" s="48">
        <v>0.19567204999999999</v>
      </c>
      <c r="I1937" s="48">
        <v>0</v>
      </c>
      <c r="J1937" s="52">
        <v>0</v>
      </c>
    </row>
    <row r="1938" spans="1:10" x14ac:dyDescent="0.2">
      <c r="A1938" s="85"/>
      <c r="B1938" s="53" t="s">
        <v>21</v>
      </c>
      <c r="C1938" s="89"/>
      <c r="D1938" s="48">
        <v>877</v>
      </c>
      <c r="E1938" s="48">
        <v>2.4340000000000002</v>
      </c>
      <c r="F1938" s="48">
        <v>3.552</v>
      </c>
      <c r="G1938" s="48">
        <v>5.2140000000000004</v>
      </c>
      <c r="H1938" s="48">
        <v>0.21734233999999999</v>
      </c>
      <c r="I1938" s="48">
        <v>686.39076580000005</v>
      </c>
      <c r="J1938" s="52" t="e">
        <v>#DIV/0!</v>
      </c>
    </row>
    <row r="1939" spans="1:10" x14ac:dyDescent="0.2">
      <c r="A1939" s="87"/>
      <c r="B1939" s="56" t="s">
        <v>22</v>
      </c>
      <c r="C1939" s="90"/>
      <c r="D1939" s="57"/>
      <c r="E1939" s="57">
        <v>2.444</v>
      </c>
      <c r="F1939" s="57">
        <v>3.1</v>
      </c>
      <c r="G1939" s="57">
        <v>4.976</v>
      </c>
      <c r="H1939" s="57">
        <v>0.18322580999999999</v>
      </c>
      <c r="I1939" s="57">
        <v>0</v>
      </c>
      <c r="J1939" s="49" t="e">
        <v>#DIV/0!</v>
      </c>
    </row>
    <row r="1940" spans="1:10" x14ac:dyDescent="0.2">
      <c r="A1940" s="91" t="s">
        <v>8</v>
      </c>
      <c r="B1940" s="53" t="s">
        <v>20</v>
      </c>
      <c r="C1940" s="92">
        <v>10</v>
      </c>
      <c r="D1940" s="48"/>
      <c r="E1940" s="48">
        <v>2.4089999999999998</v>
      </c>
      <c r="F1940" s="48">
        <v>3.298</v>
      </c>
      <c r="G1940" s="48">
        <v>5.0949999999999998</v>
      </c>
      <c r="H1940" s="48">
        <v>0.18556701</v>
      </c>
      <c r="I1940" s="48">
        <v>0</v>
      </c>
      <c r="J1940" s="52">
        <v>0</v>
      </c>
    </row>
    <row r="1941" spans="1:10" x14ac:dyDescent="0.2">
      <c r="A1941" s="85"/>
      <c r="B1941" s="53" t="s">
        <v>21</v>
      </c>
      <c r="C1941" s="89"/>
      <c r="D1941" s="48">
        <v>911</v>
      </c>
      <c r="E1941" s="48">
        <v>2.4390000000000001</v>
      </c>
      <c r="F1941" s="48">
        <v>3.3570000000000002</v>
      </c>
      <c r="G1941" s="48">
        <v>5.1980000000000004</v>
      </c>
      <c r="H1941" s="48">
        <v>0.17813524</v>
      </c>
      <c r="I1941" s="48">
        <v>748.71879650000005</v>
      </c>
      <c r="J1941" s="52" t="e">
        <v>#DIV/0!</v>
      </c>
    </row>
    <row r="1942" spans="1:10" x14ac:dyDescent="0.2">
      <c r="A1942" s="87"/>
      <c r="B1942" s="56" t="s">
        <v>22</v>
      </c>
      <c r="C1942" s="90"/>
      <c r="D1942" s="57"/>
      <c r="E1942" s="57">
        <v>2.4279999999999999</v>
      </c>
      <c r="F1942" s="57">
        <v>3.1949999999999998</v>
      </c>
      <c r="G1942" s="57">
        <v>4.9870000000000001</v>
      </c>
      <c r="H1942" s="57">
        <v>0.19906103</v>
      </c>
      <c r="I1942" s="57">
        <v>0</v>
      </c>
      <c r="J1942" s="49" t="e">
        <v>#DIV/0!</v>
      </c>
    </row>
    <row r="1943" spans="1:10" x14ac:dyDescent="0.2">
      <c r="A1943" s="91" t="s">
        <v>9</v>
      </c>
      <c r="B1943" s="53" t="s">
        <v>20</v>
      </c>
      <c r="C1943" s="92">
        <v>10</v>
      </c>
      <c r="D1943" s="48"/>
      <c r="E1943" s="48">
        <v>2.4319999999999999</v>
      </c>
      <c r="F1943" s="48">
        <v>3.0950000000000002</v>
      </c>
      <c r="G1943" s="48">
        <v>5.0250000000000004</v>
      </c>
      <c r="H1943" s="48">
        <v>0.16219708999999999</v>
      </c>
      <c r="I1943" s="48">
        <v>0</v>
      </c>
      <c r="J1943" s="52">
        <v>0</v>
      </c>
    </row>
    <row r="1944" spans="1:10" x14ac:dyDescent="0.2">
      <c r="A1944" s="85"/>
      <c r="B1944" s="53" t="s">
        <v>21</v>
      </c>
      <c r="C1944" s="89"/>
      <c r="D1944" s="48">
        <v>752</v>
      </c>
      <c r="E1944" s="48">
        <v>2.4390000000000001</v>
      </c>
      <c r="F1944" s="48">
        <v>3.2719999999999998</v>
      </c>
      <c r="G1944" s="48">
        <v>5.157</v>
      </c>
      <c r="H1944" s="48">
        <v>0.1693154</v>
      </c>
      <c r="I1944" s="48">
        <v>624.67481659999999</v>
      </c>
      <c r="J1944" s="52" t="e">
        <v>#DIV/0!</v>
      </c>
    </row>
    <row r="1945" spans="1:10" x14ac:dyDescent="0.2">
      <c r="A1945" s="87"/>
      <c r="B1945" s="56" t="s">
        <v>22</v>
      </c>
      <c r="C1945" s="90"/>
      <c r="D1945" s="57"/>
      <c r="E1945" s="57">
        <v>2.4470000000000001</v>
      </c>
      <c r="F1945" s="57">
        <v>3.63</v>
      </c>
      <c r="G1945" s="57">
        <v>5.4530000000000003</v>
      </c>
      <c r="H1945" s="57">
        <v>0.17190083</v>
      </c>
      <c r="I1945" s="57">
        <v>0</v>
      </c>
      <c r="J1945" s="49" t="e">
        <v>#DIV/0!</v>
      </c>
    </row>
    <row r="1946" spans="1:10" x14ac:dyDescent="0.2">
      <c r="A1946" s="91" t="s">
        <v>10</v>
      </c>
      <c r="B1946" s="53" t="s">
        <v>20</v>
      </c>
      <c r="C1946" s="92">
        <v>10</v>
      </c>
      <c r="D1946" s="48"/>
      <c r="E1946" s="48">
        <v>2.4620000000000002</v>
      </c>
      <c r="F1946" s="48">
        <v>3.0779999999999998</v>
      </c>
      <c r="G1946" s="48">
        <v>4.8550000000000004</v>
      </c>
      <c r="H1946" s="48">
        <v>0.22254710999999999</v>
      </c>
      <c r="I1946" s="48">
        <v>0</v>
      </c>
      <c r="J1946" s="52">
        <v>0</v>
      </c>
    </row>
    <row r="1947" spans="1:10" x14ac:dyDescent="0.2">
      <c r="A1947" s="85"/>
      <c r="B1947" s="53" t="s">
        <v>21</v>
      </c>
      <c r="C1947" s="89"/>
      <c r="D1947" s="48">
        <v>915</v>
      </c>
      <c r="E1947" s="48">
        <v>2.4289999999999998</v>
      </c>
      <c r="F1947" s="48">
        <v>3.5459999999999998</v>
      </c>
      <c r="G1947" s="48">
        <v>5.2240000000000002</v>
      </c>
      <c r="H1947" s="48">
        <v>0.21178793000000001</v>
      </c>
      <c r="I1947" s="48">
        <v>721.21404399999994</v>
      </c>
      <c r="J1947" s="52" t="e">
        <v>#DIV/0!</v>
      </c>
    </row>
    <row r="1948" spans="1:10" x14ac:dyDescent="0.2">
      <c r="A1948" s="87"/>
      <c r="B1948" s="56" t="s">
        <v>22</v>
      </c>
      <c r="C1948" s="90"/>
      <c r="D1948" s="57"/>
      <c r="E1948" s="57">
        <v>2.4620000000000002</v>
      </c>
      <c r="F1948" s="57">
        <v>3.8980000000000001</v>
      </c>
      <c r="G1948" s="57">
        <v>5.5359999999999996</v>
      </c>
      <c r="H1948" s="57">
        <v>0.21139046</v>
      </c>
      <c r="I1948" s="57">
        <v>0</v>
      </c>
      <c r="J1948" s="49" t="e">
        <v>#DIV/0!</v>
      </c>
    </row>
    <row r="1949" spans="1:10" x14ac:dyDescent="0.2">
      <c r="A1949" s="91" t="s">
        <v>11</v>
      </c>
      <c r="B1949" s="53" t="s">
        <v>20</v>
      </c>
      <c r="C1949" s="92">
        <v>10</v>
      </c>
      <c r="D1949" s="48"/>
      <c r="E1949" s="48">
        <v>2.4289999999999998</v>
      </c>
      <c r="F1949" s="48">
        <v>3.677</v>
      </c>
      <c r="G1949" s="48">
        <v>5.3550000000000004</v>
      </c>
      <c r="H1949" s="48">
        <v>0.20424259</v>
      </c>
      <c r="I1949" s="48">
        <v>0</v>
      </c>
      <c r="J1949" s="52">
        <v>0</v>
      </c>
    </row>
    <row r="1950" spans="1:10" x14ac:dyDescent="0.2">
      <c r="A1950" s="85"/>
      <c r="B1950" s="53" t="s">
        <v>21</v>
      </c>
      <c r="C1950" s="89"/>
      <c r="D1950" s="48">
        <v>846</v>
      </c>
      <c r="E1950" s="48">
        <v>2.4460000000000002</v>
      </c>
      <c r="F1950" s="48">
        <v>3.081</v>
      </c>
      <c r="G1950" s="48">
        <v>4.9379999999999997</v>
      </c>
      <c r="H1950" s="48">
        <v>0.1911717</v>
      </c>
      <c r="I1950" s="48">
        <v>684.2687439</v>
      </c>
      <c r="J1950" s="52" t="e">
        <v>#DIV/0!</v>
      </c>
    </row>
    <row r="1951" spans="1:10" x14ac:dyDescent="0.2">
      <c r="A1951" s="87"/>
      <c r="B1951" s="56" t="s">
        <v>22</v>
      </c>
      <c r="C1951" s="90"/>
      <c r="D1951" s="57"/>
      <c r="E1951" s="57">
        <v>2.448</v>
      </c>
      <c r="F1951" s="57">
        <v>3.532</v>
      </c>
      <c r="G1951" s="57">
        <v>5.3010000000000002</v>
      </c>
      <c r="H1951" s="57">
        <v>0.19224236</v>
      </c>
      <c r="I1951" s="57">
        <v>0</v>
      </c>
      <c r="J1951" s="49" t="e">
        <v>#DIV/0!</v>
      </c>
    </row>
    <row r="1952" spans="1:10" x14ac:dyDescent="0.2">
      <c r="A1952" s="91" t="s">
        <v>12</v>
      </c>
      <c r="B1952" s="53" t="s">
        <v>20</v>
      </c>
      <c r="C1952" s="92">
        <v>10</v>
      </c>
      <c r="D1952" s="48"/>
      <c r="E1952" s="48">
        <v>2.4870000000000001</v>
      </c>
      <c r="F1952" s="48">
        <v>3.7789999999999999</v>
      </c>
      <c r="G1952" s="48">
        <v>5.4320000000000004</v>
      </c>
      <c r="H1952" s="48">
        <v>0.22069331</v>
      </c>
      <c r="I1952" s="48">
        <v>0</v>
      </c>
      <c r="J1952" s="52">
        <v>0</v>
      </c>
    </row>
    <row r="1953" spans="1:10" x14ac:dyDescent="0.2">
      <c r="A1953" s="85"/>
      <c r="B1953" s="53" t="s">
        <v>21</v>
      </c>
      <c r="C1953" s="89"/>
      <c r="D1953" s="48">
        <v>911</v>
      </c>
      <c r="E1953" s="48">
        <v>2.46</v>
      </c>
      <c r="F1953" s="48">
        <v>3.3370000000000002</v>
      </c>
      <c r="G1953" s="48">
        <v>5.032</v>
      </c>
      <c r="H1953" s="48">
        <v>0.22924783000000001</v>
      </c>
      <c r="I1953" s="48">
        <v>702.15522920000001</v>
      </c>
      <c r="J1953" s="52" t="e">
        <v>#DIV/0!</v>
      </c>
    </row>
    <row r="1954" spans="1:10" x14ac:dyDescent="0.2">
      <c r="A1954" s="87"/>
      <c r="B1954" s="56" t="s">
        <v>22</v>
      </c>
      <c r="C1954" s="90"/>
      <c r="D1954" s="57"/>
      <c r="E1954" s="57">
        <v>2.4500000000000002</v>
      </c>
      <c r="F1954" s="57">
        <v>3.6269999999999998</v>
      </c>
      <c r="G1954" s="57">
        <v>5.234</v>
      </c>
      <c r="H1954" s="57">
        <v>0.23242349000000001</v>
      </c>
      <c r="I1954" s="57">
        <v>0</v>
      </c>
      <c r="J1954" s="49" t="e">
        <v>#DIV/0!</v>
      </c>
    </row>
    <row r="1955" spans="1:10" x14ac:dyDescent="0.2">
      <c r="A1955" s="91" t="s">
        <v>13</v>
      </c>
      <c r="B1955" s="53" t="s">
        <v>20</v>
      </c>
      <c r="C1955" s="92">
        <v>8</v>
      </c>
      <c r="D1955" s="48"/>
      <c r="E1955" s="48">
        <v>2.4780000000000002</v>
      </c>
      <c r="F1955" s="48">
        <v>3.4969999999999999</v>
      </c>
      <c r="G1955" s="48">
        <v>5.17</v>
      </c>
      <c r="H1955" s="48">
        <v>0.23019730999999999</v>
      </c>
      <c r="I1955" s="48">
        <v>0</v>
      </c>
      <c r="J1955" s="52">
        <v>0</v>
      </c>
    </row>
    <row r="1956" spans="1:10" x14ac:dyDescent="0.2">
      <c r="A1956" s="85"/>
      <c r="B1956" s="53" t="s">
        <v>21</v>
      </c>
      <c r="C1956" s="89"/>
      <c r="D1956" s="48">
        <v>629</v>
      </c>
      <c r="E1956" s="48">
        <v>2.48</v>
      </c>
      <c r="F1956" s="48">
        <v>3.35</v>
      </c>
      <c r="G1956" s="48">
        <v>5.0919999999999996</v>
      </c>
      <c r="H1956" s="48">
        <v>0.22029851</v>
      </c>
      <c r="I1956" s="48">
        <v>490.43223879999999</v>
      </c>
      <c r="J1956" s="52" t="e">
        <v>#DIV/0!</v>
      </c>
    </row>
    <row r="1957" spans="1:10" x14ac:dyDescent="0.2">
      <c r="A1957" s="87"/>
      <c r="B1957" s="56" t="s">
        <v>22</v>
      </c>
      <c r="C1957" s="90"/>
      <c r="D1957" s="57"/>
      <c r="E1957" s="57">
        <v>2.468</v>
      </c>
      <c r="F1957" s="57">
        <v>3.698</v>
      </c>
      <c r="G1957" s="57">
        <v>5.2789999999999999</v>
      </c>
      <c r="H1957" s="57">
        <v>0.23985938000000001</v>
      </c>
      <c r="I1957" s="57">
        <v>0</v>
      </c>
      <c r="J1957" s="49" t="e">
        <v>#DIV/0!</v>
      </c>
    </row>
    <row r="1958" spans="1:10" x14ac:dyDescent="0.2">
      <c r="A1958" s="91" t="s">
        <v>14</v>
      </c>
      <c r="B1958" s="53" t="s">
        <v>20</v>
      </c>
      <c r="C1958" s="92">
        <v>10</v>
      </c>
      <c r="D1958" s="48"/>
      <c r="E1958" s="48"/>
      <c r="F1958" s="48"/>
      <c r="G1958" s="48"/>
      <c r="H1958" s="48" t="e">
        <v>#DIV/0!</v>
      </c>
      <c r="I1958" s="48" t="e">
        <v>#DIV/0!</v>
      </c>
      <c r="J1958" s="52" t="e">
        <v>#DIV/0!</v>
      </c>
    </row>
    <row r="1959" spans="1:10" x14ac:dyDescent="0.2">
      <c r="A1959" s="85"/>
      <c r="B1959" s="53" t="s">
        <v>21</v>
      </c>
      <c r="C1959" s="89"/>
      <c r="D1959" s="48"/>
      <c r="E1959" s="48"/>
      <c r="F1959" s="48"/>
      <c r="G1959" s="48"/>
      <c r="H1959" s="48" t="e">
        <v>#DIV/0!</v>
      </c>
      <c r="I1959" s="48" t="e">
        <v>#DIV/0!</v>
      </c>
      <c r="J1959" s="52" t="e">
        <v>#DIV/0!</v>
      </c>
    </row>
    <row r="1960" spans="1:10" ht="16" thickBot="1" x14ac:dyDescent="0.25">
      <c r="A1960" s="93"/>
      <c r="B1960" s="58" t="s">
        <v>22</v>
      </c>
      <c r="C1960" s="94"/>
      <c r="D1960" s="59"/>
      <c r="E1960" s="59"/>
      <c r="F1960" s="59"/>
      <c r="G1960" s="59"/>
      <c r="H1960" s="59" t="e">
        <v>#DIV/0!</v>
      </c>
      <c r="I1960" s="59" t="e">
        <v>#DIV/0!</v>
      </c>
      <c r="J1960" s="50" t="e">
        <v>#DIV/0!</v>
      </c>
    </row>
    <row r="1961" spans="1:10" ht="16" thickBot="1" x14ac:dyDescent="0.25">
      <c r="A1961" s="60" t="s">
        <v>1</v>
      </c>
      <c r="B1961" s="61"/>
      <c r="C1961" s="62"/>
      <c r="D1961" s="63" t="s">
        <v>55</v>
      </c>
      <c r="E1961" s="64"/>
      <c r="F1961" s="58" t="s">
        <v>0</v>
      </c>
      <c r="G1961" s="18">
        <v>44157</v>
      </c>
      <c r="H1961" s="65" t="s">
        <v>24</v>
      </c>
      <c r="I1961" s="66"/>
      <c r="J1961" s="49">
        <v>120</v>
      </c>
    </row>
    <row r="1962" spans="1:10" ht="16" thickBot="1" x14ac:dyDescent="0.25">
      <c r="A1962" s="67" t="s">
        <v>2</v>
      </c>
      <c r="B1962" s="68"/>
      <c r="C1962" s="69"/>
      <c r="D1962" s="70"/>
      <c r="E1962" s="71"/>
      <c r="F1962" s="72"/>
      <c r="G1962" s="73"/>
      <c r="H1962" s="74" t="s">
        <v>25</v>
      </c>
      <c r="I1962" s="75"/>
      <c r="J1962" s="49">
        <v>23.5</v>
      </c>
    </row>
    <row r="1963" spans="1:10" ht="16" thickBot="1" x14ac:dyDescent="0.25">
      <c r="A1963" s="76" t="s">
        <v>27</v>
      </c>
      <c r="B1963" s="77"/>
      <c r="C1963" s="78"/>
      <c r="D1963" s="79" t="s">
        <v>32</v>
      </c>
      <c r="E1963" s="80"/>
      <c r="F1963" s="48" t="s">
        <v>30</v>
      </c>
      <c r="G1963" s="48">
        <v>3.81</v>
      </c>
      <c r="H1963" s="81" t="s">
        <v>26</v>
      </c>
      <c r="I1963" s="82"/>
      <c r="J1963" s="50">
        <v>48</v>
      </c>
    </row>
    <row r="1964" spans="1:10" x14ac:dyDescent="0.2">
      <c r="A1964" s="83"/>
      <c r="B1964" s="84"/>
      <c r="C1964" s="51" t="s">
        <v>29</v>
      </c>
      <c r="D1964" s="51" t="s">
        <v>19</v>
      </c>
      <c r="E1964" s="51" t="s">
        <v>15</v>
      </c>
      <c r="F1964" s="51" t="s">
        <v>18</v>
      </c>
      <c r="G1964" s="51" t="s">
        <v>17</v>
      </c>
      <c r="H1964" s="48" t="s">
        <v>28</v>
      </c>
      <c r="I1964" s="48" t="s">
        <v>16</v>
      </c>
      <c r="J1964" s="52" t="s">
        <v>23</v>
      </c>
    </row>
    <row r="1965" spans="1:10" x14ac:dyDescent="0.2">
      <c r="A1965" s="86" t="s">
        <v>3</v>
      </c>
      <c r="B1965" s="53" t="s">
        <v>20</v>
      </c>
      <c r="C1965" s="88">
        <v>10</v>
      </c>
      <c r="D1965" s="54"/>
      <c r="E1965" s="54">
        <v>2.4350000000000001</v>
      </c>
      <c r="F1965" s="54">
        <v>3.117</v>
      </c>
      <c r="G1965" s="54">
        <v>4.7759999999999998</v>
      </c>
      <c r="H1965" s="54">
        <v>0.24895733</v>
      </c>
      <c r="I1965" s="54">
        <v>0</v>
      </c>
      <c r="J1965" s="55">
        <v>0</v>
      </c>
    </row>
    <row r="1966" spans="1:10" x14ac:dyDescent="0.2">
      <c r="A1966" s="85"/>
      <c r="B1966" s="53" t="s">
        <v>21</v>
      </c>
      <c r="C1966" s="89"/>
      <c r="D1966" s="48">
        <v>653</v>
      </c>
      <c r="E1966" s="48">
        <v>2.4209999999999998</v>
      </c>
      <c r="F1966" s="48">
        <v>3.2759999999999998</v>
      </c>
      <c r="G1966" s="48">
        <v>4.8789999999999996</v>
      </c>
      <c r="H1966" s="48">
        <v>0.24969474999999999</v>
      </c>
      <c r="I1966" s="48">
        <v>489.94932840000001</v>
      </c>
      <c r="J1966" s="52" t="e">
        <v>#DIV/0!</v>
      </c>
    </row>
    <row r="1967" spans="1:10" x14ac:dyDescent="0.2">
      <c r="A1967" s="87"/>
      <c r="B1967" s="56" t="s">
        <v>22</v>
      </c>
      <c r="C1967" s="90"/>
      <c r="D1967" s="57"/>
      <c r="E1967" s="57">
        <v>2.468</v>
      </c>
      <c r="F1967" s="57">
        <v>3.677</v>
      </c>
      <c r="G1967" s="57">
        <v>5.202</v>
      </c>
      <c r="H1967" s="57">
        <v>0.25645907000000001</v>
      </c>
      <c r="I1967" s="57">
        <v>0</v>
      </c>
      <c r="J1967" s="49" t="e">
        <v>#DIV/0!</v>
      </c>
    </row>
    <row r="1968" spans="1:10" x14ac:dyDescent="0.2">
      <c r="A1968" s="91" t="s">
        <v>4</v>
      </c>
      <c r="B1968" s="53" t="s">
        <v>20</v>
      </c>
      <c r="C1968" s="92">
        <v>10</v>
      </c>
      <c r="D1968" s="48"/>
      <c r="E1968" s="48">
        <v>2.431</v>
      </c>
      <c r="F1968" s="48">
        <v>3.5710000000000002</v>
      </c>
      <c r="G1968" s="48">
        <v>5.3339999999999996</v>
      </c>
      <c r="H1968" s="48">
        <v>0.18706244999999999</v>
      </c>
      <c r="I1968" s="48">
        <v>0</v>
      </c>
      <c r="J1968" s="52">
        <v>0</v>
      </c>
    </row>
    <row r="1969" spans="1:10" x14ac:dyDescent="0.2">
      <c r="A1969" s="85"/>
      <c r="B1969" s="53" t="s">
        <v>21</v>
      </c>
      <c r="C1969" s="89"/>
      <c r="D1969" s="48">
        <v>792</v>
      </c>
      <c r="E1969" s="48">
        <v>2.4620000000000002</v>
      </c>
      <c r="F1969" s="48">
        <v>3.1749999999999998</v>
      </c>
      <c r="G1969" s="48">
        <v>5.016</v>
      </c>
      <c r="H1969" s="48">
        <v>0.19559055</v>
      </c>
      <c r="I1969" s="48">
        <v>637.09228350000001</v>
      </c>
      <c r="J1969" s="52" t="e">
        <v>#DIV/0!</v>
      </c>
    </row>
    <row r="1970" spans="1:10" x14ac:dyDescent="0.2">
      <c r="A1970" s="87"/>
      <c r="B1970" s="56" t="s">
        <v>22</v>
      </c>
      <c r="C1970" s="90"/>
      <c r="D1970" s="57"/>
      <c r="E1970" s="57">
        <v>2.4180000000000001</v>
      </c>
      <c r="F1970" s="57">
        <v>3.4060000000000001</v>
      </c>
      <c r="G1970" s="57">
        <v>5.1689999999999996</v>
      </c>
      <c r="H1970" s="57">
        <v>0.19230769</v>
      </c>
      <c r="I1970" s="57">
        <v>0</v>
      </c>
      <c r="J1970" s="49" t="e">
        <v>#DIV/0!</v>
      </c>
    </row>
    <row r="1971" spans="1:10" x14ac:dyDescent="0.2">
      <c r="A1971" s="91" t="s">
        <v>5</v>
      </c>
      <c r="B1971" s="53" t="s">
        <v>20</v>
      </c>
      <c r="C1971" s="92">
        <v>10</v>
      </c>
      <c r="D1971" s="48"/>
      <c r="E1971" s="48">
        <v>2.4279999999999999</v>
      </c>
      <c r="F1971" s="48">
        <v>3.2949999999999999</v>
      </c>
      <c r="G1971" s="48">
        <v>5.1340000000000003</v>
      </c>
      <c r="H1971" s="48">
        <v>0.17875568999999999</v>
      </c>
      <c r="I1971" s="48">
        <v>0</v>
      </c>
      <c r="J1971" s="52">
        <v>0</v>
      </c>
    </row>
    <row r="1972" spans="1:10" x14ac:dyDescent="0.2">
      <c r="A1972" s="85"/>
      <c r="B1972" s="53" t="s">
        <v>21</v>
      </c>
      <c r="C1972" s="89"/>
      <c r="D1972" s="48">
        <v>737</v>
      </c>
      <c r="E1972" s="48">
        <v>2.48</v>
      </c>
      <c r="F1972" s="48">
        <v>3.694</v>
      </c>
      <c r="G1972" s="48">
        <v>5.492</v>
      </c>
      <c r="H1972" s="48">
        <v>0.18462371</v>
      </c>
      <c r="I1972" s="48">
        <v>600.93232269999999</v>
      </c>
      <c r="J1972" s="52" t="e">
        <v>#DIV/0!</v>
      </c>
    </row>
    <row r="1973" spans="1:10" x14ac:dyDescent="0.2">
      <c r="A1973" s="87"/>
      <c r="B1973" s="56" t="s">
        <v>22</v>
      </c>
      <c r="C1973" s="90"/>
      <c r="D1973" s="57"/>
      <c r="E1973" s="57">
        <v>2.48</v>
      </c>
      <c r="F1973" s="57">
        <v>3.5950000000000002</v>
      </c>
      <c r="G1973" s="57">
        <v>5.4340000000000002</v>
      </c>
      <c r="H1973" s="57">
        <v>0.1783032</v>
      </c>
      <c r="I1973" s="57">
        <v>0</v>
      </c>
      <c r="J1973" s="49" t="e">
        <v>#DIV/0!</v>
      </c>
    </row>
    <row r="1974" spans="1:10" x14ac:dyDescent="0.2">
      <c r="A1974" s="91" t="s">
        <v>6</v>
      </c>
      <c r="B1974" s="53" t="s">
        <v>20</v>
      </c>
      <c r="C1974" s="92">
        <v>10</v>
      </c>
      <c r="D1974" s="48"/>
      <c r="E1974" s="48">
        <v>2.415</v>
      </c>
      <c r="F1974" s="48">
        <v>3.9950000000000001</v>
      </c>
      <c r="G1974" s="48">
        <v>5.6920000000000002</v>
      </c>
      <c r="H1974" s="48">
        <v>0.17972466000000001</v>
      </c>
      <c r="I1974" s="48">
        <v>0</v>
      </c>
      <c r="J1974" s="52">
        <v>0</v>
      </c>
    </row>
    <row r="1975" spans="1:10" x14ac:dyDescent="0.2">
      <c r="A1975" s="85"/>
      <c r="B1975" s="53" t="s">
        <v>21</v>
      </c>
      <c r="C1975" s="89"/>
      <c r="D1975" s="48">
        <v>810</v>
      </c>
      <c r="E1975" s="48">
        <v>2.4420000000000002</v>
      </c>
      <c r="F1975" s="48">
        <v>3.9809999999999999</v>
      </c>
      <c r="G1975" s="48">
        <v>3.7130000000000001</v>
      </c>
      <c r="H1975" s="48">
        <v>0.68073348</v>
      </c>
      <c r="I1975" s="48">
        <v>258.6058779</v>
      </c>
      <c r="J1975" s="52" t="e">
        <v>#DIV/0!</v>
      </c>
    </row>
    <row r="1976" spans="1:10" x14ac:dyDescent="0.2">
      <c r="A1976" s="87"/>
      <c r="B1976" s="56" t="s">
        <v>22</v>
      </c>
      <c r="C1976" s="90"/>
      <c r="D1976" s="57"/>
      <c r="E1976" s="57">
        <v>2.4769999999999999</v>
      </c>
      <c r="F1976" s="57">
        <v>3.46</v>
      </c>
      <c r="G1976" s="57">
        <v>5.0940000000000003</v>
      </c>
      <c r="H1976" s="57">
        <v>0.24364162</v>
      </c>
      <c r="I1976" s="57">
        <v>0</v>
      </c>
      <c r="J1976" s="49" t="e">
        <v>#DIV/0!</v>
      </c>
    </row>
    <row r="1977" spans="1:10" x14ac:dyDescent="0.2">
      <c r="A1977" s="91" t="s">
        <v>7</v>
      </c>
      <c r="B1977" s="53" t="s">
        <v>20</v>
      </c>
      <c r="C1977" s="92">
        <v>10</v>
      </c>
      <c r="D1977" s="48"/>
      <c r="E1977" s="48">
        <v>2.415</v>
      </c>
      <c r="F1977" s="48">
        <v>3.0539999999999998</v>
      </c>
      <c r="G1977" s="48">
        <v>4.9379999999999997</v>
      </c>
      <c r="H1977" s="48">
        <v>0.17387032999999999</v>
      </c>
      <c r="I1977" s="48">
        <v>0</v>
      </c>
      <c r="J1977" s="52">
        <v>0</v>
      </c>
    </row>
    <row r="1978" spans="1:10" x14ac:dyDescent="0.2">
      <c r="A1978" s="85"/>
      <c r="B1978" s="53" t="s">
        <v>21</v>
      </c>
      <c r="C1978" s="89"/>
      <c r="D1978" s="48">
        <v>855</v>
      </c>
      <c r="E1978" s="48">
        <v>2.4630000000000001</v>
      </c>
      <c r="F1978" s="48">
        <v>3.3839999999999999</v>
      </c>
      <c r="G1978" s="48">
        <v>5.2859999999999996</v>
      </c>
      <c r="H1978" s="48">
        <v>0.16578013999999999</v>
      </c>
      <c r="I1978" s="48">
        <v>713.25797869999997</v>
      </c>
      <c r="J1978" s="52" t="e">
        <v>#DIV/0!</v>
      </c>
    </row>
    <row r="1979" spans="1:10" x14ac:dyDescent="0.2">
      <c r="A1979" s="87"/>
      <c r="B1979" s="56" t="s">
        <v>22</v>
      </c>
      <c r="C1979" s="90"/>
      <c r="D1979" s="57"/>
      <c r="E1979" s="57">
        <v>2.431</v>
      </c>
      <c r="F1979" s="57">
        <v>3.153</v>
      </c>
      <c r="G1979" s="57">
        <v>5.0449999999999999</v>
      </c>
      <c r="H1979" s="57">
        <v>0.1709483</v>
      </c>
      <c r="I1979" s="57">
        <v>0</v>
      </c>
      <c r="J1979" s="49" t="e">
        <v>#DIV/0!</v>
      </c>
    </row>
    <row r="1980" spans="1:10" x14ac:dyDescent="0.2">
      <c r="A1980" s="91" t="s">
        <v>8</v>
      </c>
      <c r="B1980" s="53" t="s">
        <v>20</v>
      </c>
      <c r="C1980" s="92">
        <v>10</v>
      </c>
      <c r="D1980" s="48"/>
      <c r="E1980" s="48">
        <v>2.4260000000000002</v>
      </c>
      <c r="F1980" s="48">
        <v>3.2170000000000001</v>
      </c>
      <c r="G1980" s="48">
        <v>5.032</v>
      </c>
      <c r="H1980" s="48">
        <v>0.1899285</v>
      </c>
      <c r="I1980" s="48">
        <v>0</v>
      </c>
      <c r="J1980" s="52">
        <v>0</v>
      </c>
    </row>
    <row r="1981" spans="1:10" x14ac:dyDescent="0.2">
      <c r="A1981" s="85"/>
      <c r="B1981" s="53" t="s">
        <v>21</v>
      </c>
      <c r="C1981" s="89"/>
      <c r="D1981" s="48">
        <v>796</v>
      </c>
      <c r="E1981" s="48">
        <v>2.4300000000000002</v>
      </c>
      <c r="F1981" s="48">
        <v>3.0550000000000002</v>
      </c>
      <c r="G1981" s="48">
        <v>4.8860000000000001</v>
      </c>
      <c r="H1981" s="48">
        <v>0.19607200999999999</v>
      </c>
      <c r="I1981" s="48">
        <v>639.92667759999995</v>
      </c>
      <c r="J1981" s="52" t="e">
        <v>#DIV/0!</v>
      </c>
    </row>
    <row r="1982" spans="1:10" x14ac:dyDescent="0.2">
      <c r="A1982" s="87"/>
      <c r="B1982" s="56" t="s">
        <v>22</v>
      </c>
      <c r="C1982" s="90"/>
      <c r="D1982" s="57"/>
      <c r="E1982" s="57">
        <v>2.4790000000000001</v>
      </c>
      <c r="F1982" s="57">
        <v>3.5590000000000002</v>
      </c>
      <c r="G1982" s="57">
        <v>5.3049999999999997</v>
      </c>
      <c r="H1982" s="57">
        <v>0.20595673</v>
      </c>
      <c r="I1982" s="57">
        <v>0</v>
      </c>
      <c r="J1982" s="49" t="e">
        <v>#DIV/0!</v>
      </c>
    </row>
    <row r="1983" spans="1:10" x14ac:dyDescent="0.2">
      <c r="A1983" s="91" t="s">
        <v>9</v>
      </c>
      <c r="B1983" s="53" t="s">
        <v>20</v>
      </c>
      <c r="C1983" s="92">
        <v>10</v>
      </c>
      <c r="D1983" s="48"/>
      <c r="E1983" s="48">
        <v>2.4729999999999999</v>
      </c>
      <c r="F1983" s="48">
        <v>3.1549999999999998</v>
      </c>
      <c r="G1983" s="48">
        <v>4.9649999999999999</v>
      </c>
      <c r="H1983" s="48">
        <v>0.21014263</v>
      </c>
      <c r="I1983" s="48">
        <v>0</v>
      </c>
      <c r="J1983" s="52">
        <v>0</v>
      </c>
    </row>
    <row r="1984" spans="1:10" x14ac:dyDescent="0.2">
      <c r="A1984" s="85"/>
      <c r="B1984" s="53" t="s">
        <v>21</v>
      </c>
      <c r="C1984" s="89"/>
      <c r="D1984" s="48">
        <v>869</v>
      </c>
      <c r="E1984" s="48">
        <v>2.4430000000000001</v>
      </c>
      <c r="F1984" s="48">
        <v>3.0859999999999999</v>
      </c>
      <c r="G1984" s="48">
        <v>4.9370000000000003</v>
      </c>
      <c r="H1984" s="48">
        <v>0.19183409000000001</v>
      </c>
      <c r="I1984" s="48">
        <v>702.29617629999996</v>
      </c>
      <c r="J1984" s="52" t="e">
        <v>#DIV/0!</v>
      </c>
    </row>
    <row r="1985" spans="1:10" x14ac:dyDescent="0.2">
      <c r="A1985" s="87"/>
      <c r="B1985" s="56" t="s">
        <v>22</v>
      </c>
      <c r="C1985" s="90"/>
      <c r="D1985" s="57"/>
      <c r="E1985" s="57">
        <v>2.4390000000000001</v>
      </c>
      <c r="F1985" s="57">
        <v>3.0350000000000001</v>
      </c>
      <c r="G1985" s="57">
        <v>4.899</v>
      </c>
      <c r="H1985" s="57">
        <v>0.18945634</v>
      </c>
      <c r="I1985" s="57">
        <v>0</v>
      </c>
      <c r="J1985" s="49" t="e">
        <v>#DIV/0!</v>
      </c>
    </row>
    <row r="1986" spans="1:10" x14ac:dyDescent="0.2">
      <c r="A1986" s="91" t="s">
        <v>10</v>
      </c>
      <c r="B1986" s="53" t="s">
        <v>20</v>
      </c>
      <c r="C1986" s="92">
        <v>10</v>
      </c>
      <c r="D1986" s="48"/>
      <c r="E1986" s="48">
        <v>2.452</v>
      </c>
      <c r="F1986" s="48">
        <v>3.673</v>
      </c>
      <c r="G1986" s="48">
        <v>5.407</v>
      </c>
      <c r="H1986" s="48">
        <v>0.19548053000000001</v>
      </c>
      <c r="I1986" s="48">
        <v>0</v>
      </c>
      <c r="J1986" s="52">
        <v>0</v>
      </c>
    </row>
    <row r="1987" spans="1:10" x14ac:dyDescent="0.2">
      <c r="A1987" s="85"/>
      <c r="B1987" s="53" t="s">
        <v>21</v>
      </c>
      <c r="C1987" s="89"/>
      <c r="D1987" s="48">
        <v>783</v>
      </c>
      <c r="E1987" s="48">
        <v>2.4470000000000001</v>
      </c>
      <c r="F1987" s="48">
        <v>3.431</v>
      </c>
      <c r="G1987" s="48">
        <v>5.15</v>
      </c>
      <c r="H1987" s="48">
        <v>0.21218303999999999</v>
      </c>
      <c r="I1987" s="48">
        <v>616.860682</v>
      </c>
      <c r="J1987" s="52" t="e">
        <v>#DIV/0!</v>
      </c>
    </row>
    <row r="1988" spans="1:10" x14ac:dyDescent="0.2">
      <c r="A1988" s="87"/>
      <c r="B1988" s="56" t="s">
        <v>22</v>
      </c>
      <c r="C1988" s="90"/>
      <c r="D1988" s="57"/>
      <c r="E1988" s="57">
        <v>2.4289999999999998</v>
      </c>
      <c r="F1988" s="57">
        <v>3.4569999999999999</v>
      </c>
      <c r="G1988" s="57">
        <v>5.2450000000000001</v>
      </c>
      <c r="H1988" s="57">
        <v>0.18542089</v>
      </c>
      <c r="I1988" s="57">
        <v>0</v>
      </c>
      <c r="J1988" s="49" t="e">
        <v>#DIV/0!</v>
      </c>
    </row>
    <row r="1989" spans="1:10" x14ac:dyDescent="0.2">
      <c r="A1989" s="91" t="s">
        <v>11</v>
      </c>
      <c r="B1989" s="53" t="s">
        <v>20</v>
      </c>
      <c r="C1989" s="92">
        <v>10</v>
      </c>
      <c r="D1989" s="48"/>
      <c r="E1989" s="48">
        <v>2.4289999999999998</v>
      </c>
      <c r="F1989" s="48">
        <v>3.5670000000000002</v>
      </c>
      <c r="G1989" s="48">
        <v>5.2050000000000001</v>
      </c>
      <c r="H1989" s="48">
        <v>0.22175497999999999</v>
      </c>
      <c r="I1989" s="48">
        <v>0</v>
      </c>
      <c r="J1989" s="52">
        <v>0</v>
      </c>
    </row>
    <row r="1990" spans="1:10" x14ac:dyDescent="0.2">
      <c r="A1990" s="85"/>
      <c r="B1990" s="53" t="s">
        <v>21</v>
      </c>
      <c r="C1990" s="89"/>
      <c r="D1990" s="48">
        <v>781</v>
      </c>
      <c r="E1990" s="48">
        <v>2.4359999999999999</v>
      </c>
      <c r="F1990" s="48">
        <v>3.294</v>
      </c>
      <c r="G1990" s="48">
        <v>5.0549999999999997</v>
      </c>
      <c r="H1990" s="48">
        <v>0.20491803</v>
      </c>
      <c r="I1990" s="48">
        <v>620.9590164</v>
      </c>
      <c r="J1990" s="52" t="e">
        <v>#DIV/0!</v>
      </c>
    </row>
    <row r="1991" spans="1:10" x14ac:dyDescent="0.2">
      <c r="A1991" s="87"/>
      <c r="B1991" s="56" t="s">
        <v>22</v>
      </c>
      <c r="C1991" s="90"/>
      <c r="D1991" s="57"/>
      <c r="E1991" s="57">
        <v>2.4380000000000002</v>
      </c>
      <c r="F1991" s="57">
        <v>3.1629999999999998</v>
      </c>
      <c r="G1991" s="57">
        <v>4.9729999999999999</v>
      </c>
      <c r="H1991" s="57">
        <v>0.19854568</v>
      </c>
      <c r="I1991" s="57">
        <v>0</v>
      </c>
      <c r="J1991" s="49" t="e">
        <v>#DIV/0!</v>
      </c>
    </row>
    <row r="1992" spans="1:10" x14ac:dyDescent="0.2">
      <c r="A1992" s="91" t="s">
        <v>12</v>
      </c>
      <c r="B1992" s="53" t="s">
        <v>20</v>
      </c>
      <c r="C1992" s="92">
        <v>10</v>
      </c>
      <c r="D1992" s="48"/>
      <c r="E1992" s="48">
        <v>2.4729999999999999</v>
      </c>
      <c r="F1992" s="48">
        <v>3.0859999999999999</v>
      </c>
      <c r="G1992" s="48">
        <v>4.9409999999999998</v>
      </c>
      <c r="H1992" s="48">
        <v>0.20025924000000001</v>
      </c>
      <c r="I1992" s="48">
        <v>0</v>
      </c>
      <c r="J1992" s="52">
        <v>0</v>
      </c>
    </row>
    <row r="1993" spans="1:10" x14ac:dyDescent="0.2">
      <c r="A1993" s="85"/>
      <c r="B1993" s="53" t="s">
        <v>21</v>
      </c>
      <c r="C1993" s="89"/>
      <c r="D1993" s="48">
        <v>763</v>
      </c>
      <c r="E1993" s="48">
        <v>2.444</v>
      </c>
      <c r="F1993" s="48">
        <v>3.1080000000000001</v>
      </c>
      <c r="G1993" s="48">
        <v>4.8970000000000002</v>
      </c>
      <c r="H1993" s="48">
        <v>0.21074646</v>
      </c>
      <c r="I1993" s="48">
        <v>602.20045049999999</v>
      </c>
      <c r="J1993" s="52" t="e">
        <v>#DIV/0!</v>
      </c>
    </row>
    <row r="1994" spans="1:10" x14ac:dyDescent="0.2">
      <c r="A1994" s="87"/>
      <c r="B1994" s="56" t="s">
        <v>22</v>
      </c>
      <c r="C1994" s="90"/>
      <c r="D1994" s="57"/>
      <c r="E1994" s="57">
        <v>2.41</v>
      </c>
      <c r="F1994" s="57">
        <v>3.5219999999999998</v>
      </c>
      <c r="G1994" s="57">
        <v>5.29</v>
      </c>
      <c r="H1994" s="57">
        <v>0.18228279</v>
      </c>
      <c r="I1994" s="57">
        <v>0</v>
      </c>
      <c r="J1994" s="49" t="e">
        <v>#DIV/0!</v>
      </c>
    </row>
    <row r="1995" spans="1:10" x14ac:dyDescent="0.2">
      <c r="A1995" s="91" t="s">
        <v>13</v>
      </c>
      <c r="B1995" s="53" t="s">
        <v>20</v>
      </c>
      <c r="C1995" s="92">
        <v>10</v>
      </c>
      <c r="D1995" s="48"/>
      <c r="E1995" s="48">
        <v>2.4319999999999999</v>
      </c>
      <c r="F1995" s="48">
        <v>3.4</v>
      </c>
      <c r="G1995" s="48">
        <v>5.3760000000000003</v>
      </c>
      <c r="H1995" s="48">
        <v>0.13411765</v>
      </c>
      <c r="I1995" s="48">
        <v>0</v>
      </c>
      <c r="J1995" s="52">
        <v>0</v>
      </c>
    </row>
    <row r="1996" spans="1:10" x14ac:dyDescent="0.2">
      <c r="A1996" s="85"/>
      <c r="B1996" s="53" t="s">
        <v>21</v>
      </c>
      <c r="C1996" s="89"/>
      <c r="D1996" s="48">
        <v>673</v>
      </c>
      <c r="E1996" s="48">
        <v>2.4489999999999998</v>
      </c>
      <c r="F1996" s="48">
        <v>3.3839999999999999</v>
      </c>
      <c r="G1996" s="48">
        <v>5.2670000000000003</v>
      </c>
      <c r="H1996" s="48">
        <v>0.16725767999999999</v>
      </c>
      <c r="I1996" s="48">
        <v>560.43557920000001</v>
      </c>
      <c r="J1996" s="52" t="e">
        <v>#DIV/0!</v>
      </c>
    </row>
    <row r="1997" spans="1:10" x14ac:dyDescent="0.2">
      <c r="A1997" s="87"/>
      <c r="B1997" s="56" t="s">
        <v>22</v>
      </c>
      <c r="C1997" s="90"/>
      <c r="D1997" s="57"/>
      <c r="E1997" s="57">
        <v>2.4500000000000002</v>
      </c>
      <c r="F1997" s="57">
        <v>3.5670000000000002</v>
      </c>
      <c r="G1997" s="57">
        <v>5.6029999999999998</v>
      </c>
      <c r="H1997" s="57">
        <v>0.11606392</v>
      </c>
      <c r="I1997" s="57">
        <v>0</v>
      </c>
      <c r="J1997" s="49" t="e">
        <v>#DIV/0!</v>
      </c>
    </row>
    <row r="1998" spans="1:10" x14ac:dyDescent="0.2">
      <c r="A1998" s="91" t="s">
        <v>14</v>
      </c>
      <c r="B1998" s="53" t="s">
        <v>20</v>
      </c>
      <c r="C1998" s="92">
        <v>9.5</v>
      </c>
      <c r="D1998" s="48"/>
      <c r="E1998" s="48">
        <v>2.4279999999999999</v>
      </c>
      <c r="F1998" s="48">
        <v>3.403</v>
      </c>
      <c r="G1998" s="48">
        <v>5.2729999999999997</v>
      </c>
      <c r="H1998" s="48">
        <v>0.16397297</v>
      </c>
      <c r="I1998" s="48">
        <v>0</v>
      </c>
      <c r="J1998" s="52">
        <v>0</v>
      </c>
    </row>
    <row r="1999" spans="1:10" x14ac:dyDescent="0.2">
      <c r="A1999" s="85"/>
      <c r="B1999" s="53" t="s">
        <v>21</v>
      </c>
      <c r="C1999" s="89"/>
      <c r="D1999" s="48">
        <v>639</v>
      </c>
      <c r="E1999" s="48">
        <v>2.4609999999999999</v>
      </c>
      <c r="F1999" s="48">
        <v>3.8919999999999999</v>
      </c>
      <c r="G1999" s="48">
        <v>5.7789999999999999</v>
      </c>
      <c r="H1999" s="48">
        <v>0.14748201</v>
      </c>
      <c r="I1999" s="48">
        <v>544.75899279999999</v>
      </c>
      <c r="J1999" s="52" t="e">
        <v>#DIV/0!</v>
      </c>
    </row>
    <row r="2000" spans="1:10" ht="16" thickBot="1" x14ac:dyDescent="0.25">
      <c r="A2000" s="93"/>
      <c r="B2000" s="58" t="s">
        <v>22</v>
      </c>
      <c r="C2000" s="94"/>
      <c r="D2000" s="59"/>
      <c r="E2000" s="59">
        <v>2.4430000000000001</v>
      </c>
      <c r="F2000" s="59">
        <v>3.23</v>
      </c>
      <c r="G2000" s="59">
        <v>5.2249999999999996</v>
      </c>
      <c r="H2000" s="59">
        <v>0.13869968999999999</v>
      </c>
      <c r="I2000" s="59">
        <v>0</v>
      </c>
      <c r="J2000" s="50" t="e">
        <v>#DIV/0!</v>
      </c>
    </row>
    <row r="2001" spans="1:10" ht="16" thickBot="1" x14ac:dyDescent="0.25">
      <c r="A2001" s="60" t="s">
        <v>1</v>
      </c>
      <c r="B2001" s="61"/>
      <c r="C2001" s="62"/>
      <c r="D2001" s="63" t="s">
        <v>55</v>
      </c>
      <c r="E2001" s="64"/>
      <c r="F2001" s="58" t="s">
        <v>0</v>
      </c>
      <c r="G2001" s="18">
        <v>44157</v>
      </c>
      <c r="H2001" s="65" t="s">
        <v>24</v>
      </c>
      <c r="I2001" s="66"/>
      <c r="J2001" s="49">
        <v>112</v>
      </c>
    </row>
    <row r="2002" spans="1:10" ht="16" thickBot="1" x14ac:dyDescent="0.25">
      <c r="A2002" s="67" t="s">
        <v>2</v>
      </c>
      <c r="B2002" s="68"/>
      <c r="C2002" s="69"/>
      <c r="D2002" s="70"/>
      <c r="E2002" s="71"/>
      <c r="F2002" s="72"/>
      <c r="G2002" s="73"/>
      <c r="H2002" s="74" t="s">
        <v>25</v>
      </c>
      <c r="I2002" s="75"/>
      <c r="J2002" s="49">
        <v>28</v>
      </c>
    </row>
    <row r="2003" spans="1:10" ht="16" thickBot="1" x14ac:dyDescent="0.25">
      <c r="A2003" s="76" t="s">
        <v>27</v>
      </c>
      <c r="B2003" s="77"/>
      <c r="C2003" s="78"/>
      <c r="D2003" s="79" t="s">
        <v>33</v>
      </c>
      <c r="E2003" s="80"/>
      <c r="F2003" s="48" t="s">
        <v>30</v>
      </c>
      <c r="G2003" s="48">
        <v>3.81</v>
      </c>
      <c r="H2003" s="81" t="s">
        <v>26</v>
      </c>
      <c r="I2003" s="82"/>
      <c r="J2003" s="50">
        <v>52</v>
      </c>
    </row>
    <row r="2004" spans="1:10" x14ac:dyDescent="0.2">
      <c r="A2004" s="83"/>
      <c r="B2004" s="84"/>
      <c r="C2004" s="51" t="s">
        <v>29</v>
      </c>
      <c r="D2004" s="51" t="s">
        <v>19</v>
      </c>
      <c r="E2004" s="51" t="s">
        <v>15</v>
      </c>
      <c r="F2004" s="51" t="s">
        <v>18</v>
      </c>
      <c r="G2004" s="51" t="s">
        <v>17</v>
      </c>
      <c r="H2004" s="48" t="s">
        <v>28</v>
      </c>
      <c r="I2004" s="48" t="s">
        <v>16</v>
      </c>
      <c r="J2004" s="52" t="s">
        <v>23</v>
      </c>
    </row>
    <row r="2005" spans="1:10" x14ac:dyDescent="0.2">
      <c r="A2005" s="86" t="s">
        <v>3</v>
      </c>
      <c r="B2005" s="53" t="s">
        <v>20</v>
      </c>
      <c r="C2005" s="88">
        <v>10</v>
      </c>
      <c r="D2005" s="54"/>
      <c r="E2005" s="54">
        <v>2.4129999999999998</v>
      </c>
      <c r="F2005" s="54">
        <v>3.637</v>
      </c>
      <c r="G2005" s="54">
        <v>5.2149999999999999</v>
      </c>
      <c r="H2005" s="54">
        <v>0.22958482</v>
      </c>
      <c r="I2005" s="54">
        <v>0</v>
      </c>
      <c r="J2005" s="55">
        <v>0</v>
      </c>
    </row>
    <row r="2006" spans="1:10" x14ac:dyDescent="0.2">
      <c r="A2006" s="85"/>
      <c r="B2006" s="53" t="s">
        <v>21</v>
      </c>
      <c r="C2006" s="89"/>
      <c r="D2006" s="48">
        <v>631</v>
      </c>
      <c r="E2006" s="48">
        <v>2.448</v>
      </c>
      <c r="F2006" s="48">
        <v>3.9460000000000002</v>
      </c>
      <c r="G2006" s="48">
        <v>5.4489999999999998</v>
      </c>
      <c r="H2006" s="48">
        <v>0.23948301999999999</v>
      </c>
      <c r="I2006" s="48">
        <v>479.88621389999997</v>
      </c>
      <c r="J2006" s="52" t="e">
        <v>#DIV/0!</v>
      </c>
    </row>
    <row r="2007" spans="1:10" x14ac:dyDescent="0.2">
      <c r="A2007" s="87"/>
      <c r="B2007" s="56" t="s">
        <v>22</v>
      </c>
      <c r="C2007" s="90"/>
      <c r="D2007" s="57"/>
      <c r="E2007" s="57">
        <v>2.4660000000000002</v>
      </c>
      <c r="F2007" s="57">
        <v>3.363</v>
      </c>
      <c r="G2007" s="57">
        <v>5.0579999999999998</v>
      </c>
      <c r="H2007" s="57">
        <v>0.22925959000000001</v>
      </c>
      <c r="I2007" s="57">
        <v>0</v>
      </c>
      <c r="J2007" s="49" t="e">
        <v>#DIV/0!</v>
      </c>
    </row>
    <row r="2008" spans="1:10" x14ac:dyDescent="0.2">
      <c r="A2008" s="91" t="s">
        <v>4</v>
      </c>
      <c r="B2008" s="53" t="s">
        <v>20</v>
      </c>
      <c r="C2008" s="92">
        <v>10</v>
      </c>
      <c r="D2008" s="48"/>
      <c r="E2008" s="48">
        <v>2.4540000000000002</v>
      </c>
      <c r="F2008" s="48">
        <v>3.8460000000000001</v>
      </c>
      <c r="G2008" s="48">
        <v>5.5460000000000003</v>
      </c>
      <c r="H2008" s="48">
        <v>0.19604784</v>
      </c>
      <c r="I2008" s="48">
        <v>0</v>
      </c>
      <c r="J2008" s="52">
        <v>0</v>
      </c>
    </row>
    <row r="2009" spans="1:10" x14ac:dyDescent="0.2">
      <c r="A2009" s="85"/>
      <c r="B2009" s="53" t="s">
        <v>21</v>
      </c>
      <c r="C2009" s="89"/>
      <c r="D2009" s="48">
        <v>742</v>
      </c>
      <c r="E2009" s="48">
        <v>2.4790000000000001</v>
      </c>
      <c r="F2009" s="48">
        <v>3.5840000000000001</v>
      </c>
      <c r="G2009" s="48">
        <v>5.3550000000000004</v>
      </c>
      <c r="H2009" s="48">
        <v>0.19754463999999999</v>
      </c>
      <c r="I2009" s="48">
        <v>595.421875</v>
      </c>
      <c r="J2009" s="52" t="e">
        <v>#DIV/0!</v>
      </c>
    </row>
    <row r="2010" spans="1:10" x14ac:dyDescent="0.2">
      <c r="A2010" s="87"/>
      <c r="B2010" s="56" t="s">
        <v>22</v>
      </c>
      <c r="C2010" s="90"/>
      <c r="D2010" s="57"/>
      <c r="E2010" s="57">
        <v>2.4180000000000001</v>
      </c>
      <c r="F2010" s="57">
        <v>3.3580000000000001</v>
      </c>
      <c r="G2010" s="57">
        <v>5.0890000000000004</v>
      </c>
      <c r="H2010" s="57">
        <v>0.20458605999999999</v>
      </c>
      <c r="I2010" s="57">
        <v>0</v>
      </c>
      <c r="J2010" s="49" t="e">
        <v>#DIV/0!</v>
      </c>
    </row>
    <row r="2011" spans="1:10" x14ac:dyDescent="0.2">
      <c r="A2011" s="91" t="s">
        <v>5</v>
      </c>
      <c r="B2011" s="53" t="s">
        <v>20</v>
      </c>
      <c r="C2011" s="92">
        <v>10</v>
      </c>
      <c r="D2011" s="48"/>
      <c r="E2011" s="48">
        <v>2.4630000000000001</v>
      </c>
      <c r="F2011" s="48">
        <v>3.5070000000000001</v>
      </c>
      <c r="G2011" s="48">
        <v>5.3079999999999998</v>
      </c>
      <c r="H2011" s="48">
        <v>0.18876533000000001</v>
      </c>
      <c r="I2011" s="48">
        <v>0</v>
      </c>
      <c r="J2011" s="52">
        <v>0</v>
      </c>
    </row>
    <row r="2012" spans="1:10" x14ac:dyDescent="0.2">
      <c r="A2012" s="85"/>
      <c r="B2012" s="53" t="s">
        <v>21</v>
      </c>
      <c r="C2012" s="89"/>
      <c r="D2012" s="48">
        <v>765</v>
      </c>
      <c r="E2012" s="48">
        <v>2.4359999999999999</v>
      </c>
      <c r="F2012" s="48">
        <v>3.375</v>
      </c>
      <c r="G2012" s="48">
        <v>5.2190000000000003</v>
      </c>
      <c r="H2012" s="48">
        <v>0.17540741000000001</v>
      </c>
      <c r="I2012" s="48">
        <v>630.81333329999995</v>
      </c>
      <c r="J2012" s="52" t="e">
        <v>#DIV/0!</v>
      </c>
    </row>
    <row r="2013" spans="1:10" x14ac:dyDescent="0.2">
      <c r="A2013" s="87"/>
      <c r="B2013" s="56" t="s">
        <v>22</v>
      </c>
      <c r="C2013" s="90"/>
      <c r="D2013" s="57"/>
      <c r="E2013" s="57">
        <v>2.4620000000000002</v>
      </c>
      <c r="F2013" s="57">
        <v>3.073</v>
      </c>
      <c r="G2013" s="57">
        <v>4.984</v>
      </c>
      <c r="H2013" s="57">
        <v>0.17930361</v>
      </c>
      <c r="I2013" s="57">
        <v>0</v>
      </c>
      <c r="J2013" s="49" t="e">
        <v>#DIV/0!</v>
      </c>
    </row>
    <row r="2014" spans="1:10" x14ac:dyDescent="0.2">
      <c r="A2014" s="91" t="s">
        <v>6</v>
      </c>
      <c r="B2014" s="53" t="s">
        <v>20</v>
      </c>
      <c r="C2014" s="92">
        <v>10</v>
      </c>
      <c r="D2014" s="48"/>
      <c r="E2014" s="48">
        <v>2.4409999999999998</v>
      </c>
      <c r="F2014" s="48">
        <v>3.032</v>
      </c>
      <c r="G2014" s="48">
        <v>4.9320000000000004</v>
      </c>
      <c r="H2014" s="48">
        <v>0.17843007999999999</v>
      </c>
      <c r="I2014" s="48">
        <v>0</v>
      </c>
      <c r="J2014" s="52">
        <v>0</v>
      </c>
    </row>
    <row r="2015" spans="1:10" x14ac:dyDescent="0.2">
      <c r="A2015" s="85"/>
      <c r="B2015" s="53" t="s">
        <v>21</v>
      </c>
      <c r="C2015" s="89"/>
      <c r="D2015" s="48">
        <v>744</v>
      </c>
      <c r="E2015" s="48">
        <v>2.444</v>
      </c>
      <c r="F2015" s="48">
        <v>3.0569999999999999</v>
      </c>
      <c r="G2015" s="48">
        <v>4.9729999999999999</v>
      </c>
      <c r="H2015" s="48">
        <v>0.17271834999999999</v>
      </c>
      <c r="I2015" s="48">
        <v>615.49754659999996</v>
      </c>
      <c r="J2015" s="52" t="e">
        <v>#DIV/0!</v>
      </c>
    </row>
    <row r="2016" spans="1:10" x14ac:dyDescent="0.2">
      <c r="A2016" s="87"/>
      <c r="B2016" s="56" t="s">
        <v>22</v>
      </c>
      <c r="C2016" s="90"/>
      <c r="D2016" s="57"/>
      <c r="E2016" s="57">
        <v>2.4820000000000002</v>
      </c>
      <c r="F2016" s="57">
        <v>3.2429999999999999</v>
      </c>
      <c r="G2016" s="57">
        <v>5.1520000000000001</v>
      </c>
      <c r="H2016" s="57">
        <v>0.17668824999999999</v>
      </c>
      <c r="I2016" s="57">
        <v>0</v>
      </c>
      <c r="J2016" s="49" t="e">
        <v>#DIV/0!</v>
      </c>
    </row>
    <row r="2017" spans="1:10" x14ac:dyDescent="0.2">
      <c r="A2017" s="91" t="s">
        <v>7</v>
      </c>
      <c r="B2017" s="53" t="s">
        <v>20</v>
      </c>
      <c r="C2017" s="92">
        <v>10</v>
      </c>
      <c r="D2017" s="48"/>
      <c r="E2017" s="48">
        <v>2.4319999999999999</v>
      </c>
      <c r="F2017" s="48">
        <v>3.452</v>
      </c>
      <c r="G2017" s="48">
        <v>5.2690000000000001</v>
      </c>
      <c r="H2017" s="48">
        <v>0.17815759</v>
      </c>
      <c r="I2017" s="48">
        <v>0</v>
      </c>
      <c r="J2017" s="52">
        <v>0</v>
      </c>
    </row>
    <row r="2018" spans="1:10" x14ac:dyDescent="0.2">
      <c r="A2018" s="85"/>
      <c r="B2018" s="53" t="s">
        <v>21</v>
      </c>
      <c r="C2018" s="89"/>
      <c r="D2018" s="48">
        <v>817</v>
      </c>
      <c r="E2018" s="48">
        <v>2.4660000000000002</v>
      </c>
      <c r="F2018" s="48">
        <v>3.1440000000000001</v>
      </c>
      <c r="G2018" s="48">
        <v>5.048</v>
      </c>
      <c r="H2018" s="48">
        <v>0.17875318000000001</v>
      </c>
      <c r="I2018" s="48">
        <v>670.95865140000001</v>
      </c>
      <c r="J2018" s="52" t="e">
        <v>#DIV/0!</v>
      </c>
    </row>
    <row r="2019" spans="1:10" x14ac:dyDescent="0.2">
      <c r="A2019" s="87"/>
      <c r="B2019" s="56" t="s">
        <v>22</v>
      </c>
      <c r="C2019" s="90"/>
      <c r="D2019" s="57"/>
      <c r="E2019" s="57">
        <v>2.4620000000000002</v>
      </c>
      <c r="F2019" s="57">
        <v>3.3420000000000001</v>
      </c>
      <c r="G2019" s="57">
        <v>5.21</v>
      </c>
      <c r="H2019" s="57">
        <v>0.17773787999999999</v>
      </c>
      <c r="I2019" s="57">
        <v>0</v>
      </c>
      <c r="J2019" s="49" t="e">
        <v>#DIV/0!</v>
      </c>
    </row>
    <row r="2020" spans="1:10" x14ac:dyDescent="0.2">
      <c r="A2020" s="91" t="s">
        <v>8</v>
      </c>
      <c r="B2020" s="53" t="s">
        <v>20</v>
      </c>
      <c r="C2020" s="92">
        <v>10</v>
      </c>
      <c r="D2020" s="48"/>
      <c r="E2020" s="48">
        <v>2.4300000000000002</v>
      </c>
      <c r="F2020" s="48">
        <v>3.4020000000000001</v>
      </c>
      <c r="G2020" s="48">
        <v>5.2859999999999996</v>
      </c>
      <c r="H2020" s="48">
        <v>0.16049383</v>
      </c>
      <c r="I2020" s="48">
        <v>0</v>
      </c>
      <c r="J2020" s="52">
        <v>0</v>
      </c>
    </row>
    <row r="2021" spans="1:10" x14ac:dyDescent="0.2">
      <c r="A2021" s="85"/>
      <c r="B2021" s="53" t="s">
        <v>21</v>
      </c>
      <c r="C2021" s="89"/>
      <c r="D2021" s="48">
        <v>805</v>
      </c>
      <c r="E2021" s="48">
        <v>2.4300000000000002</v>
      </c>
      <c r="F2021" s="48">
        <v>3.9220000000000002</v>
      </c>
      <c r="G2021" s="48">
        <v>5.7169999999999996</v>
      </c>
      <c r="H2021" s="48">
        <v>0.16190719000000001</v>
      </c>
      <c r="I2021" s="48">
        <v>674.66471190000004</v>
      </c>
      <c r="J2021" s="52" t="e">
        <v>#DIV/0!</v>
      </c>
    </row>
    <row r="2022" spans="1:10" x14ac:dyDescent="0.2">
      <c r="A2022" s="87"/>
      <c r="B2022" s="56" t="s">
        <v>22</v>
      </c>
      <c r="C2022" s="90"/>
      <c r="D2022" s="57"/>
      <c r="E2022" s="57">
        <v>2.4609999999999999</v>
      </c>
      <c r="F2022" s="57">
        <v>3.1829999999999998</v>
      </c>
      <c r="G2022" s="57">
        <v>5.141</v>
      </c>
      <c r="H2022" s="57">
        <v>0.15802701999999999</v>
      </c>
      <c r="I2022" s="57">
        <v>0</v>
      </c>
      <c r="J2022" s="49" t="e">
        <v>#DIV/0!</v>
      </c>
    </row>
    <row r="2023" spans="1:10" x14ac:dyDescent="0.2">
      <c r="A2023" s="91" t="s">
        <v>9</v>
      </c>
      <c r="B2023" s="53" t="s">
        <v>20</v>
      </c>
      <c r="C2023" s="92">
        <v>10</v>
      </c>
      <c r="D2023" s="48"/>
      <c r="E2023" s="48">
        <v>2.4670000000000001</v>
      </c>
      <c r="F2023" s="48">
        <v>3.1389999999999998</v>
      </c>
      <c r="G2023" s="48">
        <v>5.0540000000000003</v>
      </c>
      <c r="H2023" s="48">
        <v>0.17585218</v>
      </c>
      <c r="I2023" s="48">
        <v>0</v>
      </c>
      <c r="J2023" s="52">
        <v>0</v>
      </c>
    </row>
    <row r="2024" spans="1:10" x14ac:dyDescent="0.2">
      <c r="A2024" s="85"/>
      <c r="B2024" s="53" t="s">
        <v>21</v>
      </c>
      <c r="C2024" s="89"/>
      <c r="D2024" s="48">
        <v>797</v>
      </c>
      <c r="E2024" s="48">
        <v>2.4510000000000001</v>
      </c>
      <c r="F2024" s="48">
        <v>3.1190000000000002</v>
      </c>
      <c r="G2024" s="48">
        <v>4.976</v>
      </c>
      <c r="H2024" s="48">
        <v>0.19044565999999999</v>
      </c>
      <c r="I2024" s="48">
        <v>645.21481240000003</v>
      </c>
      <c r="J2024" s="52" t="e">
        <v>#DIV/0!</v>
      </c>
    </row>
    <row r="2025" spans="1:10" x14ac:dyDescent="0.2">
      <c r="A2025" s="87"/>
      <c r="B2025" s="56" t="s">
        <v>22</v>
      </c>
      <c r="C2025" s="90"/>
      <c r="D2025" s="57"/>
      <c r="E2025" s="57">
        <v>2.4620000000000002</v>
      </c>
      <c r="F2025" s="57">
        <v>3.5529999999999999</v>
      </c>
      <c r="G2025" s="57">
        <v>5.3789999999999996</v>
      </c>
      <c r="H2025" s="57">
        <v>0.17900366000000001</v>
      </c>
      <c r="I2025" s="57">
        <v>0</v>
      </c>
      <c r="J2025" s="49" t="e">
        <v>#DIV/0!</v>
      </c>
    </row>
    <row r="2026" spans="1:10" x14ac:dyDescent="0.2">
      <c r="A2026" s="91" t="s">
        <v>10</v>
      </c>
      <c r="B2026" s="53" t="s">
        <v>20</v>
      </c>
      <c r="C2026" s="92">
        <v>10</v>
      </c>
      <c r="D2026" s="48"/>
      <c r="E2026" s="48">
        <v>2.4430000000000001</v>
      </c>
      <c r="F2026" s="48">
        <v>3.8849999999999998</v>
      </c>
      <c r="G2026" s="48">
        <v>5.6680000000000001</v>
      </c>
      <c r="H2026" s="48">
        <v>0.16988417</v>
      </c>
      <c r="I2026" s="48">
        <v>0</v>
      </c>
      <c r="J2026" s="52">
        <v>0</v>
      </c>
    </row>
    <row r="2027" spans="1:10" x14ac:dyDescent="0.2">
      <c r="A2027" s="85"/>
      <c r="B2027" s="53" t="s">
        <v>21</v>
      </c>
      <c r="C2027" s="89"/>
      <c r="D2027" s="48">
        <v>799</v>
      </c>
      <c r="E2027" s="48">
        <v>2.4380000000000002</v>
      </c>
      <c r="F2027" s="48">
        <v>3.3330000000000002</v>
      </c>
      <c r="G2027" s="48">
        <v>5.22</v>
      </c>
      <c r="H2027" s="48">
        <v>0.16531652999999999</v>
      </c>
      <c r="I2027" s="48">
        <v>666.91209119999996</v>
      </c>
      <c r="J2027" s="52" t="e">
        <v>#DIV/0!</v>
      </c>
    </row>
    <row r="2028" spans="1:10" x14ac:dyDescent="0.2">
      <c r="A2028" s="87"/>
      <c r="B2028" s="56" t="s">
        <v>22</v>
      </c>
      <c r="C2028" s="90"/>
      <c r="D2028" s="57"/>
      <c r="E2028" s="57">
        <v>2.4249999999999998</v>
      </c>
      <c r="F2028" s="57">
        <v>3.637</v>
      </c>
      <c r="G2028" s="57">
        <v>5.4660000000000002</v>
      </c>
      <c r="H2028" s="57">
        <v>0.16387131999999999</v>
      </c>
      <c r="I2028" s="57">
        <v>0</v>
      </c>
      <c r="J2028" s="49" t="e">
        <v>#DIV/0!</v>
      </c>
    </row>
    <row r="2029" spans="1:10" x14ac:dyDescent="0.2">
      <c r="A2029" s="91" t="s">
        <v>11</v>
      </c>
      <c r="B2029" s="53" t="s">
        <v>20</v>
      </c>
      <c r="C2029" s="92">
        <v>10</v>
      </c>
      <c r="D2029" s="48"/>
      <c r="E2029" s="48">
        <v>2.4279999999999999</v>
      </c>
      <c r="F2029" s="48">
        <v>3.835</v>
      </c>
      <c r="G2029" s="48">
        <v>5.6669999999999998</v>
      </c>
      <c r="H2029" s="48">
        <v>0.15541068999999999</v>
      </c>
      <c r="I2029" s="48">
        <v>0</v>
      </c>
      <c r="J2029" s="52">
        <v>0</v>
      </c>
    </row>
    <row r="2030" spans="1:10" x14ac:dyDescent="0.2">
      <c r="A2030" s="85"/>
      <c r="B2030" s="53" t="s">
        <v>21</v>
      </c>
      <c r="C2030" s="89"/>
      <c r="D2030" s="48">
        <v>831</v>
      </c>
      <c r="E2030" s="48">
        <v>2.4700000000000002</v>
      </c>
      <c r="F2030" s="48">
        <v>3.206</v>
      </c>
      <c r="G2030" s="48">
        <v>5.1230000000000002</v>
      </c>
      <c r="H2030" s="48">
        <v>0.17248907999999999</v>
      </c>
      <c r="I2030" s="48">
        <v>687.66157209999994</v>
      </c>
      <c r="J2030" s="52" t="e">
        <v>#DIV/0!</v>
      </c>
    </row>
    <row r="2031" spans="1:10" x14ac:dyDescent="0.2">
      <c r="A2031" s="87"/>
      <c r="B2031" s="56" t="s">
        <v>22</v>
      </c>
      <c r="C2031" s="90"/>
      <c r="D2031" s="57"/>
      <c r="E2031" s="57">
        <v>2.444</v>
      </c>
      <c r="F2031" s="57">
        <v>3.0619999999999998</v>
      </c>
      <c r="G2031" s="57">
        <v>4.968</v>
      </c>
      <c r="H2031" s="57">
        <v>0.17570216</v>
      </c>
      <c r="I2031" s="57">
        <v>0</v>
      </c>
      <c r="J2031" s="49" t="e">
        <v>#DIV/0!</v>
      </c>
    </row>
    <row r="2032" spans="1:10" x14ac:dyDescent="0.2">
      <c r="A2032" s="91" t="s">
        <v>12</v>
      </c>
      <c r="B2032" s="53" t="s">
        <v>20</v>
      </c>
      <c r="C2032" s="92">
        <v>10</v>
      </c>
      <c r="D2032" s="48"/>
      <c r="E2032" s="48">
        <v>2.4390000000000001</v>
      </c>
      <c r="F2032" s="48">
        <v>3.504</v>
      </c>
      <c r="G2032" s="48">
        <v>5.28</v>
      </c>
      <c r="H2032" s="48">
        <v>0.18921233000000001</v>
      </c>
      <c r="I2032" s="48">
        <v>0</v>
      </c>
      <c r="J2032" s="52">
        <v>0</v>
      </c>
    </row>
    <row r="2033" spans="1:10" x14ac:dyDescent="0.2">
      <c r="A2033" s="85"/>
      <c r="B2033" s="53" t="s">
        <v>21</v>
      </c>
      <c r="C2033" s="89"/>
      <c r="D2033" s="48">
        <v>744</v>
      </c>
      <c r="E2033" s="48">
        <v>2.4449999999999998</v>
      </c>
      <c r="F2033" s="48">
        <v>3.0760000000000001</v>
      </c>
      <c r="G2033" s="48">
        <v>4.8140000000000001</v>
      </c>
      <c r="H2033" s="48">
        <v>0.22984394999999999</v>
      </c>
      <c r="I2033" s="48">
        <v>572.99609880000003</v>
      </c>
      <c r="J2033" s="52" t="e">
        <v>#DIV/0!</v>
      </c>
    </row>
    <row r="2034" spans="1:10" x14ac:dyDescent="0.2">
      <c r="A2034" s="87"/>
      <c r="B2034" s="56" t="s">
        <v>22</v>
      </c>
      <c r="C2034" s="90"/>
      <c r="D2034" s="57"/>
      <c r="E2034" s="57">
        <v>2.423</v>
      </c>
      <c r="F2034" s="57">
        <v>3.8690000000000002</v>
      </c>
      <c r="G2034" s="57">
        <v>5.577</v>
      </c>
      <c r="H2034" s="57">
        <v>0.18480226999999999</v>
      </c>
      <c r="I2034" s="57">
        <v>0</v>
      </c>
      <c r="J2034" s="49" t="e">
        <v>#DIV/0!</v>
      </c>
    </row>
    <row r="2035" spans="1:10" x14ac:dyDescent="0.2">
      <c r="A2035" s="91" t="s">
        <v>13</v>
      </c>
      <c r="B2035" s="53" t="s">
        <v>20</v>
      </c>
      <c r="C2035" s="92">
        <v>10</v>
      </c>
      <c r="D2035" s="48"/>
      <c r="E2035" s="48">
        <v>2.4260000000000002</v>
      </c>
      <c r="F2035" s="48">
        <v>3.2170000000000001</v>
      </c>
      <c r="G2035" s="48">
        <v>4.8849999999999998</v>
      </c>
      <c r="H2035" s="48">
        <v>0.23562325000000001</v>
      </c>
      <c r="I2035" s="48">
        <v>0</v>
      </c>
      <c r="J2035" s="52">
        <v>0</v>
      </c>
    </row>
    <row r="2036" spans="1:10" x14ac:dyDescent="0.2">
      <c r="A2036" s="85"/>
      <c r="B2036" s="53" t="s">
        <v>21</v>
      </c>
      <c r="C2036" s="89"/>
      <c r="D2036" s="48">
        <v>705</v>
      </c>
      <c r="E2036" s="48">
        <v>2.444</v>
      </c>
      <c r="F2036" s="48">
        <v>3.4460000000000002</v>
      </c>
      <c r="G2036" s="48">
        <v>5.1070000000000002</v>
      </c>
      <c r="H2036" s="48">
        <v>0.22721996999999999</v>
      </c>
      <c r="I2036" s="48">
        <v>544.80992460000004</v>
      </c>
      <c r="J2036" s="52" t="e">
        <v>#DIV/0!</v>
      </c>
    </row>
    <row r="2037" spans="1:10" x14ac:dyDescent="0.2">
      <c r="A2037" s="87"/>
      <c r="B2037" s="56" t="s">
        <v>22</v>
      </c>
      <c r="C2037" s="90"/>
      <c r="D2037" s="57"/>
      <c r="E2037" s="57">
        <v>2.4420000000000002</v>
      </c>
      <c r="F2037" s="57">
        <v>3.0059999999999998</v>
      </c>
      <c r="G2037" s="57">
        <v>4.742</v>
      </c>
      <c r="H2037" s="57">
        <v>0.23486361</v>
      </c>
      <c r="I2037" s="57">
        <v>0</v>
      </c>
      <c r="J2037" s="49" t="e">
        <v>#DIV/0!</v>
      </c>
    </row>
    <row r="2038" spans="1:10" x14ac:dyDescent="0.2">
      <c r="A2038" s="91" t="s">
        <v>14</v>
      </c>
      <c r="B2038" s="53" t="s">
        <v>20</v>
      </c>
      <c r="C2038" s="92">
        <v>10</v>
      </c>
      <c r="D2038" s="48"/>
      <c r="E2038" s="48"/>
      <c r="F2038" s="48"/>
      <c r="G2038" s="48"/>
      <c r="H2038" s="48" t="e">
        <v>#DIV/0!</v>
      </c>
      <c r="I2038" s="48" t="e">
        <v>#DIV/0!</v>
      </c>
      <c r="J2038" s="52" t="e">
        <v>#DIV/0!</v>
      </c>
    </row>
    <row r="2039" spans="1:10" x14ac:dyDescent="0.2">
      <c r="A2039" s="85"/>
      <c r="B2039" s="53" t="s">
        <v>21</v>
      </c>
      <c r="C2039" s="89"/>
      <c r="D2039" s="48"/>
      <c r="E2039" s="48"/>
      <c r="F2039" s="48"/>
      <c r="G2039" s="48"/>
      <c r="H2039" s="48" t="e">
        <v>#DIV/0!</v>
      </c>
      <c r="I2039" s="48" t="e">
        <v>#DIV/0!</v>
      </c>
      <c r="J2039" s="52" t="e">
        <v>#DIV/0!</v>
      </c>
    </row>
    <row r="2040" spans="1:10" ht="16" thickBot="1" x14ac:dyDescent="0.25">
      <c r="A2040" s="95"/>
      <c r="B2040" s="58" t="s">
        <v>22</v>
      </c>
      <c r="C2040" s="96"/>
      <c r="D2040" s="59"/>
      <c r="E2040" s="59"/>
      <c r="F2040" s="59"/>
      <c r="G2040" s="59"/>
      <c r="H2040" s="59" t="e">
        <v>#DIV/0!</v>
      </c>
      <c r="I2040" s="59" t="e">
        <v>#DIV/0!</v>
      </c>
      <c r="J2040" s="50" t="e">
        <v>#DIV/0!</v>
      </c>
    </row>
  </sheetData>
  <mergeCells count="1785">
    <mergeCell ref="A2035:A2037"/>
    <mergeCell ref="C2035:C2037"/>
    <mergeCell ref="A2038:A2040"/>
    <mergeCell ref="C2038:C2040"/>
    <mergeCell ref="A2026:A2028"/>
    <mergeCell ref="C2026:C2028"/>
    <mergeCell ref="A2029:A2031"/>
    <mergeCell ref="C2029:C2031"/>
    <mergeCell ref="A2032:A2034"/>
    <mergeCell ref="C2032:C2034"/>
    <mergeCell ref="A2017:A2019"/>
    <mergeCell ref="C2017:C2019"/>
    <mergeCell ref="A2020:A2022"/>
    <mergeCell ref="C2020:C2022"/>
    <mergeCell ref="A2023:A2025"/>
    <mergeCell ref="C2023:C2025"/>
    <mergeCell ref="A2008:A2010"/>
    <mergeCell ref="C2008:C2010"/>
    <mergeCell ref="A2011:A2013"/>
    <mergeCell ref="C2011:C2013"/>
    <mergeCell ref="A2014:A2016"/>
    <mergeCell ref="C2014:C2016"/>
    <mergeCell ref="A2003:C2003"/>
    <mergeCell ref="D2003:E2003"/>
    <mergeCell ref="H2003:I2003"/>
    <mergeCell ref="A2004:B2004"/>
    <mergeCell ref="A2005:A2007"/>
    <mergeCell ref="C2005:C2007"/>
    <mergeCell ref="A2001:C2001"/>
    <mergeCell ref="D2001:E2001"/>
    <mergeCell ref="H2001:I2001"/>
    <mergeCell ref="A2002:C2002"/>
    <mergeCell ref="D2002:E2002"/>
    <mergeCell ref="F2002:G2002"/>
    <mergeCell ref="H2002:I2002"/>
    <mergeCell ref="A1992:A1994"/>
    <mergeCell ref="C1992:C1994"/>
    <mergeCell ref="A1995:A1997"/>
    <mergeCell ref="C1995:C1997"/>
    <mergeCell ref="A1998:A2000"/>
    <mergeCell ref="C1998:C2000"/>
    <mergeCell ref="A1983:A1985"/>
    <mergeCell ref="C1983:C1985"/>
    <mergeCell ref="A1986:A1988"/>
    <mergeCell ref="C1986:C1988"/>
    <mergeCell ref="A1989:A1991"/>
    <mergeCell ref="C1989:C1991"/>
    <mergeCell ref="A1974:A1976"/>
    <mergeCell ref="C1974:C1976"/>
    <mergeCell ref="A1977:A1979"/>
    <mergeCell ref="C1977:C1979"/>
    <mergeCell ref="A1980:A1982"/>
    <mergeCell ref="C1980:C1982"/>
    <mergeCell ref="A1964:B1964"/>
    <mergeCell ref="A1965:A1967"/>
    <mergeCell ref="C1965:C1967"/>
    <mergeCell ref="A1968:A1970"/>
    <mergeCell ref="C1968:C1970"/>
    <mergeCell ref="A1971:A1973"/>
    <mergeCell ref="C1971:C1973"/>
    <mergeCell ref="H1961:I1961"/>
    <mergeCell ref="A1962:C1962"/>
    <mergeCell ref="D1962:E1962"/>
    <mergeCell ref="F1962:G1962"/>
    <mergeCell ref="H1962:I1962"/>
    <mergeCell ref="A1963:C1963"/>
    <mergeCell ref="D1963:E1963"/>
    <mergeCell ref="H1963:I1963"/>
    <mergeCell ref="A1955:A1957"/>
    <mergeCell ref="C1955:C1957"/>
    <mergeCell ref="A1958:A1960"/>
    <mergeCell ref="C1958:C1960"/>
    <mergeCell ref="A1961:C1961"/>
    <mergeCell ref="D1961:E1961"/>
    <mergeCell ref="A1946:A1948"/>
    <mergeCell ref="C1946:C1948"/>
    <mergeCell ref="A1949:A1951"/>
    <mergeCell ref="C1949:C1951"/>
    <mergeCell ref="A1952:A1954"/>
    <mergeCell ref="C1952:C1954"/>
    <mergeCell ref="A1937:A1939"/>
    <mergeCell ref="C1937:C1939"/>
    <mergeCell ref="A1940:A1942"/>
    <mergeCell ref="C1940:C1942"/>
    <mergeCell ref="A1943:A1945"/>
    <mergeCell ref="C1943:C1945"/>
    <mergeCell ref="A1928:A1930"/>
    <mergeCell ref="C1928:C1930"/>
    <mergeCell ref="A1931:A1933"/>
    <mergeCell ref="C1931:C1933"/>
    <mergeCell ref="A1934:A1936"/>
    <mergeCell ref="C1934:C1936"/>
    <mergeCell ref="A1923:C1923"/>
    <mergeCell ref="D1923:E1923"/>
    <mergeCell ref="H1923:I1923"/>
    <mergeCell ref="A1924:B1924"/>
    <mergeCell ref="A1925:A1927"/>
    <mergeCell ref="C1925:C1927"/>
    <mergeCell ref="A1921:C1921"/>
    <mergeCell ref="D1921:E1921"/>
    <mergeCell ref="H1921:I1921"/>
    <mergeCell ref="A1922:C1922"/>
    <mergeCell ref="D1922:E1922"/>
    <mergeCell ref="F1922:G1922"/>
    <mergeCell ref="H1922:I1922"/>
    <mergeCell ref="A1912:A1914"/>
    <mergeCell ref="C1912:C1914"/>
    <mergeCell ref="A1915:A1917"/>
    <mergeCell ref="C1915:C1917"/>
    <mergeCell ref="A1918:A1920"/>
    <mergeCell ref="C1918:C1920"/>
    <mergeCell ref="A1903:A1905"/>
    <mergeCell ref="C1903:C1905"/>
    <mergeCell ref="A1906:A1908"/>
    <mergeCell ref="C1906:C1908"/>
    <mergeCell ref="A1909:A1911"/>
    <mergeCell ref="C1909:C1911"/>
    <mergeCell ref="A1894:A1896"/>
    <mergeCell ref="C1894:C1896"/>
    <mergeCell ref="A1897:A1899"/>
    <mergeCell ref="C1897:C1899"/>
    <mergeCell ref="A1900:A1902"/>
    <mergeCell ref="C1900:C1902"/>
    <mergeCell ref="A1884:B1884"/>
    <mergeCell ref="A1885:A1887"/>
    <mergeCell ref="C1885:C1887"/>
    <mergeCell ref="A1888:A1890"/>
    <mergeCell ref="C1888:C1890"/>
    <mergeCell ref="A1891:A1893"/>
    <mergeCell ref="C1891:C1893"/>
    <mergeCell ref="H1881:I1881"/>
    <mergeCell ref="A1882:C1882"/>
    <mergeCell ref="D1882:E1882"/>
    <mergeCell ref="F1882:G1882"/>
    <mergeCell ref="H1882:I1882"/>
    <mergeCell ref="A1883:C1883"/>
    <mergeCell ref="D1883:E1883"/>
    <mergeCell ref="H1883:I1883"/>
    <mergeCell ref="A1875:A1877"/>
    <mergeCell ref="C1875:C1877"/>
    <mergeCell ref="A1878:A1880"/>
    <mergeCell ref="C1878:C1880"/>
    <mergeCell ref="A1881:C1881"/>
    <mergeCell ref="D1881:E1881"/>
    <mergeCell ref="A1866:A1868"/>
    <mergeCell ref="C1866:C1868"/>
    <mergeCell ref="A1869:A1871"/>
    <mergeCell ref="C1869:C1871"/>
    <mergeCell ref="A1872:A1874"/>
    <mergeCell ref="C1872:C1874"/>
    <mergeCell ref="A1857:A1859"/>
    <mergeCell ref="C1857:C1859"/>
    <mergeCell ref="A1860:A1862"/>
    <mergeCell ref="C1860:C1862"/>
    <mergeCell ref="A1863:A1865"/>
    <mergeCell ref="C1863:C1865"/>
    <mergeCell ref="A1848:A1850"/>
    <mergeCell ref="C1848:C1850"/>
    <mergeCell ref="A1851:A1853"/>
    <mergeCell ref="C1851:C1853"/>
    <mergeCell ref="A1854:A1856"/>
    <mergeCell ref="C1854:C1856"/>
    <mergeCell ref="A1843:C1843"/>
    <mergeCell ref="D1843:E1843"/>
    <mergeCell ref="H1843:I1843"/>
    <mergeCell ref="A1844:B1844"/>
    <mergeCell ref="A1845:A1847"/>
    <mergeCell ref="C1845:C1847"/>
    <mergeCell ref="A1841:C1841"/>
    <mergeCell ref="D1841:E1841"/>
    <mergeCell ref="H1841:I1841"/>
    <mergeCell ref="A1842:C1842"/>
    <mergeCell ref="D1842:E1842"/>
    <mergeCell ref="F1842:G1842"/>
    <mergeCell ref="H1842:I1842"/>
    <mergeCell ref="A1832:A1834"/>
    <mergeCell ref="C1832:C1834"/>
    <mergeCell ref="A1835:A1837"/>
    <mergeCell ref="C1835:C1837"/>
    <mergeCell ref="A1838:A1840"/>
    <mergeCell ref="C1838:C1840"/>
    <mergeCell ref="A1823:A1825"/>
    <mergeCell ref="C1823:C1825"/>
    <mergeCell ref="A1826:A1828"/>
    <mergeCell ref="C1826:C1828"/>
    <mergeCell ref="A1829:A1831"/>
    <mergeCell ref="C1829:C1831"/>
    <mergeCell ref="A1814:A1816"/>
    <mergeCell ref="C1814:C1816"/>
    <mergeCell ref="A1817:A1819"/>
    <mergeCell ref="C1817:C1819"/>
    <mergeCell ref="A1820:A1822"/>
    <mergeCell ref="C1820:C1822"/>
    <mergeCell ref="A1804:B1804"/>
    <mergeCell ref="A1805:A1807"/>
    <mergeCell ref="C1805:C1807"/>
    <mergeCell ref="A1808:A1810"/>
    <mergeCell ref="C1808:C1810"/>
    <mergeCell ref="A1811:A1813"/>
    <mergeCell ref="C1811:C1813"/>
    <mergeCell ref="H1801:I1801"/>
    <mergeCell ref="A1802:C1802"/>
    <mergeCell ref="D1802:E1802"/>
    <mergeCell ref="F1802:G1802"/>
    <mergeCell ref="H1802:I1802"/>
    <mergeCell ref="A1803:C1803"/>
    <mergeCell ref="D1803:E1803"/>
    <mergeCell ref="H1803:I1803"/>
    <mergeCell ref="A1795:A1797"/>
    <mergeCell ref="C1795:C1797"/>
    <mergeCell ref="A1798:A1800"/>
    <mergeCell ref="C1798:C1800"/>
    <mergeCell ref="A1801:C1801"/>
    <mergeCell ref="D1801:E1801"/>
    <mergeCell ref="A1786:A1788"/>
    <mergeCell ref="C1786:C1788"/>
    <mergeCell ref="A1789:A1791"/>
    <mergeCell ref="C1789:C1791"/>
    <mergeCell ref="A1792:A1794"/>
    <mergeCell ref="C1792:C1794"/>
    <mergeCell ref="A1777:A1779"/>
    <mergeCell ref="C1777:C1779"/>
    <mergeCell ref="A1780:A1782"/>
    <mergeCell ref="C1780:C1782"/>
    <mergeCell ref="A1783:A1785"/>
    <mergeCell ref="C1783:C1785"/>
    <mergeCell ref="A1768:A1770"/>
    <mergeCell ref="C1768:C1770"/>
    <mergeCell ref="A1771:A1773"/>
    <mergeCell ref="C1771:C1773"/>
    <mergeCell ref="A1774:A1776"/>
    <mergeCell ref="C1774:C1776"/>
    <mergeCell ref="A1763:C1763"/>
    <mergeCell ref="D1763:E1763"/>
    <mergeCell ref="H1763:I1763"/>
    <mergeCell ref="A1764:B1764"/>
    <mergeCell ref="A1765:A1767"/>
    <mergeCell ref="C1765:C1767"/>
    <mergeCell ref="A1761:C1761"/>
    <mergeCell ref="D1761:E1761"/>
    <mergeCell ref="H1761:I1761"/>
    <mergeCell ref="A1762:C1762"/>
    <mergeCell ref="D1762:E1762"/>
    <mergeCell ref="F1762:G1762"/>
    <mergeCell ref="H1762:I1762"/>
    <mergeCell ref="A1752:A1754"/>
    <mergeCell ref="C1752:C1754"/>
    <mergeCell ref="A1755:A1757"/>
    <mergeCell ref="C1755:C1757"/>
    <mergeCell ref="A1758:A1760"/>
    <mergeCell ref="C1758:C1760"/>
    <mergeCell ref="A1743:A1745"/>
    <mergeCell ref="C1743:C1745"/>
    <mergeCell ref="A1746:A1748"/>
    <mergeCell ref="C1746:C1748"/>
    <mergeCell ref="A1749:A1751"/>
    <mergeCell ref="C1749:C1751"/>
    <mergeCell ref="A1734:A1736"/>
    <mergeCell ref="C1734:C1736"/>
    <mergeCell ref="A1737:A1739"/>
    <mergeCell ref="C1737:C1739"/>
    <mergeCell ref="A1740:A1742"/>
    <mergeCell ref="C1740:C1742"/>
    <mergeCell ref="A1724:B1724"/>
    <mergeCell ref="A1725:A1727"/>
    <mergeCell ref="C1725:C1727"/>
    <mergeCell ref="A1728:A1730"/>
    <mergeCell ref="C1728:C1730"/>
    <mergeCell ref="A1731:A1733"/>
    <mergeCell ref="C1731:C1733"/>
    <mergeCell ref="H1721:I1721"/>
    <mergeCell ref="A1722:C1722"/>
    <mergeCell ref="D1722:E1722"/>
    <mergeCell ref="F1722:G1722"/>
    <mergeCell ref="H1722:I1722"/>
    <mergeCell ref="A1723:C1723"/>
    <mergeCell ref="D1723:E1723"/>
    <mergeCell ref="H1723:I1723"/>
    <mergeCell ref="A1715:A1717"/>
    <mergeCell ref="C1715:C1717"/>
    <mergeCell ref="A1718:A1720"/>
    <mergeCell ref="C1718:C1720"/>
    <mergeCell ref="A1721:C1721"/>
    <mergeCell ref="D1721:E1721"/>
    <mergeCell ref="A1706:A1708"/>
    <mergeCell ref="C1706:C1708"/>
    <mergeCell ref="A1709:A1711"/>
    <mergeCell ref="C1709:C1711"/>
    <mergeCell ref="A1712:A1714"/>
    <mergeCell ref="C1712:C1714"/>
    <mergeCell ref="A1697:A1699"/>
    <mergeCell ref="C1697:C1699"/>
    <mergeCell ref="A1700:A1702"/>
    <mergeCell ref="C1700:C1702"/>
    <mergeCell ref="A1703:A1705"/>
    <mergeCell ref="C1703:C1705"/>
    <mergeCell ref="A1688:A1690"/>
    <mergeCell ref="C1688:C1690"/>
    <mergeCell ref="A1691:A1693"/>
    <mergeCell ref="C1691:C1693"/>
    <mergeCell ref="A1694:A1696"/>
    <mergeCell ref="C1694:C1696"/>
    <mergeCell ref="A1683:C1683"/>
    <mergeCell ref="D1683:E1683"/>
    <mergeCell ref="H1683:I1683"/>
    <mergeCell ref="A1684:B1684"/>
    <mergeCell ref="A1685:A1687"/>
    <mergeCell ref="C1685:C1687"/>
    <mergeCell ref="A1681:C1681"/>
    <mergeCell ref="D1681:E1681"/>
    <mergeCell ref="H1681:I1681"/>
    <mergeCell ref="A1682:C1682"/>
    <mergeCell ref="D1682:E1682"/>
    <mergeCell ref="F1682:G1682"/>
    <mergeCell ref="H1682:I1682"/>
    <mergeCell ref="A1672:A1674"/>
    <mergeCell ref="C1672:C1674"/>
    <mergeCell ref="A1675:A1677"/>
    <mergeCell ref="C1675:C1677"/>
    <mergeCell ref="A1678:A1680"/>
    <mergeCell ref="C1678:C1680"/>
    <mergeCell ref="A1663:A1665"/>
    <mergeCell ref="C1663:C1665"/>
    <mergeCell ref="A1666:A1668"/>
    <mergeCell ref="C1666:C1668"/>
    <mergeCell ref="A1669:A1671"/>
    <mergeCell ref="C1669:C1671"/>
    <mergeCell ref="A1654:A1656"/>
    <mergeCell ref="C1654:C1656"/>
    <mergeCell ref="A1657:A1659"/>
    <mergeCell ref="C1657:C1659"/>
    <mergeCell ref="A1660:A1662"/>
    <mergeCell ref="C1660:C1662"/>
    <mergeCell ref="A1644:B1644"/>
    <mergeCell ref="A1645:A1647"/>
    <mergeCell ref="C1645:C1647"/>
    <mergeCell ref="A1648:A1650"/>
    <mergeCell ref="C1648:C1650"/>
    <mergeCell ref="A1651:A1653"/>
    <mergeCell ref="C1651:C1653"/>
    <mergeCell ref="H1641:I1641"/>
    <mergeCell ref="A1642:C1642"/>
    <mergeCell ref="D1642:E1642"/>
    <mergeCell ref="F1642:G1642"/>
    <mergeCell ref="H1642:I1642"/>
    <mergeCell ref="A1643:C1643"/>
    <mergeCell ref="D1643:E1643"/>
    <mergeCell ref="H1643:I1643"/>
    <mergeCell ref="A1635:A1637"/>
    <mergeCell ref="C1635:C1637"/>
    <mergeCell ref="A1638:A1640"/>
    <mergeCell ref="C1638:C1640"/>
    <mergeCell ref="A1641:C1641"/>
    <mergeCell ref="D1641:E1641"/>
    <mergeCell ref="A1626:A1628"/>
    <mergeCell ref="C1626:C1628"/>
    <mergeCell ref="A1629:A1631"/>
    <mergeCell ref="C1629:C1631"/>
    <mergeCell ref="A1632:A1634"/>
    <mergeCell ref="C1632:C1634"/>
    <mergeCell ref="A1617:A1619"/>
    <mergeCell ref="C1617:C1619"/>
    <mergeCell ref="A1620:A1622"/>
    <mergeCell ref="C1620:C1622"/>
    <mergeCell ref="A1623:A1625"/>
    <mergeCell ref="C1623:C1625"/>
    <mergeCell ref="A1608:A1610"/>
    <mergeCell ref="C1608:C1610"/>
    <mergeCell ref="A1611:A1613"/>
    <mergeCell ref="C1611:C1613"/>
    <mergeCell ref="A1614:A1616"/>
    <mergeCell ref="C1614:C1616"/>
    <mergeCell ref="A1603:C1603"/>
    <mergeCell ref="D1603:E1603"/>
    <mergeCell ref="H1603:I1603"/>
    <mergeCell ref="A1604:B1604"/>
    <mergeCell ref="A1605:A1607"/>
    <mergeCell ref="C1605:C1607"/>
    <mergeCell ref="A1601:C1601"/>
    <mergeCell ref="D1601:E1601"/>
    <mergeCell ref="H1601:I1601"/>
    <mergeCell ref="A1602:C1602"/>
    <mergeCell ref="D1602:E1602"/>
    <mergeCell ref="F1602:G1602"/>
    <mergeCell ref="H1602:I1602"/>
    <mergeCell ref="A1592:A1594"/>
    <mergeCell ref="C1592:C1594"/>
    <mergeCell ref="A1595:A1597"/>
    <mergeCell ref="C1595:C1597"/>
    <mergeCell ref="A1598:A1600"/>
    <mergeCell ref="C1598:C1600"/>
    <mergeCell ref="A1583:A1585"/>
    <mergeCell ref="C1583:C1585"/>
    <mergeCell ref="A1586:A1588"/>
    <mergeCell ref="C1586:C1588"/>
    <mergeCell ref="A1589:A1591"/>
    <mergeCell ref="C1589:C1591"/>
    <mergeCell ref="A1574:A1576"/>
    <mergeCell ref="C1574:C1576"/>
    <mergeCell ref="A1577:A1579"/>
    <mergeCell ref="C1577:C1579"/>
    <mergeCell ref="A1580:A1582"/>
    <mergeCell ref="C1580:C1582"/>
    <mergeCell ref="A1564:B1564"/>
    <mergeCell ref="A1565:A1567"/>
    <mergeCell ref="C1565:C1567"/>
    <mergeCell ref="A1568:A1570"/>
    <mergeCell ref="C1568:C1570"/>
    <mergeCell ref="A1571:A1573"/>
    <mergeCell ref="C1571:C1573"/>
    <mergeCell ref="H1561:I1561"/>
    <mergeCell ref="A1562:C1562"/>
    <mergeCell ref="D1562:E1562"/>
    <mergeCell ref="F1562:G1562"/>
    <mergeCell ref="H1562:I1562"/>
    <mergeCell ref="A1563:C1563"/>
    <mergeCell ref="D1563:E1563"/>
    <mergeCell ref="H1563:I1563"/>
    <mergeCell ref="A1555:A1557"/>
    <mergeCell ref="C1555:C1557"/>
    <mergeCell ref="A1558:A1560"/>
    <mergeCell ref="C1558:C1560"/>
    <mergeCell ref="A1561:C1561"/>
    <mergeCell ref="D1561:E1561"/>
    <mergeCell ref="A1546:A1548"/>
    <mergeCell ref="C1546:C1548"/>
    <mergeCell ref="A1549:A1551"/>
    <mergeCell ref="C1549:C1551"/>
    <mergeCell ref="A1552:A1554"/>
    <mergeCell ref="C1552:C1554"/>
    <mergeCell ref="A1537:A1539"/>
    <mergeCell ref="C1537:C1539"/>
    <mergeCell ref="A1540:A1542"/>
    <mergeCell ref="C1540:C1542"/>
    <mergeCell ref="A1543:A1545"/>
    <mergeCell ref="C1543:C1545"/>
    <mergeCell ref="A1528:A1530"/>
    <mergeCell ref="C1528:C1530"/>
    <mergeCell ref="A1531:A1533"/>
    <mergeCell ref="C1531:C1533"/>
    <mergeCell ref="A1534:A1536"/>
    <mergeCell ref="C1534:C1536"/>
    <mergeCell ref="A1523:C1523"/>
    <mergeCell ref="D1523:E1523"/>
    <mergeCell ref="H1523:I1523"/>
    <mergeCell ref="A1524:B1524"/>
    <mergeCell ref="A1525:A1527"/>
    <mergeCell ref="C1525:C1527"/>
    <mergeCell ref="A1521:C1521"/>
    <mergeCell ref="D1521:E1521"/>
    <mergeCell ref="H1521:I1521"/>
    <mergeCell ref="A1522:C1522"/>
    <mergeCell ref="D1522:E1522"/>
    <mergeCell ref="F1522:G1522"/>
    <mergeCell ref="H1522:I1522"/>
    <mergeCell ref="A1512:A1514"/>
    <mergeCell ref="C1512:C1514"/>
    <mergeCell ref="A1515:A1517"/>
    <mergeCell ref="C1515:C1517"/>
    <mergeCell ref="A1518:A1520"/>
    <mergeCell ref="C1518:C1520"/>
    <mergeCell ref="A1503:A1505"/>
    <mergeCell ref="C1503:C1505"/>
    <mergeCell ref="A1506:A1508"/>
    <mergeCell ref="C1506:C1508"/>
    <mergeCell ref="A1509:A1511"/>
    <mergeCell ref="C1509:C1511"/>
    <mergeCell ref="A1494:A1496"/>
    <mergeCell ref="C1494:C1496"/>
    <mergeCell ref="A1497:A1499"/>
    <mergeCell ref="C1497:C1499"/>
    <mergeCell ref="A1500:A1502"/>
    <mergeCell ref="C1500:C1502"/>
    <mergeCell ref="A1484:B1484"/>
    <mergeCell ref="A1485:A1487"/>
    <mergeCell ref="C1485:C1487"/>
    <mergeCell ref="A1488:A1490"/>
    <mergeCell ref="C1488:C1490"/>
    <mergeCell ref="A1491:A1493"/>
    <mergeCell ref="C1491:C1493"/>
    <mergeCell ref="H1481:I1481"/>
    <mergeCell ref="A1482:C1482"/>
    <mergeCell ref="D1482:E1482"/>
    <mergeCell ref="F1482:G1482"/>
    <mergeCell ref="H1482:I1482"/>
    <mergeCell ref="A1483:C1483"/>
    <mergeCell ref="D1483:E1483"/>
    <mergeCell ref="H1483:I1483"/>
    <mergeCell ref="A1475:A1477"/>
    <mergeCell ref="C1475:C1477"/>
    <mergeCell ref="A1478:A1480"/>
    <mergeCell ref="C1478:C1480"/>
    <mergeCell ref="A1481:C1481"/>
    <mergeCell ref="D1481:E1481"/>
    <mergeCell ref="A1466:A1468"/>
    <mergeCell ref="C1466:C1468"/>
    <mergeCell ref="A1469:A1471"/>
    <mergeCell ref="C1469:C1471"/>
    <mergeCell ref="A1472:A1474"/>
    <mergeCell ref="C1472:C1474"/>
    <mergeCell ref="A1457:A1459"/>
    <mergeCell ref="C1457:C1459"/>
    <mergeCell ref="A1460:A1462"/>
    <mergeCell ref="C1460:C1462"/>
    <mergeCell ref="A1463:A1465"/>
    <mergeCell ref="C1463:C1465"/>
    <mergeCell ref="A1448:A1450"/>
    <mergeCell ref="C1448:C1450"/>
    <mergeCell ref="A1451:A1453"/>
    <mergeCell ref="C1451:C1453"/>
    <mergeCell ref="A1454:A1456"/>
    <mergeCell ref="C1454:C1456"/>
    <mergeCell ref="A1443:C1443"/>
    <mergeCell ref="D1443:E1443"/>
    <mergeCell ref="H1443:I1443"/>
    <mergeCell ref="A1444:B1444"/>
    <mergeCell ref="A1445:A1447"/>
    <mergeCell ref="C1445:C1447"/>
    <mergeCell ref="A1441:C1441"/>
    <mergeCell ref="D1441:E1441"/>
    <mergeCell ref="H1441:I1441"/>
    <mergeCell ref="A1442:C1442"/>
    <mergeCell ref="D1442:E1442"/>
    <mergeCell ref="F1442:G1442"/>
    <mergeCell ref="H1442:I1442"/>
    <mergeCell ref="A1432:A1434"/>
    <mergeCell ref="C1432:C1434"/>
    <mergeCell ref="A1435:A1437"/>
    <mergeCell ref="C1435:C1437"/>
    <mergeCell ref="A1438:A1440"/>
    <mergeCell ref="C1438:C1440"/>
    <mergeCell ref="A1423:A1425"/>
    <mergeCell ref="C1423:C1425"/>
    <mergeCell ref="A1426:A1428"/>
    <mergeCell ref="C1426:C1428"/>
    <mergeCell ref="A1429:A1431"/>
    <mergeCell ref="C1429:C1431"/>
    <mergeCell ref="A1414:A1416"/>
    <mergeCell ref="C1414:C1416"/>
    <mergeCell ref="A1417:A1419"/>
    <mergeCell ref="C1417:C1419"/>
    <mergeCell ref="A1420:A1422"/>
    <mergeCell ref="C1420:C1422"/>
    <mergeCell ref="A1404:B1404"/>
    <mergeCell ref="A1405:A1407"/>
    <mergeCell ref="C1405:C1407"/>
    <mergeCell ref="A1408:A1410"/>
    <mergeCell ref="C1408:C1410"/>
    <mergeCell ref="A1411:A1413"/>
    <mergeCell ref="C1411:C1413"/>
    <mergeCell ref="H1401:I1401"/>
    <mergeCell ref="A1402:C1402"/>
    <mergeCell ref="D1402:E1402"/>
    <mergeCell ref="F1402:G1402"/>
    <mergeCell ref="H1402:I1402"/>
    <mergeCell ref="A1403:C1403"/>
    <mergeCell ref="D1403:E1403"/>
    <mergeCell ref="H1403:I1403"/>
    <mergeCell ref="A1395:A1397"/>
    <mergeCell ref="C1395:C1397"/>
    <mergeCell ref="A1398:A1400"/>
    <mergeCell ref="C1398:C1400"/>
    <mergeCell ref="A1401:C1401"/>
    <mergeCell ref="D1401:E1401"/>
    <mergeCell ref="A1386:A1388"/>
    <mergeCell ref="C1386:C1388"/>
    <mergeCell ref="A1389:A1391"/>
    <mergeCell ref="C1389:C1391"/>
    <mergeCell ref="A1392:A1394"/>
    <mergeCell ref="C1392:C1394"/>
    <mergeCell ref="A1377:A1379"/>
    <mergeCell ref="C1377:C1379"/>
    <mergeCell ref="A1380:A1382"/>
    <mergeCell ref="C1380:C1382"/>
    <mergeCell ref="A1383:A1385"/>
    <mergeCell ref="C1383:C1385"/>
    <mergeCell ref="A1368:A1370"/>
    <mergeCell ref="C1368:C1370"/>
    <mergeCell ref="A1371:A1373"/>
    <mergeCell ref="C1371:C1373"/>
    <mergeCell ref="A1374:A1376"/>
    <mergeCell ref="C1374:C1376"/>
    <mergeCell ref="A1363:C1363"/>
    <mergeCell ref="D1363:E1363"/>
    <mergeCell ref="H1363:I1363"/>
    <mergeCell ref="A1364:B1364"/>
    <mergeCell ref="A1365:A1367"/>
    <mergeCell ref="C1365:C1367"/>
    <mergeCell ref="A1361:C1361"/>
    <mergeCell ref="D1361:E1361"/>
    <mergeCell ref="H1361:I1361"/>
    <mergeCell ref="A1362:C1362"/>
    <mergeCell ref="D1362:E1362"/>
    <mergeCell ref="F1362:G1362"/>
    <mergeCell ref="H1362:I1362"/>
    <mergeCell ref="A1352:A1354"/>
    <mergeCell ref="C1352:C1354"/>
    <mergeCell ref="A1355:A1357"/>
    <mergeCell ref="C1355:C1357"/>
    <mergeCell ref="A1358:A1360"/>
    <mergeCell ref="C1358:C1360"/>
    <mergeCell ref="A1343:A1345"/>
    <mergeCell ref="C1343:C1345"/>
    <mergeCell ref="A1346:A1348"/>
    <mergeCell ref="C1346:C1348"/>
    <mergeCell ref="A1349:A1351"/>
    <mergeCell ref="C1349:C1351"/>
    <mergeCell ref="A1334:A1336"/>
    <mergeCell ref="C1334:C1336"/>
    <mergeCell ref="A1337:A1339"/>
    <mergeCell ref="C1337:C1339"/>
    <mergeCell ref="A1340:A1342"/>
    <mergeCell ref="C1340:C1342"/>
    <mergeCell ref="A1324:B1324"/>
    <mergeCell ref="A1325:A1327"/>
    <mergeCell ref="C1325:C1327"/>
    <mergeCell ref="A1328:A1330"/>
    <mergeCell ref="C1328:C1330"/>
    <mergeCell ref="A1331:A1333"/>
    <mergeCell ref="C1331:C1333"/>
    <mergeCell ref="H1321:I1321"/>
    <mergeCell ref="A1322:C1322"/>
    <mergeCell ref="D1322:E1322"/>
    <mergeCell ref="F1322:G1322"/>
    <mergeCell ref="H1322:I1322"/>
    <mergeCell ref="A1323:C1323"/>
    <mergeCell ref="D1323:E1323"/>
    <mergeCell ref="H1323:I1323"/>
    <mergeCell ref="A1315:A1317"/>
    <mergeCell ref="C1315:C1317"/>
    <mergeCell ref="A1318:A1320"/>
    <mergeCell ref="C1318:C1320"/>
    <mergeCell ref="A1321:C1321"/>
    <mergeCell ref="D1321:E1321"/>
    <mergeCell ref="A1306:A1308"/>
    <mergeCell ref="C1306:C1308"/>
    <mergeCell ref="A1309:A1311"/>
    <mergeCell ref="C1309:C1311"/>
    <mergeCell ref="A1312:A1314"/>
    <mergeCell ref="C1312:C1314"/>
    <mergeCell ref="A1297:A1299"/>
    <mergeCell ref="C1297:C1299"/>
    <mergeCell ref="A1300:A1302"/>
    <mergeCell ref="C1300:C1302"/>
    <mergeCell ref="A1303:A1305"/>
    <mergeCell ref="C1303:C1305"/>
    <mergeCell ref="A1288:A1290"/>
    <mergeCell ref="C1288:C1290"/>
    <mergeCell ref="A1291:A1293"/>
    <mergeCell ref="C1291:C1293"/>
    <mergeCell ref="A1294:A1296"/>
    <mergeCell ref="C1294:C1296"/>
    <mergeCell ref="A1283:C1283"/>
    <mergeCell ref="D1283:E1283"/>
    <mergeCell ref="H1283:I1283"/>
    <mergeCell ref="A1284:B1284"/>
    <mergeCell ref="A1285:A1287"/>
    <mergeCell ref="C1285:C1287"/>
    <mergeCell ref="A1281:C1281"/>
    <mergeCell ref="D1281:E1281"/>
    <mergeCell ref="H1281:I1281"/>
    <mergeCell ref="A1282:C1282"/>
    <mergeCell ref="D1282:E1282"/>
    <mergeCell ref="F1282:G1282"/>
    <mergeCell ref="H1282:I1282"/>
    <mergeCell ref="A1272:A1274"/>
    <mergeCell ref="C1272:C1274"/>
    <mergeCell ref="A1275:A1277"/>
    <mergeCell ref="C1275:C1277"/>
    <mergeCell ref="A1278:A1280"/>
    <mergeCell ref="C1278:C1280"/>
    <mergeCell ref="A1263:A1265"/>
    <mergeCell ref="C1263:C1265"/>
    <mergeCell ref="A1266:A1268"/>
    <mergeCell ref="C1266:C1268"/>
    <mergeCell ref="A1269:A1271"/>
    <mergeCell ref="C1269:C1271"/>
    <mergeCell ref="A1254:A1256"/>
    <mergeCell ref="C1254:C1256"/>
    <mergeCell ref="A1257:A1259"/>
    <mergeCell ref="C1257:C1259"/>
    <mergeCell ref="A1260:A1262"/>
    <mergeCell ref="C1260:C1262"/>
    <mergeCell ref="A1244:B1244"/>
    <mergeCell ref="A1245:A1247"/>
    <mergeCell ref="C1245:C1247"/>
    <mergeCell ref="A1248:A1250"/>
    <mergeCell ref="C1248:C1250"/>
    <mergeCell ref="A1251:A1253"/>
    <mergeCell ref="C1251:C1253"/>
    <mergeCell ref="H1241:I1241"/>
    <mergeCell ref="A1242:C1242"/>
    <mergeCell ref="D1242:E1242"/>
    <mergeCell ref="F1242:G1242"/>
    <mergeCell ref="H1242:I1242"/>
    <mergeCell ref="A1243:C1243"/>
    <mergeCell ref="D1243:E1243"/>
    <mergeCell ref="H1243:I1243"/>
    <mergeCell ref="A1235:A1237"/>
    <mergeCell ref="C1235:C1237"/>
    <mergeCell ref="A1238:A1240"/>
    <mergeCell ref="C1238:C1240"/>
    <mergeCell ref="A1241:C1241"/>
    <mergeCell ref="D1241:E1241"/>
    <mergeCell ref="A1226:A1228"/>
    <mergeCell ref="C1226:C1228"/>
    <mergeCell ref="A1229:A1231"/>
    <mergeCell ref="C1229:C1231"/>
    <mergeCell ref="A1232:A1234"/>
    <mergeCell ref="C1232:C1234"/>
    <mergeCell ref="A1217:A1219"/>
    <mergeCell ref="C1217:C1219"/>
    <mergeCell ref="A1220:A1222"/>
    <mergeCell ref="C1220:C1222"/>
    <mergeCell ref="A1223:A1225"/>
    <mergeCell ref="C1223:C1225"/>
    <mergeCell ref="A1208:A1210"/>
    <mergeCell ref="C1208:C1210"/>
    <mergeCell ref="A1211:A1213"/>
    <mergeCell ref="C1211:C1213"/>
    <mergeCell ref="A1214:A1216"/>
    <mergeCell ref="C1214:C1216"/>
    <mergeCell ref="A1203:C1203"/>
    <mergeCell ref="D1203:E1203"/>
    <mergeCell ref="H1203:I1203"/>
    <mergeCell ref="A1204:B1204"/>
    <mergeCell ref="A1205:A1207"/>
    <mergeCell ref="C1205:C1207"/>
    <mergeCell ref="A1201:C1201"/>
    <mergeCell ref="D1201:E1201"/>
    <mergeCell ref="H1201:I1201"/>
    <mergeCell ref="A1202:C1202"/>
    <mergeCell ref="D1202:E1202"/>
    <mergeCell ref="F1202:G1202"/>
    <mergeCell ref="H1202:I1202"/>
    <mergeCell ref="A1192:A1194"/>
    <mergeCell ref="C1192:C1194"/>
    <mergeCell ref="A1195:A1197"/>
    <mergeCell ref="C1195:C1197"/>
    <mergeCell ref="A1198:A1200"/>
    <mergeCell ref="C1198:C1200"/>
    <mergeCell ref="A1183:A1185"/>
    <mergeCell ref="C1183:C1185"/>
    <mergeCell ref="A1186:A1188"/>
    <mergeCell ref="C1186:C1188"/>
    <mergeCell ref="A1189:A1191"/>
    <mergeCell ref="C1189:C1191"/>
    <mergeCell ref="A1174:A1176"/>
    <mergeCell ref="C1174:C1176"/>
    <mergeCell ref="A1177:A1179"/>
    <mergeCell ref="C1177:C1179"/>
    <mergeCell ref="A1180:A1182"/>
    <mergeCell ref="C1180:C1182"/>
    <mergeCell ref="A1164:B1164"/>
    <mergeCell ref="A1165:A1167"/>
    <mergeCell ref="C1165:C1167"/>
    <mergeCell ref="A1168:A1170"/>
    <mergeCell ref="C1168:C1170"/>
    <mergeCell ref="A1171:A1173"/>
    <mergeCell ref="C1171:C1173"/>
    <mergeCell ref="H1161:I1161"/>
    <mergeCell ref="A1162:C1162"/>
    <mergeCell ref="D1162:E1162"/>
    <mergeCell ref="F1162:G1162"/>
    <mergeCell ref="H1162:I1162"/>
    <mergeCell ref="A1163:C1163"/>
    <mergeCell ref="D1163:E1163"/>
    <mergeCell ref="H1163:I1163"/>
    <mergeCell ref="A1155:A1157"/>
    <mergeCell ref="C1155:C1157"/>
    <mergeCell ref="A1158:A1160"/>
    <mergeCell ref="C1158:C1160"/>
    <mergeCell ref="A1161:C1161"/>
    <mergeCell ref="D1161:E1161"/>
    <mergeCell ref="A1146:A1148"/>
    <mergeCell ref="C1146:C1148"/>
    <mergeCell ref="A1149:A1151"/>
    <mergeCell ref="C1149:C1151"/>
    <mergeCell ref="A1152:A1154"/>
    <mergeCell ref="C1152:C1154"/>
    <mergeCell ref="A1137:A1139"/>
    <mergeCell ref="C1137:C1139"/>
    <mergeCell ref="A1140:A1142"/>
    <mergeCell ref="C1140:C1142"/>
    <mergeCell ref="A1143:A1145"/>
    <mergeCell ref="C1143:C1145"/>
    <mergeCell ref="A1128:A1130"/>
    <mergeCell ref="C1128:C1130"/>
    <mergeCell ref="A1131:A1133"/>
    <mergeCell ref="C1131:C1133"/>
    <mergeCell ref="A1134:A1136"/>
    <mergeCell ref="C1134:C1136"/>
    <mergeCell ref="A1123:C1123"/>
    <mergeCell ref="D1123:E1123"/>
    <mergeCell ref="H1123:I1123"/>
    <mergeCell ref="A1124:B1124"/>
    <mergeCell ref="A1125:A1127"/>
    <mergeCell ref="C1125:C1127"/>
    <mergeCell ref="A1121:C1121"/>
    <mergeCell ref="D1121:E1121"/>
    <mergeCell ref="H1121:I1121"/>
    <mergeCell ref="A1122:C1122"/>
    <mergeCell ref="D1122:E1122"/>
    <mergeCell ref="F1122:G1122"/>
    <mergeCell ref="H1122:I1122"/>
    <mergeCell ref="A1112:A1114"/>
    <mergeCell ref="C1112:C1114"/>
    <mergeCell ref="A1115:A1117"/>
    <mergeCell ref="C1115:C1117"/>
    <mergeCell ref="A1118:A1120"/>
    <mergeCell ref="C1118:C1120"/>
    <mergeCell ref="A1103:A1105"/>
    <mergeCell ref="C1103:C1105"/>
    <mergeCell ref="A1106:A1108"/>
    <mergeCell ref="C1106:C1108"/>
    <mergeCell ref="A1109:A1111"/>
    <mergeCell ref="C1109:C1111"/>
    <mergeCell ref="A1094:A1096"/>
    <mergeCell ref="C1094:C1096"/>
    <mergeCell ref="A1097:A1099"/>
    <mergeCell ref="C1097:C1099"/>
    <mergeCell ref="A1100:A1102"/>
    <mergeCell ref="C1100:C1102"/>
    <mergeCell ref="A1084:B1084"/>
    <mergeCell ref="A1085:A1087"/>
    <mergeCell ref="C1085:C1087"/>
    <mergeCell ref="A1088:A1090"/>
    <mergeCell ref="C1088:C1090"/>
    <mergeCell ref="A1091:A1093"/>
    <mergeCell ref="C1091:C1093"/>
    <mergeCell ref="H1081:I1081"/>
    <mergeCell ref="A1082:C1082"/>
    <mergeCell ref="D1082:E1082"/>
    <mergeCell ref="F1082:G1082"/>
    <mergeCell ref="H1082:I1082"/>
    <mergeCell ref="A1083:C1083"/>
    <mergeCell ref="D1083:E1083"/>
    <mergeCell ref="H1083:I1083"/>
    <mergeCell ref="A1075:A1077"/>
    <mergeCell ref="C1075:C1077"/>
    <mergeCell ref="A1078:A1080"/>
    <mergeCell ref="C1078:C1080"/>
    <mergeCell ref="A1081:C1081"/>
    <mergeCell ref="D1081:E1081"/>
    <mergeCell ref="A1066:A1068"/>
    <mergeCell ref="C1066:C1068"/>
    <mergeCell ref="A1069:A1071"/>
    <mergeCell ref="C1069:C1071"/>
    <mergeCell ref="A1072:A1074"/>
    <mergeCell ref="C1072:C1074"/>
    <mergeCell ref="A1057:A1059"/>
    <mergeCell ref="C1057:C1059"/>
    <mergeCell ref="A1060:A1062"/>
    <mergeCell ref="C1060:C1062"/>
    <mergeCell ref="A1063:A1065"/>
    <mergeCell ref="C1063:C1065"/>
    <mergeCell ref="A1048:A1050"/>
    <mergeCell ref="C1048:C1050"/>
    <mergeCell ref="A1051:A1053"/>
    <mergeCell ref="C1051:C1053"/>
    <mergeCell ref="A1054:A1056"/>
    <mergeCell ref="C1054:C1056"/>
    <mergeCell ref="A1043:C1043"/>
    <mergeCell ref="D1043:E1043"/>
    <mergeCell ref="H1043:I1043"/>
    <mergeCell ref="A1044:B1044"/>
    <mergeCell ref="A1045:A1047"/>
    <mergeCell ref="C1045:C1047"/>
    <mergeCell ref="A1041:C1041"/>
    <mergeCell ref="D1041:E1041"/>
    <mergeCell ref="H1041:I1041"/>
    <mergeCell ref="A1042:C1042"/>
    <mergeCell ref="D1042:E1042"/>
    <mergeCell ref="F1042:G1042"/>
    <mergeCell ref="H1042:I1042"/>
    <mergeCell ref="A1032:A1034"/>
    <mergeCell ref="C1032:C1034"/>
    <mergeCell ref="A1035:A1037"/>
    <mergeCell ref="C1035:C1037"/>
    <mergeCell ref="A1038:A1040"/>
    <mergeCell ref="C1038:C1040"/>
    <mergeCell ref="A1023:A1025"/>
    <mergeCell ref="C1023:C1025"/>
    <mergeCell ref="A1026:A1028"/>
    <mergeCell ref="C1026:C1028"/>
    <mergeCell ref="A1029:A1031"/>
    <mergeCell ref="C1029:C1031"/>
    <mergeCell ref="A1014:A1016"/>
    <mergeCell ref="C1014:C1016"/>
    <mergeCell ref="A1017:A1019"/>
    <mergeCell ref="C1017:C1019"/>
    <mergeCell ref="A1020:A1022"/>
    <mergeCell ref="C1020:C1022"/>
    <mergeCell ref="A1004:B1004"/>
    <mergeCell ref="A1005:A1007"/>
    <mergeCell ref="C1005:C1007"/>
    <mergeCell ref="A1008:A1010"/>
    <mergeCell ref="C1008:C1010"/>
    <mergeCell ref="A1011:A1013"/>
    <mergeCell ref="C1011:C1013"/>
    <mergeCell ref="H1001:I1001"/>
    <mergeCell ref="A1002:C1002"/>
    <mergeCell ref="D1002:E1002"/>
    <mergeCell ref="F1002:G1002"/>
    <mergeCell ref="H1002:I1002"/>
    <mergeCell ref="A1003:C1003"/>
    <mergeCell ref="D1003:E1003"/>
    <mergeCell ref="H1003:I1003"/>
    <mergeCell ref="A995:A997"/>
    <mergeCell ref="C995:C997"/>
    <mergeCell ref="A998:A1000"/>
    <mergeCell ref="C998:C1000"/>
    <mergeCell ref="A1001:C1001"/>
    <mergeCell ref="D1001:E1001"/>
    <mergeCell ref="A986:A988"/>
    <mergeCell ref="C986:C988"/>
    <mergeCell ref="A989:A991"/>
    <mergeCell ref="C989:C991"/>
    <mergeCell ref="A992:A994"/>
    <mergeCell ref="C992:C994"/>
    <mergeCell ref="A977:A979"/>
    <mergeCell ref="C977:C979"/>
    <mergeCell ref="A980:A982"/>
    <mergeCell ref="C980:C982"/>
    <mergeCell ref="A983:A985"/>
    <mergeCell ref="C983:C985"/>
    <mergeCell ref="A968:A970"/>
    <mergeCell ref="C968:C970"/>
    <mergeCell ref="A971:A973"/>
    <mergeCell ref="C971:C973"/>
    <mergeCell ref="A974:A976"/>
    <mergeCell ref="C974:C976"/>
    <mergeCell ref="A963:C963"/>
    <mergeCell ref="D963:E963"/>
    <mergeCell ref="H963:I963"/>
    <mergeCell ref="A964:B964"/>
    <mergeCell ref="A965:A967"/>
    <mergeCell ref="C965:C967"/>
    <mergeCell ref="A961:C961"/>
    <mergeCell ref="D961:E961"/>
    <mergeCell ref="H961:I961"/>
    <mergeCell ref="A962:C962"/>
    <mergeCell ref="D962:E962"/>
    <mergeCell ref="F962:G962"/>
    <mergeCell ref="H962:I962"/>
    <mergeCell ref="A952:A954"/>
    <mergeCell ref="C952:C954"/>
    <mergeCell ref="A955:A957"/>
    <mergeCell ref="C955:C957"/>
    <mergeCell ref="A958:A960"/>
    <mergeCell ref="C958:C960"/>
    <mergeCell ref="A943:A945"/>
    <mergeCell ref="C943:C945"/>
    <mergeCell ref="A946:A948"/>
    <mergeCell ref="C946:C948"/>
    <mergeCell ref="A949:A951"/>
    <mergeCell ref="C949:C951"/>
    <mergeCell ref="A934:A936"/>
    <mergeCell ref="C934:C936"/>
    <mergeCell ref="A937:A939"/>
    <mergeCell ref="C937:C939"/>
    <mergeCell ref="A940:A942"/>
    <mergeCell ref="C940:C942"/>
    <mergeCell ref="A924:B924"/>
    <mergeCell ref="A925:A927"/>
    <mergeCell ref="C925:C927"/>
    <mergeCell ref="A928:A930"/>
    <mergeCell ref="C928:C930"/>
    <mergeCell ref="A931:A933"/>
    <mergeCell ref="C931:C933"/>
    <mergeCell ref="H921:I921"/>
    <mergeCell ref="A922:C922"/>
    <mergeCell ref="D922:E922"/>
    <mergeCell ref="F922:G922"/>
    <mergeCell ref="H922:I922"/>
    <mergeCell ref="A923:C923"/>
    <mergeCell ref="D923:E923"/>
    <mergeCell ref="H923:I923"/>
    <mergeCell ref="A915:A917"/>
    <mergeCell ref="C915:C917"/>
    <mergeCell ref="A918:A920"/>
    <mergeCell ref="C918:C920"/>
    <mergeCell ref="A921:C921"/>
    <mergeCell ref="D921:E921"/>
    <mergeCell ref="A906:A908"/>
    <mergeCell ref="C906:C908"/>
    <mergeCell ref="A909:A911"/>
    <mergeCell ref="C909:C911"/>
    <mergeCell ref="A912:A914"/>
    <mergeCell ref="C912:C914"/>
    <mergeCell ref="A897:A899"/>
    <mergeCell ref="C897:C899"/>
    <mergeCell ref="A900:A902"/>
    <mergeCell ref="C900:C902"/>
    <mergeCell ref="A903:A905"/>
    <mergeCell ref="C903:C905"/>
    <mergeCell ref="A888:A890"/>
    <mergeCell ref="C888:C890"/>
    <mergeCell ref="A891:A893"/>
    <mergeCell ref="C891:C893"/>
    <mergeCell ref="A894:A896"/>
    <mergeCell ref="C894:C896"/>
    <mergeCell ref="A883:C883"/>
    <mergeCell ref="D883:E883"/>
    <mergeCell ref="H883:I883"/>
    <mergeCell ref="A884:B884"/>
    <mergeCell ref="A885:A887"/>
    <mergeCell ref="C885:C887"/>
    <mergeCell ref="A881:C881"/>
    <mergeCell ref="D881:E881"/>
    <mergeCell ref="H881:I881"/>
    <mergeCell ref="A882:C882"/>
    <mergeCell ref="D882:E882"/>
    <mergeCell ref="F882:G882"/>
    <mergeCell ref="H882:I882"/>
    <mergeCell ref="A872:A874"/>
    <mergeCell ref="C872:C874"/>
    <mergeCell ref="A875:A877"/>
    <mergeCell ref="C875:C877"/>
    <mergeCell ref="A878:A880"/>
    <mergeCell ref="C878:C880"/>
    <mergeCell ref="A863:A865"/>
    <mergeCell ref="C863:C865"/>
    <mergeCell ref="A866:A868"/>
    <mergeCell ref="C866:C868"/>
    <mergeCell ref="A869:A871"/>
    <mergeCell ref="C869:C871"/>
    <mergeCell ref="A854:A856"/>
    <mergeCell ref="C854:C856"/>
    <mergeCell ref="A857:A859"/>
    <mergeCell ref="C857:C859"/>
    <mergeCell ref="A860:A862"/>
    <mergeCell ref="C860:C862"/>
    <mergeCell ref="A844:B844"/>
    <mergeCell ref="A845:A847"/>
    <mergeCell ref="C845:C847"/>
    <mergeCell ref="A848:A850"/>
    <mergeCell ref="C848:C850"/>
    <mergeCell ref="A851:A853"/>
    <mergeCell ref="C851:C853"/>
    <mergeCell ref="H841:I841"/>
    <mergeCell ref="A842:C842"/>
    <mergeCell ref="D842:E842"/>
    <mergeCell ref="F842:G842"/>
    <mergeCell ref="H842:I842"/>
    <mergeCell ref="A843:C843"/>
    <mergeCell ref="D843:E843"/>
    <mergeCell ref="H843:I843"/>
    <mergeCell ref="A835:A837"/>
    <mergeCell ref="C835:C837"/>
    <mergeCell ref="A838:A840"/>
    <mergeCell ref="C838:C840"/>
    <mergeCell ref="A841:C841"/>
    <mergeCell ref="D841:E841"/>
    <mergeCell ref="A826:A828"/>
    <mergeCell ref="C826:C828"/>
    <mergeCell ref="A829:A831"/>
    <mergeCell ref="C829:C831"/>
    <mergeCell ref="A832:A834"/>
    <mergeCell ref="C832:C834"/>
    <mergeCell ref="A817:A819"/>
    <mergeCell ref="C817:C819"/>
    <mergeCell ref="A820:A822"/>
    <mergeCell ref="C820:C822"/>
    <mergeCell ref="A823:A825"/>
    <mergeCell ref="C823:C825"/>
    <mergeCell ref="A808:A810"/>
    <mergeCell ref="C808:C810"/>
    <mergeCell ref="A811:A813"/>
    <mergeCell ref="C811:C813"/>
    <mergeCell ref="A814:A816"/>
    <mergeCell ref="C814:C816"/>
    <mergeCell ref="A803:C803"/>
    <mergeCell ref="D803:E803"/>
    <mergeCell ref="H803:I803"/>
    <mergeCell ref="A804:B804"/>
    <mergeCell ref="A805:A807"/>
    <mergeCell ref="C805:C807"/>
    <mergeCell ref="A801:C801"/>
    <mergeCell ref="D801:E801"/>
    <mergeCell ref="H801:I801"/>
    <mergeCell ref="A802:C802"/>
    <mergeCell ref="D802:E802"/>
    <mergeCell ref="F802:G802"/>
    <mergeCell ref="H802:I802"/>
    <mergeCell ref="A792:A794"/>
    <mergeCell ref="C792:C794"/>
    <mergeCell ref="A795:A797"/>
    <mergeCell ref="C795:C797"/>
    <mergeCell ref="A798:A800"/>
    <mergeCell ref="C798:C800"/>
    <mergeCell ref="A783:A785"/>
    <mergeCell ref="C783:C785"/>
    <mergeCell ref="A786:A788"/>
    <mergeCell ref="C786:C788"/>
    <mergeCell ref="A789:A791"/>
    <mergeCell ref="C789:C791"/>
    <mergeCell ref="A774:A776"/>
    <mergeCell ref="C774:C776"/>
    <mergeCell ref="A777:A779"/>
    <mergeCell ref="C777:C779"/>
    <mergeCell ref="A780:A782"/>
    <mergeCell ref="C780:C782"/>
    <mergeCell ref="A764:B764"/>
    <mergeCell ref="A765:A767"/>
    <mergeCell ref="C765:C767"/>
    <mergeCell ref="A768:A770"/>
    <mergeCell ref="C768:C770"/>
    <mergeCell ref="A771:A773"/>
    <mergeCell ref="C771:C773"/>
    <mergeCell ref="H761:I761"/>
    <mergeCell ref="A762:C762"/>
    <mergeCell ref="D762:E762"/>
    <mergeCell ref="F762:G762"/>
    <mergeCell ref="H762:I762"/>
    <mergeCell ref="A763:C763"/>
    <mergeCell ref="D763:E763"/>
    <mergeCell ref="H763:I763"/>
    <mergeCell ref="A755:A757"/>
    <mergeCell ref="C755:C757"/>
    <mergeCell ref="A758:A760"/>
    <mergeCell ref="C758:C760"/>
    <mergeCell ref="A761:C761"/>
    <mergeCell ref="D761:E761"/>
    <mergeCell ref="A746:A748"/>
    <mergeCell ref="C746:C748"/>
    <mergeCell ref="A749:A751"/>
    <mergeCell ref="C749:C751"/>
    <mergeCell ref="A752:A754"/>
    <mergeCell ref="C752:C754"/>
    <mergeCell ref="A737:A739"/>
    <mergeCell ref="C737:C739"/>
    <mergeCell ref="A740:A742"/>
    <mergeCell ref="C740:C742"/>
    <mergeCell ref="A743:A745"/>
    <mergeCell ref="C743:C745"/>
    <mergeCell ref="A728:A730"/>
    <mergeCell ref="C728:C730"/>
    <mergeCell ref="A731:A733"/>
    <mergeCell ref="C731:C733"/>
    <mergeCell ref="A734:A736"/>
    <mergeCell ref="C734:C736"/>
    <mergeCell ref="A723:C723"/>
    <mergeCell ref="D723:E723"/>
    <mergeCell ref="H723:I723"/>
    <mergeCell ref="A724:B724"/>
    <mergeCell ref="A725:A727"/>
    <mergeCell ref="C725:C727"/>
    <mergeCell ref="A721:C721"/>
    <mergeCell ref="D721:E721"/>
    <mergeCell ref="H721:I721"/>
    <mergeCell ref="A722:C722"/>
    <mergeCell ref="D722:E722"/>
    <mergeCell ref="F722:G722"/>
    <mergeCell ref="H722:I722"/>
    <mergeCell ref="A712:A714"/>
    <mergeCell ref="C712:C714"/>
    <mergeCell ref="A715:A717"/>
    <mergeCell ref="C715:C717"/>
    <mergeCell ref="A718:A720"/>
    <mergeCell ref="C718:C720"/>
    <mergeCell ref="A703:A705"/>
    <mergeCell ref="C703:C705"/>
    <mergeCell ref="A706:A708"/>
    <mergeCell ref="C706:C708"/>
    <mergeCell ref="A709:A711"/>
    <mergeCell ref="C709:C711"/>
    <mergeCell ref="A694:A696"/>
    <mergeCell ref="C694:C696"/>
    <mergeCell ref="A697:A699"/>
    <mergeCell ref="C697:C699"/>
    <mergeCell ref="A700:A702"/>
    <mergeCell ref="C700:C702"/>
    <mergeCell ref="A684:B684"/>
    <mergeCell ref="A685:A687"/>
    <mergeCell ref="C685:C687"/>
    <mergeCell ref="A688:A690"/>
    <mergeCell ref="C688:C690"/>
    <mergeCell ref="A691:A693"/>
    <mergeCell ref="C691:C693"/>
    <mergeCell ref="H681:I681"/>
    <mergeCell ref="A682:C682"/>
    <mergeCell ref="D682:E682"/>
    <mergeCell ref="F682:G682"/>
    <mergeCell ref="H682:I682"/>
    <mergeCell ref="A683:C683"/>
    <mergeCell ref="D683:E683"/>
    <mergeCell ref="H683:I683"/>
    <mergeCell ref="A675:A677"/>
    <mergeCell ref="C675:C677"/>
    <mergeCell ref="A678:A680"/>
    <mergeCell ref="C678:C680"/>
    <mergeCell ref="A681:C681"/>
    <mergeCell ref="D681:E681"/>
    <mergeCell ref="A666:A668"/>
    <mergeCell ref="C666:C668"/>
    <mergeCell ref="A669:A671"/>
    <mergeCell ref="C669:C671"/>
    <mergeCell ref="A672:A674"/>
    <mergeCell ref="C672:C674"/>
    <mergeCell ref="A657:A659"/>
    <mergeCell ref="C657:C659"/>
    <mergeCell ref="A660:A662"/>
    <mergeCell ref="C660:C662"/>
    <mergeCell ref="A663:A665"/>
    <mergeCell ref="C663:C665"/>
    <mergeCell ref="A648:A650"/>
    <mergeCell ref="C648:C650"/>
    <mergeCell ref="A651:A653"/>
    <mergeCell ref="C651:C653"/>
    <mergeCell ref="A654:A656"/>
    <mergeCell ref="C654:C656"/>
    <mergeCell ref="A643:C643"/>
    <mergeCell ref="D643:E643"/>
    <mergeCell ref="H643:I643"/>
    <mergeCell ref="A644:B644"/>
    <mergeCell ref="A645:A647"/>
    <mergeCell ref="C645:C647"/>
    <mergeCell ref="A641:C641"/>
    <mergeCell ref="D641:E641"/>
    <mergeCell ref="H641:I641"/>
    <mergeCell ref="A642:C642"/>
    <mergeCell ref="D642:E642"/>
    <mergeCell ref="F642:G642"/>
    <mergeCell ref="H642:I642"/>
    <mergeCell ref="A632:A634"/>
    <mergeCell ref="C632:C634"/>
    <mergeCell ref="A635:A637"/>
    <mergeCell ref="C635:C637"/>
    <mergeCell ref="A638:A640"/>
    <mergeCell ref="C638:C640"/>
    <mergeCell ref="A623:A625"/>
    <mergeCell ref="C623:C625"/>
    <mergeCell ref="A626:A628"/>
    <mergeCell ref="C626:C628"/>
    <mergeCell ref="A629:A631"/>
    <mergeCell ref="C629:C631"/>
    <mergeCell ref="A614:A616"/>
    <mergeCell ref="C614:C616"/>
    <mergeCell ref="A617:A619"/>
    <mergeCell ref="C617:C619"/>
    <mergeCell ref="A620:A622"/>
    <mergeCell ref="C620:C622"/>
    <mergeCell ref="A604:B604"/>
    <mergeCell ref="A605:A607"/>
    <mergeCell ref="C605:C607"/>
    <mergeCell ref="A608:A610"/>
    <mergeCell ref="C608:C610"/>
    <mergeCell ref="A611:A613"/>
    <mergeCell ref="C611:C613"/>
    <mergeCell ref="H601:I601"/>
    <mergeCell ref="A602:C602"/>
    <mergeCell ref="D602:E602"/>
    <mergeCell ref="F602:G602"/>
    <mergeCell ref="H602:I602"/>
    <mergeCell ref="A603:C603"/>
    <mergeCell ref="D603:E603"/>
    <mergeCell ref="H603:I603"/>
    <mergeCell ref="A595:A597"/>
    <mergeCell ref="C595:C597"/>
    <mergeCell ref="A598:A600"/>
    <mergeCell ref="C598:C600"/>
    <mergeCell ref="A601:C601"/>
    <mergeCell ref="D601:E601"/>
    <mergeCell ref="A586:A588"/>
    <mergeCell ref="C586:C588"/>
    <mergeCell ref="A589:A591"/>
    <mergeCell ref="C589:C591"/>
    <mergeCell ref="A592:A594"/>
    <mergeCell ref="C592:C594"/>
    <mergeCell ref="A577:A579"/>
    <mergeCell ref="C577:C579"/>
    <mergeCell ref="A580:A582"/>
    <mergeCell ref="C580:C582"/>
    <mergeCell ref="A583:A585"/>
    <mergeCell ref="C583:C585"/>
    <mergeCell ref="A568:A570"/>
    <mergeCell ref="C568:C570"/>
    <mergeCell ref="A571:A573"/>
    <mergeCell ref="C571:C573"/>
    <mergeCell ref="A574:A576"/>
    <mergeCell ref="C574:C576"/>
    <mergeCell ref="A563:C563"/>
    <mergeCell ref="D563:E563"/>
    <mergeCell ref="H563:I563"/>
    <mergeCell ref="A564:B564"/>
    <mergeCell ref="A565:A567"/>
    <mergeCell ref="C565:C567"/>
    <mergeCell ref="A561:C561"/>
    <mergeCell ref="D561:E561"/>
    <mergeCell ref="H561:I561"/>
    <mergeCell ref="A562:C562"/>
    <mergeCell ref="D562:E562"/>
    <mergeCell ref="F562:G562"/>
    <mergeCell ref="H562:I562"/>
    <mergeCell ref="A552:A554"/>
    <mergeCell ref="C552:C554"/>
    <mergeCell ref="A555:A557"/>
    <mergeCell ref="C555:C557"/>
    <mergeCell ref="A558:A560"/>
    <mergeCell ref="C558:C560"/>
    <mergeCell ref="A543:A545"/>
    <mergeCell ref="C543:C545"/>
    <mergeCell ref="A546:A548"/>
    <mergeCell ref="C546:C548"/>
    <mergeCell ref="A549:A551"/>
    <mergeCell ref="C549:C551"/>
    <mergeCell ref="A534:A536"/>
    <mergeCell ref="C534:C536"/>
    <mergeCell ref="A537:A539"/>
    <mergeCell ref="C537:C539"/>
    <mergeCell ref="A540:A542"/>
    <mergeCell ref="C540:C542"/>
    <mergeCell ref="A524:B524"/>
    <mergeCell ref="A525:A527"/>
    <mergeCell ref="C525:C527"/>
    <mergeCell ref="A528:A530"/>
    <mergeCell ref="C528:C530"/>
    <mergeCell ref="A531:A533"/>
    <mergeCell ref="C531:C533"/>
    <mergeCell ref="H521:I521"/>
    <mergeCell ref="A522:C522"/>
    <mergeCell ref="D522:E522"/>
    <mergeCell ref="F522:G522"/>
    <mergeCell ref="H522:I522"/>
    <mergeCell ref="A523:C523"/>
    <mergeCell ref="D523:E523"/>
    <mergeCell ref="H523:I523"/>
    <mergeCell ref="A515:A517"/>
    <mergeCell ref="C515:C517"/>
    <mergeCell ref="A518:A520"/>
    <mergeCell ref="C518:C520"/>
    <mergeCell ref="A521:C521"/>
    <mergeCell ref="D521:E521"/>
    <mergeCell ref="A506:A508"/>
    <mergeCell ref="C506:C508"/>
    <mergeCell ref="A509:A511"/>
    <mergeCell ref="C509:C511"/>
    <mergeCell ref="A512:A514"/>
    <mergeCell ref="C512:C514"/>
    <mergeCell ref="A497:A499"/>
    <mergeCell ref="C497:C499"/>
    <mergeCell ref="A500:A502"/>
    <mergeCell ref="C500:C502"/>
    <mergeCell ref="A503:A505"/>
    <mergeCell ref="C503:C505"/>
    <mergeCell ref="A488:A490"/>
    <mergeCell ref="C488:C490"/>
    <mergeCell ref="A491:A493"/>
    <mergeCell ref="C491:C493"/>
    <mergeCell ref="A494:A496"/>
    <mergeCell ref="C494:C496"/>
    <mergeCell ref="A483:C483"/>
    <mergeCell ref="D483:E483"/>
    <mergeCell ref="H483:I483"/>
    <mergeCell ref="A484:B484"/>
    <mergeCell ref="A485:A487"/>
    <mergeCell ref="C485:C487"/>
    <mergeCell ref="A481:C481"/>
    <mergeCell ref="D481:E481"/>
    <mergeCell ref="H481:I481"/>
    <mergeCell ref="A482:C482"/>
    <mergeCell ref="D482:E482"/>
    <mergeCell ref="F482:G482"/>
    <mergeCell ref="H482:I482"/>
    <mergeCell ref="A472:A474"/>
    <mergeCell ref="C472:C474"/>
    <mergeCell ref="A475:A477"/>
    <mergeCell ref="C475:C477"/>
    <mergeCell ref="A478:A480"/>
    <mergeCell ref="C478:C480"/>
    <mergeCell ref="A463:A465"/>
    <mergeCell ref="C463:C465"/>
    <mergeCell ref="A466:A468"/>
    <mergeCell ref="C466:C468"/>
    <mergeCell ref="A469:A471"/>
    <mergeCell ref="C469:C471"/>
    <mergeCell ref="A454:A456"/>
    <mergeCell ref="C454:C456"/>
    <mergeCell ref="A457:A459"/>
    <mergeCell ref="C457:C459"/>
    <mergeCell ref="A460:A462"/>
    <mergeCell ref="C460:C462"/>
    <mergeCell ref="A444:B444"/>
    <mergeCell ref="A445:A447"/>
    <mergeCell ref="C445:C447"/>
    <mergeCell ref="A448:A450"/>
    <mergeCell ref="C448:C450"/>
    <mergeCell ref="A451:A453"/>
    <mergeCell ref="C451:C453"/>
    <mergeCell ref="H441:I441"/>
    <mergeCell ref="A442:C442"/>
    <mergeCell ref="D442:E442"/>
    <mergeCell ref="F442:G442"/>
    <mergeCell ref="H442:I442"/>
    <mergeCell ref="A443:C443"/>
    <mergeCell ref="D443:E443"/>
    <mergeCell ref="H443:I443"/>
    <mergeCell ref="A435:A437"/>
    <mergeCell ref="C435:C437"/>
    <mergeCell ref="A438:A440"/>
    <mergeCell ref="C438:C440"/>
    <mergeCell ref="A441:C441"/>
    <mergeCell ref="D441:E441"/>
    <mergeCell ref="A426:A428"/>
    <mergeCell ref="C426:C428"/>
    <mergeCell ref="A429:A431"/>
    <mergeCell ref="C429:C431"/>
    <mergeCell ref="A432:A434"/>
    <mergeCell ref="C432:C434"/>
    <mergeCell ref="A417:A419"/>
    <mergeCell ref="C417:C419"/>
    <mergeCell ref="A420:A422"/>
    <mergeCell ref="C420:C422"/>
    <mergeCell ref="A423:A425"/>
    <mergeCell ref="C423:C425"/>
    <mergeCell ref="A408:A410"/>
    <mergeCell ref="C408:C410"/>
    <mergeCell ref="A411:A413"/>
    <mergeCell ref="C411:C413"/>
    <mergeCell ref="A414:A416"/>
    <mergeCell ref="C414:C416"/>
    <mergeCell ref="A403:C403"/>
    <mergeCell ref="D403:E403"/>
    <mergeCell ref="H403:I403"/>
    <mergeCell ref="A404:B404"/>
    <mergeCell ref="A405:A407"/>
    <mergeCell ref="C405:C407"/>
    <mergeCell ref="A401:C401"/>
    <mergeCell ref="D401:E401"/>
    <mergeCell ref="H401:I401"/>
    <mergeCell ref="A402:C402"/>
    <mergeCell ref="D402:E402"/>
    <mergeCell ref="F402:G402"/>
    <mergeCell ref="H402:I402"/>
    <mergeCell ref="A392:A394"/>
    <mergeCell ref="C392:C394"/>
    <mergeCell ref="A395:A397"/>
    <mergeCell ref="C395:C397"/>
    <mergeCell ref="A398:A400"/>
    <mergeCell ref="C398:C400"/>
    <mergeCell ref="A383:A385"/>
    <mergeCell ref="C383:C385"/>
    <mergeCell ref="A386:A388"/>
    <mergeCell ref="C386:C388"/>
    <mergeCell ref="A389:A391"/>
    <mergeCell ref="C389:C391"/>
    <mergeCell ref="A374:A376"/>
    <mergeCell ref="C374:C376"/>
    <mergeCell ref="A377:A379"/>
    <mergeCell ref="C377:C379"/>
    <mergeCell ref="A380:A382"/>
    <mergeCell ref="C380:C382"/>
    <mergeCell ref="A364:B364"/>
    <mergeCell ref="A365:A367"/>
    <mergeCell ref="C365:C367"/>
    <mergeCell ref="A368:A370"/>
    <mergeCell ref="C368:C370"/>
    <mergeCell ref="A371:A373"/>
    <mergeCell ref="C371:C373"/>
    <mergeCell ref="H361:I361"/>
    <mergeCell ref="A362:C362"/>
    <mergeCell ref="D362:E362"/>
    <mergeCell ref="F362:G362"/>
    <mergeCell ref="H362:I362"/>
    <mergeCell ref="A363:C363"/>
    <mergeCell ref="D363:E363"/>
    <mergeCell ref="H363:I363"/>
    <mergeCell ref="A355:A357"/>
    <mergeCell ref="C355:C357"/>
    <mergeCell ref="A358:A360"/>
    <mergeCell ref="C358:C360"/>
    <mergeCell ref="A361:C361"/>
    <mergeCell ref="D361:E361"/>
    <mergeCell ref="A346:A348"/>
    <mergeCell ref="C346:C348"/>
    <mergeCell ref="A349:A351"/>
    <mergeCell ref="C349:C351"/>
    <mergeCell ref="A352:A354"/>
    <mergeCell ref="C352:C354"/>
    <mergeCell ref="A337:A339"/>
    <mergeCell ref="C337:C339"/>
    <mergeCell ref="A340:A342"/>
    <mergeCell ref="C340:C342"/>
    <mergeCell ref="A343:A345"/>
    <mergeCell ref="C343:C345"/>
    <mergeCell ref="A328:A330"/>
    <mergeCell ref="C328:C330"/>
    <mergeCell ref="A331:A333"/>
    <mergeCell ref="C331:C333"/>
    <mergeCell ref="A334:A336"/>
    <mergeCell ref="C334:C336"/>
    <mergeCell ref="A323:C323"/>
    <mergeCell ref="D323:E323"/>
    <mergeCell ref="H323:I323"/>
    <mergeCell ref="A324:B324"/>
    <mergeCell ref="A325:A327"/>
    <mergeCell ref="C325:C327"/>
    <mergeCell ref="A321:C321"/>
    <mergeCell ref="D321:E321"/>
    <mergeCell ref="H321:I321"/>
    <mergeCell ref="A322:C322"/>
    <mergeCell ref="D322:E322"/>
    <mergeCell ref="F322:G322"/>
    <mergeCell ref="H322:I322"/>
    <mergeCell ref="A312:A314"/>
    <mergeCell ref="C312:C314"/>
    <mergeCell ref="A315:A317"/>
    <mergeCell ref="C315:C317"/>
    <mergeCell ref="A318:A320"/>
    <mergeCell ref="C318:C320"/>
    <mergeCell ref="A303:A305"/>
    <mergeCell ref="C303:C305"/>
    <mergeCell ref="A306:A308"/>
    <mergeCell ref="C306:C308"/>
    <mergeCell ref="A309:A311"/>
    <mergeCell ref="C309:C311"/>
    <mergeCell ref="A294:A296"/>
    <mergeCell ref="C294:C296"/>
    <mergeCell ref="A297:A299"/>
    <mergeCell ref="C297:C299"/>
    <mergeCell ref="A300:A302"/>
    <mergeCell ref="C300:C302"/>
    <mergeCell ref="A284:B284"/>
    <mergeCell ref="A285:A287"/>
    <mergeCell ref="C285:C287"/>
    <mergeCell ref="A288:A290"/>
    <mergeCell ref="C288:C290"/>
    <mergeCell ref="A291:A293"/>
    <mergeCell ref="C291:C293"/>
    <mergeCell ref="H281:I281"/>
    <mergeCell ref="A282:C282"/>
    <mergeCell ref="D282:E282"/>
    <mergeCell ref="F282:G282"/>
    <mergeCell ref="H282:I282"/>
    <mergeCell ref="A283:C283"/>
    <mergeCell ref="D283:E283"/>
    <mergeCell ref="H283:I283"/>
    <mergeCell ref="A275:A277"/>
    <mergeCell ref="C275:C277"/>
    <mergeCell ref="A278:A280"/>
    <mergeCell ref="C278:C280"/>
    <mergeCell ref="A281:C281"/>
    <mergeCell ref="D281:E281"/>
    <mergeCell ref="A266:A268"/>
    <mergeCell ref="C266:C268"/>
    <mergeCell ref="A269:A271"/>
    <mergeCell ref="C269:C271"/>
    <mergeCell ref="A272:A274"/>
    <mergeCell ref="C272:C274"/>
    <mergeCell ref="A257:A259"/>
    <mergeCell ref="C257:C259"/>
    <mergeCell ref="A260:A262"/>
    <mergeCell ref="C260:C262"/>
    <mergeCell ref="A263:A265"/>
    <mergeCell ref="C263:C265"/>
    <mergeCell ref="A248:A250"/>
    <mergeCell ref="C248:C250"/>
    <mergeCell ref="A251:A253"/>
    <mergeCell ref="C251:C253"/>
    <mergeCell ref="A254:A256"/>
    <mergeCell ref="C254:C256"/>
    <mergeCell ref="A243:C243"/>
    <mergeCell ref="D243:E243"/>
    <mergeCell ref="H243:I243"/>
    <mergeCell ref="A244:B244"/>
    <mergeCell ref="A245:A247"/>
    <mergeCell ref="C245:C247"/>
    <mergeCell ref="A241:C241"/>
    <mergeCell ref="D241:E241"/>
    <mergeCell ref="H241:I241"/>
    <mergeCell ref="A242:C242"/>
    <mergeCell ref="D242:E242"/>
    <mergeCell ref="F242:G242"/>
    <mergeCell ref="H242:I242"/>
    <mergeCell ref="A232:A234"/>
    <mergeCell ref="C232:C234"/>
    <mergeCell ref="A235:A237"/>
    <mergeCell ref="C235:C237"/>
    <mergeCell ref="A238:A240"/>
    <mergeCell ref="C238:C240"/>
    <mergeCell ref="A223:A225"/>
    <mergeCell ref="C223:C225"/>
    <mergeCell ref="A226:A228"/>
    <mergeCell ref="C226:C228"/>
    <mergeCell ref="A229:A231"/>
    <mergeCell ref="C229:C231"/>
    <mergeCell ref="A214:A216"/>
    <mergeCell ref="C214:C216"/>
    <mergeCell ref="A217:A219"/>
    <mergeCell ref="C217:C219"/>
    <mergeCell ref="A220:A222"/>
    <mergeCell ref="C220:C222"/>
    <mergeCell ref="A204:B204"/>
    <mergeCell ref="A205:A207"/>
    <mergeCell ref="C205:C207"/>
    <mergeCell ref="A208:A210"/>
    <mergeCell ref="C208:C210"/>
    <mergeCell ref="A211:A213"/>
    <mergeCell ref="C211:C213"/>
    <mergeCell ref="H201:I201"/>
    <mergeCell ref="A202:C202"/>
    <mergeCell ref="D202:E202"/>
    <mergeCell ref="F202:G202"/>
    <mergeCell ref="H202:I202"/>
    <mergeCell ref="A203:C203"/>
    <mergeCell ref="D203:E203"/>
    <mergeCell ref="H203:I203"/>
    <mergeCell ref="A195:A197"/>
    <mergeCell ref="C195:C197"/>
    <mergeCell ref="A198:A200"/>
    <mergeCell ref="C198:C200"/>
    <mergeCell ref="A201:C201"/>
    <mergeCell ref="D201:E201"/>
    <mergeCell ref="A186:A188"/>
    <mergeCell ref="C186:C188"/>
    <mergeCell ref="A189:A191"/>
    <mergeCell ref="C189:C191"/>
    <mergeCell ref="A192:A194"/>
    <mergeCell ref="C192:C194"/>
    <mergeCell ref="A177:A179"/>
    <mergeCell ref="C177:C179"/>
    <mergeCell ref="A180:A182"/>
    <mergeCell ref="C180:C182"/>
    <mergeCell ref="A183:A185"/>
    <mergeCell ref="C183:C185"/>
    <mergeCell ref="A168:A170"/>
    <mergeCell ref="C168:C170"/>
    <mergeCell ref="A171:A173"/>
    <mergeCell ref="C171:C173"/>
    <mergeCell ref="A174:A176"/>
    <mergeCell ref="C174:C176"/>
    <mergeCell ref="A163:C163"/>
    <mergeCell ref="D163:E163"/>
    <mergeCell ref="H163:I163"/>
    <mergeCell ref="A164:B164"/>
    <mergeCell ref="A165:A167"/>
    <mergeCell ref="C165:C167"/>
    <mergeCell ref="A161:C161"/>
    <mergeCell ref="D161:E161"/>
    <mergeCell ref="H161:I161"/>
    <mergeCell ref="A162:C162"/>
    <mergeCell ref="D162:E162"/>
    <mergeCell ref="F162:G162"/>
    <mergeCell ref="H162:I162"/>
    <mergeCell ref="A152:A154"/>
    <mergeCell ref="C152:C154"/>
    <mergeCell ref="A155:A157"/>
    <mergeCell ref="C155:C157"/>
    <mergeCell ref="A158:A160"/>
    <mergeCell ref="C158:C160"/>
    <mergeCell ref="A143:A145"/>
    <mergeCell ref="C143:C145"/>
    <mergeCell ref="A146:A148"/>
    <mergeCell ref="C146:C148"/>
    <mergeCell ref="A149:A151"/>
    <mergeCell ref="C149:C151"/>
    <mergeCell ref="A134:A136"/>
    <mergeCell ref="C134:C136"/>
    <mergeCell ref="A137:A139"/>
    <mergeCell ref="C137:C139"/>
    <mergeCell ref="A140:A142"/>
    <mergeCell ref="C140:C142"/>
    <mergeCell ref="A124:B124"/>
    <mergeCell ref="A125:A127"/>
    <mergeCell ref="C125:C127"/>
    <mergeCell ref="A128:A130"/>
    <mergeCell ref="C128:C130"/>
    <mergeCell ref="A131:A133"/>
    <mergeCell ref="C131:C133"/>
    <mergeCell ref="H121:I121"/>
    <mergeCell ref="A122:C122"/>
    <mergeCell ref="D122:E122"/>
    <mergeCell ref="F122:G122"/>
    <mergeCell ref="H122:I122"/>
    <mergeCell ref="A123:C123"/>
    <mergeCell ref="D123:E123"/>
    <mergeCell ref="H123:I123"/>
    <mergeCell ref="A115:A117"/>
    <mergeCell ref="C115:C117"/>
    <mergeCell ref="A118:A120"/>
    <mergeCell ref="C118:C120"/>
    <mergeCell ref="A121:C121"/>
    <mergeCell ref="D121:E121"/>
    <mergeCell ref="A106:A108"/>
    <mergeCell ref="C106:C108"/>
    <mergeCell ref="A109:A111"/>
    <mergeCell ref="C109:C111"/>
    <mergeCell ref="A112:A114"/>
    <mergeCell ref="C112:C114"/>
    <mergeCell ref="A97:A99"/>
    <mergeCell ref="C97:C99"/>
    <mergeCell ref="A100:A102"/>
    <mergeCell ref="C100:C102"/>
    <mergeCell ref="A103:A105"/>
    <mergeCell ref="C103:C105"/>
    <mergeCell ref="A88:A90"/>
    <mergeCell ref="C88:C90"/>
    <mergeCell ref="A91:A93"/>
    <mergeCell ref="C91:C93"/>
    <mergeCell ref="A94:A96"/>
    <mergeCell ref="C94:C96"/>
    <mergeCell ref="A83:C83"/>
    <mergeCell ref="D83:E83"/>
    <mergeCell ref="H83:I83"/>
    <mergeCell ref="A84:B84"/>
    <mergeCell ref="A85:A87"/>
    <mergeCell ref="C85:C87"/>
    <mergeCell ref="A81:C81"/>
    <mergeCell ref="D81:E81"/>
    <mergeCell ref="H81:I81"/>
    <mergeCell ref="A82:C82"/>
    <mergeCell ref="D82:E82"/>
    <mergeCell ref="F82:G82"/>
    <mergeCell ref="H82:I82"/>
    <mergeCell ref="A72:A74"/>
    <mergeCell ref="C72:C74"/>
    <mergeCell ref="A75:A77"/>
    <mergeCell ref="C75:C77"/>
    <mergeCell ref="A78:A80"/>
    <mergeCell ref="C78:C80"/>
    <mergeCell ref="A63:A65"/>
    <mergeCell ref="C63:C65"/>
    <mergeCell ref="A66:A68"/>
    <mergeCell ref="C66:C68"/>
    <mergeCell ref="A69:A71"/>
    <mergeCell ref="C69:C71"/>
    <mergeCell ref="A54:A56"/>
    <mergeCell ref="C54:C56"/>
    <mergeCell ref="A57:A59"/>
    <mergeCell ref="C57:C59"/>
    <mergeCell ref="A60:A62"/>
    <mergeCell ref="C60:C62"/>
    <mergeCell ref="A44:B44"/>
    <mergeCell ref="A45:A47"/>
    <mergeCell ref="C45:C47"/>
    <mergeCell ref="A48:A50"/>
    <mergeCell ref="C48:C50"/>
    <mergeCell ref="A51:A53"/>
    <mergeCell ref="C51:C53"/>
    <mergeCell ref="H41:I41"/>
    <mergeCell ref="A42:C42"/>
    <mergeCell ref="D42:E42"/>
    <mergeCell ref="F42:G42"/>
    <mergeCell ref="H42:I42"/>
    <mergeCell ref="A43:C43"/>
    <mergeCell ref="D43:E43"/>
    <mergeCell ref="H43:I43"/>
    <mergeCell ref="A35:A37"/>
    <mergeCell ref="C35:C37"/>
    <mergeCell ref="A38:A40"/>
    <mergeCell ref="C38:C40"/>
    <mergeCell ref="A41:C41"/>
    <mergeCell ref="D41:E41"/>
    <mergeCell ref="A26:A28"/>
    <mergeCell ref="C26:C28"/>
    <mergeCell ref="A29:A31"/>
    <mergeCell ref="C29:C31"/>
    <mergeCell ref="A32:A34"/>
    <mergeCell ref="C32:C34"/>
    <mergeCell ref="A17:A19"/>
    <mergeCell ref="C17:C19"/>
    <mergeCell ref="A20:A22"/>
    <mergeCell ref="C20:C22"/>
    <mergeCell ref="A23:A25"/>
    <mergeCell ref="C23:C25"/>
    <mergeCell ref="A8:A10"/>
    <mergeCell ref="C8:C10"/>
    <mergeCell ref="A11:A13"/>
    <mergeCell ref="C11:C13"/>
    <mergeCell ref="A14:A16"/>
    <mergeCell ref="C14:C16"/>
    <mergeCell ref="A3:C3"/>
    <mergeCell ref="D3:E3"/>
    <mergeCell ref="H3:I3"/>
    <mergeCell ref="A4:B4"/>
    <mergeCell ref="A5:A7"/>
    <mergeCell ref="C5:C7"/>
    <mergeCell ref="A1:C1"/>
    <mergeCell ref="D1:E1"/>
    <mergeCell ref="H1:I1"/>
    <mergeCell ref="A2:C2"/>
    <mergeCell ref="D2:E2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F48C-64AB-4642-B82D-E1E1EB25FF84}">
  <dimension ref="A1:N122"/>
  <sheetViews>
    <sheetView tabSelected="1" workbookViewId="0">
      <pane ySplit="1" topLeftCell="A2" activePane="bottomLeft" state="frozen"/>
      <selection pane="bottomLeft" activeCell="R96" sqref="R96"/>
    </sheetView>
  </sheetViews>
  <sheetFormatPr baseColWidth="10" defaultRowHeight="15" x14ac:dyDescent="0.2"/>
  <cols>
    <col min="1" max="1" width="12.83203125" bestFit="1" customWidth="1"/>
  </cols>
  <sheetData>
    <row r="1" spans="1:14" x14ac:dyDescent="0.2">
      <c r="A1" t="s">
        <v>63</v>
      </c>
      <c r="B1" t="s">
        <v>64</v>
      </c>
      <c r="C1" t="s">
        <v>71</v>
      </c>
      <c r="D1" t="s">
        <v>65</v>
      </c>
      <c r="E1" t="s">
        <v>67</v>
      </c>
      <c r="F1" t="s">
        <v>68</v>
      </c>
      <c r="G1" t="s">
        <v>69</v>
      </c>
      <c r="H1" t="s">
        <v>66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</row>
    <row r="2" spans="1:14" x14ac:dyDescent="0.2">
      <c r="A2" s="98" t="s">
        <v>31</v>
      </c>
      <c r="B2" s="18">
        <v>44159</v>
      </c>
      <c r="C2" t="s">
        <v>70</v>
      </c>
      <c r="D2" t="s">
        <v>73</v>
      </c>
      <c r="E2">
        <v>19</v>
      </c>
      <c r="F2" t="s">
        <v>33</v>
      </c>
      <c r="G2" t="s">
        <v>3</v>
      </c>
      <c r="H2">
        <v>10</v>
      </c>
      <c r="I2">
        <v>4.6913333330000002</v>
      </c>
      <c r="J2">
        <v>3.4696666669999998</v>
      </c>
      <c r="K2">
        <v>0.352099145</v>
      </c>
      <c r="L2">
        <v>664.89207050000005</v>
      </c>
      <c r="M2">
        <v>456.03673120000002</v>
      </c>
      <c r="N2">
        <v>1.4579792039999999</v>
      </c>
    </row>
    <row r="3" spans="1:14" x14ac:dyDescent="0.2">
      <c r="A3" s="98" t="s">
        <v>31</v>
      </c>
      <c r="B3" s="18">
        <v>44159</v>
      </c>
      <c r="C3" t="s">
        <v>70</v>
      </c>
      <c r="D3" t="s">
        <v>73</v>
      </c>
      <c r="E3">
        <v>19</v>
      </c>
      <c r="F3" t="s">
        <v>33</v>
      </c>
      <c r="G3" t="s">
        <v>4</v>
      </c>
      <c r="H3">
        <v>20</v>
      </c>
      <c r="I3">
        <v>4.7933333329999996</v>
      </c>
      <c r="J3">
        <v>3.5110000000000001</v>
      </c>
      <c r="K3">
        <v>0.36523307700000002</v>
      </c>
      <c r="L3">
        <v>598.43261470000004</v>
      </c>
      <c r="M3">
        <v>456.03673120000002</v>
      </c>
      <c r="N3">
        <v>1.312246523</v>
      </c>
    </row>
    <row r="4" spans="1:14" x14ac:dyDescent="0.2">
      <c r="A4" s="98" t="s">
        <v>31</v>
      </c>
      <c r="B4" s="18">
        <v>44159</v>
      </c>
      <c r="C4" t="s">
        <v>70</v>
      </c>
      <c r="D4" t="s">
        <v>73</v>
      </c>
      <c r="E4">
        <v>19</v>
      </c>
      <c r="F4" t="s">
        <v>33</v>
      </c>
      <c r="G4" t="s">
        <v>5</v>
      </c>
      <c r="H4">
        <v>30</v>
      </c>
      <c r="I4">
        <v>4.5396666669999997</v>
      </c>
      <c r="J4">
        <v>3.205333333</v>
      </c>
      <c r="K4">
        <v>0.41628535799999999</v>
      </c>
      <c r="L4">
        <v>602.27975619999995</v>
      </c>
      <c r="M4">
        <v>456.03673120000002</v>
      </c>
      <c r="N4">
        <v>1.320682557</v>
      </c>
    </row>
    <row r="5" spans="1:14" x14ac:dyDescent="0.2">
      <c r="A5" s="98" t="s">
        <v>31</v>
      </c>
      <c r="B5" s="18">
        <v>44159</v>
      </c>
      <c r="C5" t="s">
        <v>70</v>
      </c>
      <c r="D5" t="s">
        <v>73</v>
      </c>
      <c r="E5">
        <v>19</v>
      </c>
      <c r="F5" t="s">
        <v>33</v>
      </c>
      <c r="G5" t="s">
        <v>6</v>
      </c>
      <c r="H5">
        <v>40</v>
      </c>
      <c r="I5">
        <v>4.6793333329999998</v>
      </c>
      <c r="J5">
        <v>3.3913333329999999</v>
      </c>
      <c r="K5">
        <v>0.37979162599999999</v>
      </c>
      <c r="L5">
        <v>640.67644959999996</v>
      </c>
      <c r="M5">
        <v>456.03673120000002</v>
      </c>
      <c r="N5">
        <v>1.4048790499999999</v>
      </c>
    </row>
    <row r="6" spans="1:14" x14ac:dyDescent="0.2">
      <c r="A6" s="98" t="s">
        <v>31</v>
      </c>
      <c r="B6" s="18">
        <v>44159</v>
      </c>
      <c r="C6" t="s">
        <v>70</v>
      </c>
      <c r="D6" t="s">
        <v>73</v>
      </c>
      <c r="E6">
        <v>19</v>
      </c>
      <c r="F6" t="s">
        <v>33</v>
      </c>
      <c r="G6" t="s">
        <v>7</v>
      </c>
      <c r="H6">
        <v>50</v>
      </c>
      <c r="I6">
        <v>4.4969999999999999</v>
      </c>
      <c r="J6">
        <v>3.1666666669999999</v>
      </c>
      <c r="K6">
        <v>0.42010526300000001</v>
      </c>
      <c r="L6">
        <v>616.85568160000003</v>
      </c>
      <c r="M6">
        <v>456.03673120000002</v>
      </c>
      <c r="N6">
        <v>1.352644731</v>
      </c>
    </row>
    <row r="7" spans="1:14" x14ac:dyDescent="0.2">
      <c r="A7" s="98" t="s">
        <v>31</v>
      </c>
      <c r="B7" s="18">
        <v>44159</v>
      </c>
      <c r="C7" t="s">
        <v>70</v>
      </c>
      <c r="D7" t="s">
        <v>73</v>
      </c>
      <c r="E7">
        <v>19</v>
      </c>
      <c r="F7" t="s">
        <v>33</v>
      </c>
      <c r="G7" t="s">
        <v>8</v>
      </c>
      <c r="H7">
        <v>60</v>
      </c>
      <c r="I7">
        <v>4.4543333330000001</v>
      </c>
      <c r="J7">
        <v>3.2026666669999999</v>
      </c>
      <c r="K7">
        <v>0.39082014999999998</v>
      </c>
      <c r="L7">
        <v>656.44720500000005</v>
      </c>
      <c r="M7">
        <v>456.03673120000002</v>
      </c>
      <c r="N7">
        <v>1.439461254</v>
      </c>
    </row>
    <row r="8" spans="1:14" x14ac:dyDescent="0.2">
      <c r="A8" s="98" t="s">
        <v>31</v>
      </c>
      <c r="B8" s="18">
        <v>44159</v>
      </c>
      <c r="C8" t="s">
        <v>70</v>
      </c>
      <c r="D8" t="s">
        <v>73</v>
      </c>
      <c r="E8">
        <v>19</v>
      </c>
      <c r="F8" t="s">
        <v>33</v>
      </c>
      <c r="G8" t="s">
        <v>9</v>
      </c>
      <c r="H8">
        <v>70</v>
      </c>
      <c r="I8">
        <v>4.9619999999999997</v>
      </c>
      <c r="J8">
        <v>3.5750000000000002</v>
      </c>
      <c r="K8">
        <v>0.38797202800000002</v>
      </c>
      <c r="L8">
        <v>554.76622329999998</v>
      </c>
      <c r="M8">
        <v>456.03673120000002</v>
      </c>
      <c r="N8">
        <v>1.2164946050000001</v>
      </c>
    </row>
    <row r="9" spans="1:14" x14ac:dyDescent="0.2">
      <c r="A9" s="98" t="s">
        <v>31</v>
      </c>
      <c r="B9" s="18">
        <v>44159</v>
      </c>
      <c r="C9" t="s">
        <v>70</v>
      </c>
      <c r="D9" t="s">
        <v>73</v>
      </c>
      <c r="E9">
        <v>19</v>
      </c>
      <c r="F9" t="s">
        <v>33</v>
      </c>
      <c r="G9" t="s">
        <v>10</v>
      </c>
      <c r="H9">
        <v>80</v>
      </c>
      <c r="I9">
        <v>4.5179999999999998</v>
      </c>
      <c r="J9">
        <v>3.1269999999999998</v>
      </c>
      <c r="K9">
        <v>0.44483530500000001</v>
      </c>
      <c r="L9">
        <v>521.16666669999995</v>
      </c>
      <c r="M9">
        <v>456.03673120000002</v>
      </c>
      <c r="N9">
        <v>1.1428173020000001</v>
      </c>
    </row>
    <row r="10" spans="1:14" x14ac:dyDescent="0.2">
      <c r="A10" s="98" t="s">
        <v>31</v>
      </c>
      <c r="B10" s="18">
        <v>44159</v>
      </c>
      <c r="C10" t="s">
        <v>70</v>
      </c>
      <c r="D10" t="s">
        <v>73</v>
      </c>
      <c r="E10">
        <v>19</v>
      </c>
      <c r="F10" t="s">
        <v>33</v>
      </c>
      <c r="G10" t="s">
        <v>11</v>
      </c>
      <c r="H10">
        <v>90</v>
      </c>
      <c r="I10">
        <v>4.5513333329999996</v>
      </c>
      <c r="J10">
        <v>3.282</v>
      </c>
      <c r="K10">
        <v>0.38675604299999999</v>
      </c>
      <c r="L10">
        <v>623.03676580000001</v>
      </c>
      <c r="M10">
        <v>456.03673120000002</v>
      </c>
      <c r="N10">
        <v>1.3661986479999999</v>
      </c>
    </row>
    <row r="11" spans="1:14" x14ac:dyDescent="0.2">
      <c r="A11" s="98" t="s">
        <v>31</v>
      </c>
      <c r="B11" s="18">
        <v>44159</v>
      </c>
      <c r="C11" t="s">
        <v>70</v>
      </c>
      <c r="D11" t="s">
        <v>73</v>
      </c>
      <c r="E11">
        <v>19</v>
      </c>
      <c r="F11" t="s">
        <v>33</v>
      </c>
      <c r="G11" t="s">
        <v>12</v>
      </c>
      <c r="H11">
        <v>100</v>
      </c>
      <c r="I11">
        <v>4.5366666670000004</v>
      </c>
      <c r="J11">
        <v>3.3113333329999999</v>
      </c>
      <c r="K11">
        <v>0.37004227899999997</v>
      </c>
      <c r="L11">
        <v>591.95253490000005</v>
      </c>
      <c r="M11">
        <v>456.03673120000002</v>
      </c>
      <c r="N11">
        <v>1.298036966</v>
      </c>
    </row>
    <row r="12" spans="1:14" x14ac:dyDescent="0.2">
      <c r="A12" s="98" t="s">
        <v>31</v>
      </c>
      <c r="B12" s="18">
        <v>44159</v>
      </c>
      <c r="C12" t="s">
        <v>70</v>
      </c>
      <c r="D12" t="s">
        <v>73</v>
      </c>
      <c r="E12">
        <v>19</v>
      </c>
      <c r="F12" t="s">
        <v>33</v>
      </c>
      <c r="G12" t="s">
        <v>13</v>
      </c>
      <c r="H12">
        <v>110</v>
      </c>
      <c r="I12">
        <v>4.9106666670000001</v>
      </c>
      <c r="J12">
        <v>3.524666667</v>
      </c>
      <c r="K12">
        <v>0.393228674</v>
      </c>
      <c r="L12">
        <v>409.83939720000001</v>
      </c>
      <c r="M12">
        <v>456.03673120000002</v>
      </c>
      <c r="N12">
        <v>0.89869821699999997</v>
      </c>
    </row>
    <row r="13" spans="1:14" x14ac:dyDescent="0.2">
      <c r="A13" s="98" t="s">
        <v>31</v>
      </c>
      <c r="B13" s="18">
        <v>44159</v>
      </c>
      <c r="C13" t="s">
        <v>70</v>
      </c>
      <c r="D13" t="s">
        <v>73</v>
      </c>
      <c r="E13">
        <v>19</v>
      </c>
      <c r="F13" t="s">
        <v>32</v>
      </c>
      <c r="G13" t="s">
        <v>3</v>
      </c>
      <c r="H13">
        <v>10</v>
      </c>
      <c r="I13">
        <v>4.6529999999999996</v>
      </c>
      <c r="J13">
        <v>3.4886666669999999</v>
      </c>
      <c r="K13">
        <v>0.33374737199999999</v>
      </c>
      <c r="L13">
        <v>566.07421739999995</v>
      </c>
      <c r="M13">
        <v>456.03673120000002</v>
      </c>
      <c r="N13">
        <v>1.24129084</v>
      </c>
    </row>
    <row r="14" spans="1:14" x14ac:dyDescent="0.2">
      <c r="A14" s="98" t="s">
        <v>31</v>
      </c>
      <c r="B14" s="18">
        <v>44159</v>
      </c>
      <c r="C14" t="s">
        <v>70</v>
      </c>
      <c r="D14" t="s">
        <v>73</v>
      </c>
      <c r="E14">
        <v>19</v>
      </c>
      <c r="F14" t="s">
        <v>32</v>
      </c>
      <c r="G14" t="s">
        <v>4</v>
      </c>
      <c r="H14">
        <v>20</v>
      </c>
      <c r="I14">
        <v>4.5626666670000002</v>
      </c>
      <c r="J14">
        <v>3.2846666670000002</v>
      </c>
      <c r="K14">
        <v>0.38908057600000001</v>
      </c>
      <c r="L14">
        <v>604.71654000000001</v>
      </c>
      <c r="M14">
        <v>456.03673120000002</v>
      </c>
      <c r="N14">
        <v>1.3260259510000001</v>
      </c>
    </row>
    <row r="15" spans="1:14" x14ac:dyDescent="0.2">
      <c r="A15" s="98" t="s">
        <v>31</v>
      </c>
      <c r="B15" s="18">
        <v>44159</v>
      </c>
      <c r="C15" t="s">
        <v>70</v>
      </c>
      <c r="D15" t="s">
        <v>73</v>
      </c>
      <c r="E15">
        <v>19</v>
      </c>
      <c r="F15" t="s">
        <v>32</v>
      </c>
      <c r="G15" t="s">
        <v>5</v>
      </c>
      <c r="H15">
        <v>30</v>
      </c>
      <c r="I15">
        <v>4.7633333330000003</v>
      </c>
      <c r="J15">
        <v>3.524</v>
      </c>
      <c r="K15">
        <v>0.35168369300000002</v>
      </c>
      <c r="L15">
        <v>637.72316309999997</v>
      </c>
      <c r="M15">
        <v>456.03673120000002</v>
      </c>
      <c r="N15">
        <v>1.398403066</v>
      </c>
    </row>
    <row r="16" spans="1:14" x14ac:dyDescent="0.2">
      <c r="A16" s="98" t="s">
        <v>31</v>
      </c>
      <c r="B16" s="18">
        <v>44159</v>
      </c>
      <c r="C16" t="s">
        <v>70</v>
      </c>
      <c r="D16" t="s">
        <v>73</v>
      </c>
      <c r="E16">
        <v>19</v>
      </c>
      <c r="F16" t="s">
        <v>32</v>
      </c>
      <c r="G16" t="s">
        <v>6</v>
      </c>
      <c r="H16">
        <v>40</v>
      </c>
      <c r="I16">
        <v>4.9483333329999999</v>
      </c>
      <c r="J16">
        <v>3.742</v>
      </c>
      <c r="K16">
        <v>0.322376626</v>
      </c>
      <c r="L16">
        <v>640.51343889999998</v>
      </c>
      <c r="M16">
        <v>456.03673120000002</v>
      </c>
      <c r="N16">
        <v>1.404521599</v>
      </c>
    </row>
    <row r="17" spans="1:14" x14ac:dyDescent="0.2">
      <c r="A17" s="98" t="s">
        <v>31</v>
      </c>
      <c r="B17" s="18">
        <v>44159</v>
      </c>
      <c r="C17" t="s">
        <v>70</v>
      </c>
      <c r="D17" t="s">
        <v>73</v>
      </c>
      <c r="E17">
        <v>19</v>
      </c>
      <c r="F17" t="s">
        <v>32</v>
      </c>
      <c r="G17" t="s">
        <v>7</v>
      </c>
      <c r="H17">
        <v>50</v>
      </c>
      <c r="I17">
        <v>4.5170000000000003</v>
      </c>
      <c r="J17">
        <v>3.249333333</v>
      </c>
      <c r="K17">
        <v>0.39013130899999998</v>
      </c>
      <c r="L17">
        <v>602.82075120000002</v>
      </c>
      <c r="M17">
        <v>456.03673120000002</v>
      </c>
      <c r="N17">
        <v>1.3218688540000001</v>
      </c>
    </row>
    <row r="18" spans="1:14" x14ac:dyDescent="0.2">
      <c r="A18" s="98" t="s">
        <v>31</v>
      </c>
      <c r="B18" s="18">
        <v>44159</v>
      </c>
      <c r="C18" t="s">
        <v>70</v>
      </c>
      <c r="D18" t="s">
        <v>73</v>
      </c>
      <c r="E18">
        <v>19</v>
      </c>
      <c r="F18" t="s">
        <v>32</v>
      </c>
      <c r="G18" t="s">
        <v>8</v>
      </c>
      <c r="H18">
        <v>60</v>
      </c>
      <c r="I18">
        <v>4.7033333329999998</v>
      </c>
      <c r="J18">
        <v>3.435333333</v>
      </c>
      <c r="K18">
        <v>0.36910537599999999</v>
      </c>
      <c r="L18">
        <v>685.84932670000001</v>
      </c>
      <c r="M18">
        <v>456.03673120000002</v>
      </c>
      <c r="N18">
        <v>1.503934398</v>
      </c>
    </row>
    <row r="19" spans="1:14" x14ac:dyDescent="0.2">
      <c r="A19" s="98" t="s">
        <v>31</v>
      </c>
      <c r="B19" s="18">
        <v>44159</v>
      </c>
      <c r="C19" t="s">
        <v>70</v>
      </c>
      <c r="D19" t="s">
        <v>73</v>
      </c>
      <c r="E19">
        <v>19</v>
      </c>
      <c r="F19" t="s">
        <v>32</v>
      </c>
      <c r="G19" t="s">
        <v>9</v>
      </c>
      <c r="H19">
        <v>70</v>
      </c>
      <c r="I19">
        <v>4.713666667</v>
      </c>
      <c r="J19">
        <v>3.4216666670000002</v>
      </c>
      <c r="K19">
        <v>0.37759376500000003</v>
      </c>
      <c r="L19">
        <v>715.74075379999999</v>
      </c>
      <c r="M19">
        <v>456.03673120000002</v>
      </c>
      <c r="N19">
        <v>1.5694804929999999</v>
      </c>
    </row>
    <row r="20" spans="1:14" x14ac:dyDescent="0.2">
      <c r="A20" s="98" t="s">
        <v>31</v>
      </c>
      <c r="B20" s="18">
        <v>44159</v>
      </c>
      <c r="C20" t="s">
        <v>70</v>
      </c>
      <c r="D20" t="s">
        <v>73</v>
      </c>
      <c r="E20">
        <v>19</v>
      </c>
      <c r="F20" t="s">
        <v>32</v>
      </c>
      <c r="G20" t="s">
        <v>10</v>
      </c>
      <c r="H20">
        <v>80</v>
      </c>
      <c r="I20">
        <v>4.7193333329999998</v>
      </c>
      <c r="J20">
        <v>3.2090000000000001</v>
      </c>
      <c r="K20">
        <v>0.47065544799999998</v>
      </c>
      <c r="L20">
        <v>552.13476479999997</v>
      </c>
      <c r="M20">
        <v>456.03673120000002</v>
      </c>
      <c r="N20">
        <v>1.210724328</v>
      </c>
    </row>
    <row r="21" spans="1:14" x14ac:dyDescent="0.2">
      <c r="A21" s="98" t="s">
        <v>31</v>
      </c>
      <c r="B21" s="18">
        <v>44159</v>
      </c>
      <c r="C21" t="s">
        <v>70</v>
      </c>
      <c r="D21" t="s">
        <v>73</v>
      </c>
      <c r="E21">
        <v>19</v>
      </c>
      <c r="F21" t="s">
        <v>32</v>
      </c>
      <c r="G21" t="s">
        <v>11</v>
      </c>
      <c r="H21">
        <v>90</v>
      </c>
      <c r="I21">
        <v>4.6669999999999998</v>
      </c>
      <c r="J21">
        <v>3.129666667</v>
      </c>
      <c r="K21">
        <v>0.491213122</v>
      </c>
      <c r="L21">
        <v>502.27562319999998</v>
      </c>
      <c r="M21">
        <v>456.03673120000002</v>
      </c>
      <c r="N21">
        <v>1.1013929119999999</v>
      </c>
    </row>
    <row r="22" spans="1:14" x14ac:dyDescent="0.2">
      <c r="A22" s="98" t="s">
        <v>31</v>
      </c>
      <c r="B22" s="18">
        <v>44159</v>
      </c>
      <c r="C22" t="s">
        <v>70</v>
      </c>
      <c r="D22" t="s">
        <v>73</v>
      </c>
      <c r="E22">
        <v>19</v>
      </c>
      <c r="F22" t="s">
        <v>32</v>
      </c>
      <c r="G22" t="s">
        <v>12</v>
      </c>
      <c r="H22">
        <v>100</v>
      </c>
      <c r="I22">
        <v>5.0043333329999999</v>
      </c>
      <c r="J22">
        <v>3.5070000000000001</v>
      </c>
      <c r="K22">
        <v>0.42695561300000001</v>
      </c>
      <c r="L22">
        <v>594.27216410000005</v>
      </c>
      <c r="M22">
        <v>456.03673120000002</v>
      </c>
      <c r="N22">
        <v>1.3031234620000001</v>
      </c>
    </row>
    <row r="23" spans="1:14" x14ac:dyDescent="0.2">
      <c r="A23" s="98" t="s">
        <v>31</v>
      </c>
      <c r="B23" s="18">
        <v>44159</v>
      </c>
      <c r="C23" t="s">
        <v>70</v>
      </c>
      <c r="D23" t="s">
        <v>73</v>
      </c>
      <c r="E23">
        <v>19</v>
      </c>
      <c r="F23" t="s">
        <v>32</v>
      </c>
      <c r="G23" t="s">
        <v>13</v>
      </c>
      <c r="H23">
        <v>110</v>
      </c>
      <c r="I23">
        <v>5</v>
      </c>
      <c r="J23">
        <v>3.5106666670000002</v>
      </c>
      <c r="K23">
        <v>0.42423091499999999</v>
      </c>
      <c r="L23">
        <v>605.23893329999999</v>
      </c>
      <c r="M23">
        <v>456.03673120000002</v>
      </c>
      <c r="N23">
        <v>1.327171458</v>
      </c>
    </row>
    <row r="24" spans="1:14" x14ac:dyDescent="0.2">
      <c r="A24" s="98" t="s">
        <v>34</v>
      </c>
      <c r="B24" s="18">
        <v>44159</v>
      </c>
      <c r="C24" t="s">
        <v>70</v>
      </c>
      <c r="D24" t="s">
        <v>73</v>
      </c>
      <c r="E24">
        <v>18</v>
      </c>
      <c r="F24" t="s">
        <v>32</v>
      </c>
      <c r="G24" t="s">
        <v>3</v>
      </c>
      <c r="H24">
        <v>10</v>
      </c>
      <c r="I24">
        <v>5.3760000000000003</v>
      </c>
      <c r="J24">
        <v>3.4406666669999999</v>
      </c>
      <c r="K24">
        <v>0.56248788999999999</v>
      </c>
      <c r="L24">
        <v>360.96279759999999</v>
      </c>
      <c r="M24">
        <v>456.03673120000002</v>
      </c>
      <c r="N24">
        <v>0.79152132500000005</v>
      </c>
    </row>
    <row r="25" spans="1:14" x14ac:dyDescent="0.2">
      <c r="A25" s="98" t="s">
        <v>34</v>
      </c>
      <c r="B25" s="18">
        <v>44159</v>
      </c>
      <c r="C25" t="s">
        <v>70</v>
      </c>
      <c r="D25" t="s">
        <v>73</v>
      </c>
      <c r="E25">
        <v>18</v>
      </c>
      <c r="F25" t="s">
        <v>32</v>
      </c>
      <c r="G25" t="s">
        <v>4</v>
      </c>
      <c r="H25">
        <v>20</v>
      </c>
      <c r="I25">
        <v>5.5236666669999996</v>
      </c>
      <c r="J25">
        <v>3.4346666670000001</v>
      </c>
      <c r="K25">
        <v>0.60821040400000004</v>
      </c>
      <c r="L25">
        <v>412.25948949999997</v>
      </c>
      <c r="M25">
        <v>456.03673120000002</v>
      </c>
      <c r="N25">
        <v>0.90400500900000003</v>
      </c>
    </row>
    <row r="26" spans="1:14" x14ac:dyDescent="0.2">
      <c r="A26" s="98" t="s">
        <v>34</v>
      </c>
      <c r="B26" s="18">
        <v>44159</v>
      </c>
      <c r="C26" t="s">
        <v>70</v>
      </c>
      <c r="D26" t="s">
        <v>73</v>
      </c>
      <c r="E26">
        <v>18</v>
      </c>
      <c r="F26" t="s">
        <v>32</v>
      </c>
      <c r="G26" t="s">
        <v>5</v>
      </c>
      <c r="H26">
        <v>30</v>
      </c>
      <c r="I26">
        <v>5.6626666669999999</v>
      </c>
      <c r="J26">
        <v>3.5649999999999999</v>
      </c>
      <c r="K26">
        <v>0.58840579699999995</v>
      </c>
      <c r="L26">
        <v>504.27919709999998</v>
      </c>
      <c r="M26">
        <v>456.03673120000002</v>
      </c>
      <c r="N26">
        <v>1.10578636</v>
      </c>
    </row>
    <row r="27" spans="1:14" x14ac:dyDescent="0.2">
      <c r="A27" s="98" t="s">
        <v>34</v>
      </c>
      <c r="B27" s="18">
        <v>44159</v>
      </c>
      <c r="C27" t="s">
        <v>70</v>
      </c>
      <c r="D27" t="s">
        <v>73</v>
      </c>
      <c r="E27">
        <v>18</v>
      </c>
      <c r="F27" t="s">
        <v>32</v>
      </c>
      <c r="G27" t="s">
        <v>6</v>
      </c>
      <c r="H27">
        <v>40</v>
      </c>
      <c r="I27">
        <v>5.5186666669999997</v>
      </c>
      <c r="J27">
        <v>3.4006666669999999</v>
      </c>
      <c r="K27">
        <v>0.62281905500000001</v>
      </c>
      <c r="L27">
        <v>494.81795119999998</v>
      </c>
      <c r="M27">
        <v>456.03673120000002</v>
      </c>
      <c r="N27">
        <v>1.0850396849999999</v>
      </c>
    </row>
    <row r="28" spans="1:14" x14ac:dyDescent="0.2">
      <c r="A28" s="98" t="s">
        <v>34</v>
      </c>
      <c r="B28" s="18">
        <v>44159</v>
      </c>
      <c r="C28" t="s">
        <v>70</v>
      </c>
      <c r="D28" t="s">
        <v>73</v>
      </c>
      <c r="E28">
        <v>18</v>
      </c>
      <c r="F28" t="s">
        <v>32</v>
      </c>
      <c r="G28" t="s">
        <v>7</v>
      </c>
      <c r="H28">
        <v>50</v>
      </c>
      <c r="I28">
        <v>5.6983333329999999</v>
      </c>
      <c r="J28">
        <v>3.5156666670000001</v>
      </c>
      <c r="K28">
        <v>0.620840049</v>
      </c>
      <c r="L28">
        <v>634.2390173</v>
      </c>
      <c r="M28">
        <v>456.03673120000002</v>
      </c>
      <c r="N28">
        <v>1.390763011</v>
      </c>
    </row>
    <row r="29" spans="1:14" x14ac:dyDescent="0.2">
      <c r="A29" s="98" t="s">
        <v>34</v>
      </c>
      <c r="B29" s="18">
        <v>44159</v>
      </c>
      <c r="C29" t="s">
        <v>70</v>
      </c>
      <c r="D29" t="s">
        <v>73</v>
      </c>
      <c r="E29">
        <v>18</v>
      </c>
      <c r="F29" t="s">
        <v>32</v>
      </c>
      <c r="G29" t="s">
        <v>8</v>
      </c>
      <c r="H29">
        <v>60</v>
      </c>
      <c r="I29">
        <v>5.7773333329999996</v>
      </c>
      <c r="J29">
        <v>3.5016666669999998</v>
      </c>
      <c r="K29">
        <v>0.64988100900000001</v>
      </c>
      <c r="L29">
        <v>483.06513960000001</v>
      </c>
      <c r="M29">
        <v>456.03673120000002</v>
      </c>
      <c r="N29">
        <v>1.0592680510000001</v>
      </c>
    </row>
    <row r="30" spans="1:14" x14ac:dyDescent="0.2">
      <c r="A30" s="98" t="s">
        <v>34</v>
      </c>
      <c r="B30" s="18">
        <v>44159</v>
      </c>
      <c r="C30" t="s">
        <v>70</v>
      </c>
      <c r="D30" t="s">
        <v>73</v>
      </c>
      <c r="E30">
        <v>18</v>
      </c>
      <c r="F30" t="s">
        <v>32</v>
      </c>
      <c r="G30" t="s">
        <v>9</v>
      </c>
      <c r="H30">
        <v>70</v>
      </c>
      <c r="I30">
        <v>5.593</v>
      </c>
      <c r="J30">
        <v>3.4089999999999998</v>
      </c>
      <c r="K30">
        <v>0.64065708399999999</v>
      </c>
      <c r="L30">
        <v>643.64455569999996</v>
      </c>
      <c r="M30">
        <v>456.03673120000002</v>
      </c>
      <c r="N30">
        <v>1.4113875300000001</v>
      </c>
    </row>
    <row r="31" spans="1:14" x14ac:dyDescent="0.2">
      <c r="A31" s="98" t="s">
        <v>34</v>
      </c>
      <c r="B31" s="18">
        <v>44159</v>
      </c>
      <c r="C31" t="s">
        <v>70</v>
      </c>
      <c r="D31" t="s">
        <v>73</v>
      </c>
      <c r="E31">
        <v>18</v>
      </c>
      <c r="F31" t="s">
        <v>32</v>
      </c>
      <c r="G31" t="s">
        <v>10</v>
      </c>
      <c r="H31">
        <v>80</v>
      </c>
      <c r="I31">
        <v>5.6310000000000002</v>
      </c>
      <c r="J31">
        <v>3.3853333330000002</v>
      </c>
      <c r="K31">
        <v>0.66335171299999995</v>
      </c>
      <c r="L31">
        <v>565.12401590000002</v>
      </c>
      <c r="M31">
        <v>456.03673120000002</v>
      </c>
      <c r="N31">
        <v>1.2392072329999999</v>
      </c>
    </row>
    <row r="32" spans="1:14" x14ac:dyDescent="0.2">
      <c r="A32" s="98" t="s">
        <v>34</v>
      </c>
      <c r="B32" s="18">
        <v>44159</v>
      </c>
      <c r="C32" t="s">
        <v>70</v>
      </c>
      <c r="D32" t="s">
        <v>73</v>
      </c>
      <c r="E32">
        <v>18</v>
      </c>
      <c r="F32" t="s">
        <v>32</v>
      </c>
      <c r="G32" t="s">
        <v>11</v>
      </c>
      <c r="H32">
        <v>90</v>
      </c>
      <c r="I32">
        <v>5.8083333330000002</v>
      </c>
      <c r="J32">
        <v>3.4923333329999999</v>
      </c>
      <c r="K32">
        <v>0.66316693699999996</v>
      </c>
      <c r="L32">
        <v>420.28252509999999</v>
      </c>
      <c r="M32">
        <v>456.03673120000002</v>
      </c>
      <c r="N32">
        <v>0.92159796900000002</v>
      </c>
    </row>
    <row r="33" spans="1:14" x14ac:dyDescent="0.2">
      <c r="A33" s="98" t="s">
        <v>34</v>
      </c>
      <c r="B33" s="18">
        <v>44159</v>
      </c>
      <c r="C33" t="s">
        <v>70</v>
      </c>
      <c r="D33" t="s">
        <v>73</v>
      </c>
      <c r="E33">
        <v>18</v>
      </c>
      <c r="F33" t="s">
        <v>33</v>
      </c>
      <c r="G33" t="s">
        <v>3</v>
      </c>
      <c r="H33">
        <v>10</v>
      </c>
      <c r="I33">
        <v>5.4506666670000001</v>
      </c>
      <c r="J33">
        <v>3.4860000000000002</v>
      </c>
      <c r="K33">
        <v>0.56358768400000003</v>
      </c>
      <c r="L33">
        <v>466.875</v>
      </c>
      <c r="M33">
        <v>456.03673120000002</v>
      </c>
      <c r="N33">
        <v>1.0237662190000001</v>
      </c>
    </row>
    <row r="34" spans="1:14" x14ac:dyDescent="0.2">
      <c r="A34" s="98" t="s">
        <v>34</v>
      </c>
      <c r="B34" s="18">
        <v>44159</v>
      </c>
      <c r="C34" t="s">
        <v>70</v>
      </c>
      <c r="D34" t="s">
        <v>73</v>
      </c>
      <c r="E34">
        <v>18</v>
      </c>
      <c r="F34" t="s">
        <v>33</v>
      </c>
      <c r="G34" t="s">
        <v>4</v>
      </c>
      <c r="H34">
        <v>20</v>
      </c>
      <c r="I34">
        <v>5.81</v>
      </c>
      <c r="J34">
        <v>3.8159999999999998</v>
      </c>
      <c r="K34">
        <v>0.52253668799999997</v>
      </c>
      <c r="L34">
        <v>537.26127369999995</v>
      </c>
      <c r="M34">
        <v>456.03673120000002</v>
      </c>
      <c r="N34">
        <v>1.1781096499999999</v>
      </c>
    </row>
    <row r="35" spans="1:14" x14ac:dyDescent="0.2">
      <c r="A35" s="98" t="s">
        <v>34</v>
      </c>
      <c r="B35" s="18">
        <v>44159</v>
      </c>
      <c r="C35" t="s">
        <v>70</v>
      </c>
      <c r="D35" t="s">
        <v>73</v>
      </c>
      <c r="E35">
        <v>18</v>
      </c>
      <c r="F35" t="s">
        <v>33</v>
      </c>
      <c r="G35" t="s">
        <v>5</v>
      </c>
      <c r="H35">
        <v>30</v>
      </c>
      <c r="I35">
        <v>5.6473333329999997</v>
      </c>
      <c r="J35">
        <v>3.6026666669999998</v>
      </c>
      <c r="K35">
        <v>0.567542561</v>
      </c>
      <c r="L35">
        <v>493.12855630000001</v>
      </c>
      <c r="M35">
        <v>456.03673120000002</v>
      </c>
      <c r="N35">
        <v>1.08133517</v>
      </c>
    </row>
    <row r="36" spans="1:14" x14ac:dyDescent="0.2">
      <c r="A36" s="98" t="s">
        <v>34</v>
      </c>
      <c r="B36" s="18">
        <v>44159</v>
      </c>
      <c r="C36" t="s">
        <v>70</v>
      </c>
      <c r="D36" t="s">
        <v>73</v>
      </c>
      <c r="E36">
        <v>18</v>
      </c>
      <c r="F36" t="s">
        <v>33</v>
      </c>
      <c r="G36" t="s">
        <v>6</v>
      </c>
      <c r="H36">
        <v>40</v>
      </c>
      <c r="I36">
        <v>5.560333333</v>
      </c>
      <c r="J36">
        <v>3.463333333</v>
      </c>
      <c r="K36">
        <v>0.60548604399999995</v>
      </c>
      <c r="L36">
        <v>477.73694619999998</v>
      </c>
      <c r="M36">
        <v>456.03673120000002</v>
      </c>
      <c r="N36">
        <v>1.0475843579999999</v>
      </c>
    </row>
    <row r="37" spans="1:14" x14ac:dyDescent="0.2">
      <c r="A37" s="98" t="s">
        <v>34</v>
      </c>
      <c r="B37" s="18">
        <v>44159</v>
      </c>
      <c r="C37" t="s">
        <v>70</v>
      </c>
      <c r="D37" t="s">
        <v>73</v>
      </c>
      <c r="E37">
        <v>18</v>
      </c>
      <c r="F37" t="s">
        <v>33</v>
      </c>
      <c r="G37" t="s">
        <v>7</v>
      </c>
      <c r="H37">
        <v>50</v>
      </c>
      <c r="I37">
        <v>5.4503333329999997</v>
      </c>
      <c r="J37">
        <v>3.242</v>
      </c>
      <c r="K37">
        <v>0.68116389099999997</v>
      </c>
      <c r="L37">
        <v>472.88667359999999</v>
      </c>
      <c r="M37">
        <v>456.03673120000002</v>
      </c>
      <c r="N37">
        <v>1.036948652</v>
      </c>
    </row>
    <row r="38" spans="1:14" x14ac:dyDescent="0.2">
      <c r="A38" s="98" t="s">
        <v>34</v>
      </c>
      <c r="B38" s="18">
        <v>44159</v>
      </c>
      <c r="C38" t="s">
        <v>70</v>
      </c>
      <c r="D38" t="s">
        <v>73</v>
      </c>
      <c r="E38">
        <v>18</v>
      </c>
      <c r="F38" t="s">
        <v>33</v>
      </c>
      <c r="G38" t="s">
        <v>8</v>
      </c>
      <c r="H38">
        <v>60</v>
      </c>
      <c r="I38">
        <v>5.4133333329999997</v>
      </c>
      <c r="J38">
        <v>3.2283333330000001</v>
      </c>
      <c r="K38">
        <v>0.67681982399999996</v>
      </c>
      <c r="L38">
        <v>395.98768469999999</v>
      </c>
      <c r="M38">
        <v>456.03673120000002</v>
      </c>
      <c r="N38">
        <v>0.86832410100000001</v>
      </c>
    </row>
    <row r="39" spans="1:14" x14ac:dyDescent="0.2">
      <c r="A39" s="98" t="s">
        <v>34</v>
      </c>
      <c r="B39" s="18">
        <v>44159</v>
      </c>
      <c r="C39" t="s">
        <v>70</v>
      </c>
      <c r="D39" t="s">
        <v>73</v>
      </c>
      <c r="E39">
        <v>18</v>
      </c>
      <c r="F39" t="s">
        <v>33</v>
      </c>
      <c r="G39" t="s">
        <v>9</v>
      </c>
      <c r="H39">
        <v>70</v>
      </c>
      <c r="I39">
        <v>5.5383333329999997</v>
      </c>
      <c r="J39">
        <v>3.2890000000000001</v>
      </c>
      <c r="K39">
        <v>0.68389581399999999</v>
      </c>
      <c r="L39">
        <v>414.51495640000002</v>
      </c>
      <c r="M39">
        <v>456.03673120000002</v>
      </c>
      <c r="N39">
        <v>0.90895081</v>
      </c>
    </row>
    <row r="40" spans="1:14" x14ac:dyDescent="0.2">
      <c r="A40" s="98" t="s">
        <v>34</v>
      </c>
      <c r="B40" s="18">
        <v>44159</v>
      </c>
      <c r="C40" t="s">
        <v>70</v>
      </c>
      <c r="D40" t="s">
        <v>73</v>
      </c>
      <c r="E40">
        <v>18</v>
      </c>
      <c r="F40" t="s">
        <v>33</v>
      </c>
      <c r="G40" t="s">
        <v>10</v>
      </c>
      <c r="H40">
        <v>80</v>
      </c>
      <c r="I40">
        <v>5.596666667</v>
      </c>
      <c r="J40">
        <v>3.3723333329999998</v>
      </c>
      <c r="K40">
        <v>0.65958287999999998</v>
      </c>
      <c r="L40">
        <v>378.40833830000003</v>
      </c>
      <c r="M40">
        <v>456.03673120000002</v>
      </c>
      <c r="N40">
        <v>0.82977600799999995</v>
      </c>
    </row>
    <row r="41" spans="1:14" x14ac:dyDescent="0.2">
      <c r="A41" s="98" t="s">
        <v>34</v>
      </c>
      <c r="B41" s="18">
        <v>44159</v>
      </c>
      <c r="C41" t="s">
        <v>70</v>
      </c>
      <c r="D41" t="s">
        <v>73</v>
      </c>
      <c r="E41">
        <v>18</v>
      </c>
      <c r="F41" t="s">
        <v>33</v>
      </c>
      <c r="G41" t="s">
        <v>11</v>
      </c>
      <c r="H41">
        <v>90</v>
      </c>
      <c r="I41">
        <v>5.5903333330000002</v>
      </c>
      <c r="J41">
        <v>3.351</v>
      </c>
      <c r="K41">
        <v>0.66825823100000004</v>
      </c>
      <c r="L41">
        <v>394.42334979999998</v>
      </c>
      <c r="M41">
        <v>456.03673120000002</v>
      </c>
      <c r="N41">
        <v>0.86489381899999995</v>
      </c>
    </row>
    <row r="42" spans="1:14" x14ac:dyDescent="0.2">
      <c r="A42" s="98" t="s">
        <v>34</v>
      </c>
      <c r="B42" s="18">
        <v>44159</v>
      </c>
      <c r="C42" t="s">
        <v>70</v>
      </c>
      <c r="D42" t="s">
        <v>73</v>
      </c>
      <c r="E42">
        <v>18</v>
      </c>
      <c r="F42" t="s">
        <v>33</v>
      </c>
      <c r="G42" t="s">
        <v>12</v>
      </c>
      <c r="H42">
        <v>100</v>
      </c>
      <c r="I42">
        <v>5.3816666670000002</v>
      </c>
      <c r="J42">
        <v>3.1526666670000001</v>
      </c>
      <c r="K42">
        <v>0.70702051200000005</v>
      </c>
      <c r="L42">
        <v>350.90380920000001</v>
      </c>
      <c r="M42">
        <v>456.03673120000002</v>
      </c>
      <c r="N42">
        <v>0.76946391599999997</v>
      </c>
    </row>
    <row r="43" spans="1:14" x14ac:dyDescent="0.2">
      <c r="A43" s="98" t="s">
        <v>34</v>
      </c>
      <c r="B43" s="18">
        <v>44159</v>
      </c>
      <c r="C43" t="s">
        <v>70</v>
      </c>
      <c r="D43" t="s">
        <v>73</v>
      </c>
      <c r="E43">
        <v>18</v>
      </c>
      <c r="F43" t="s">
        <v>33</v>
      </c>
      <c r="G43" t="s">
        <v>13</v>
      </c>
      <c r="H43">
        <v>110</v>
      </c>
      <c r="I43">
        <v>5.5880000000000001</v>
      </c>
      <c r="J43">
        <v>3.4220000000000002</v>
      </c>
      <c r="K43">
        <v>0.63296317899999999</v>
      </c>
      <c r="L43">
        <v>306.80422329999999</v>
      </c>
      <c r="M43">
        <v>456.03673120000002</v>
      </c>
      <c r="N43">
        <v>0.67276208800000004</v>
      </c>
    </row>
    <row r="44" spans="1:14" x14ac:dyDescent="0.2">
      <c r="A44" s="98" t="s">
        <v>42</v>
      </c>
      <c r="B44" s="18">
        <v>44189</v>
      </c>
      <c r="C44" s="18" t="s">
        <v>72</v>
      </c>
      <c r="D44" t="s">
        <v>74</v>
      </c>
      <c r="E44">
        <v>19</v>
      </c>
      <c r="F44" t="s">
        <v>32</v>
      </c>
      <c r="G44" t="s">
        <v>3</v>
      </c>
      <c r="H44">
        <v>10</v>
      </c>
      <c r="I44">
        <v>4.6740000000000004</v>
      </c>
      <c r="J44">
        <v>3.5459999999999998</v>
      </c>
      <c r="K44">
        <v>0.31810490699999999</v>
      </c>
      <c r="L44">
        <v>527.27214379999998</v>
      </c>
      <c r="M44">
        <v>456.03673120000002</v>
      </c>
      <c r="N44">
        <v>1.156205428</v>
      </c>
    </row>
    <row r="45" spans="1:14" x14ac:dyDescent="0.2">
      <c r="A45" s="98" t="s">
        <v>42</v>
      </c>
      <c r="B45" s="18">
        <v>44189</v>
      </c>
      <c r="C45" s="18" t="s">
        <v>72</v>
      </c>
      <c r="D45" t="s">
        <v>74</v>
      </c>
      <c r="E45">
        <v>19</v>
      </c>
      <c r="F45" t="s">
        <v>32</v>
      </c>
      <c r="G45" t="s">
        <v>4</v>
      </c>
      <c r="H45">
        <v>20</v>
      </c>
      <c r="I45">
        <v>4.7759999999999998</v>
      </c>
      <c r="J45">
        <v>3.6146666669999998</v>
      </c>
      <c r="K45">
        <v>0.321283659</v>
      </c>
      <c r="L45">
        <v>569.90033500000004</v>
      </c>
      <c r="M45">
        <v>456.03673120000002</v>
      </c>
      <c r="N45">
        <v>1.249680774</v>
      </c>
    </row>
    <row r="46" spans="1:14" x14ac:dyDescent="0.2">
      <c r="A46" s="98" t="s">
        <v>42</v>
      </c>
      <c r="B46" s="18">
        <v>44189</v>
      </c>
      <c r="C46" s="18" t="s">
        <v>72</v>
      </c>
      <c r="D46" t="s">
        <v>74</v>
      </c>
      <c r="E46">
        <v>19</v>
      </c>
      <c r="F46" t="s">
        <v>32</v>
      </c>
      <c r="G46" t="s">
        <v>5</v>
      </c>
      <c r="H46">
        <v>30</v>
      </c>
      <c r="I46">
        <v>4.4989999999999997</v>
      </c>
      <c r="J46">
        <v>3.1953333330000002</v>
      </c>
      <c r="K46">
        <v>0.40799081999999998</v>
      </c>
      <c r="L46">
        <v>502.8441876</v>
      </c>
      <c r="M46">
        <v>456.03673120000002</v>
      </c>
      <c r="N46">
        <v>1.1026396629999999</v>
      </c>
    </row>
    <row r="47" spans="1:14" x14ac:dyDescent="0.2">
      <c r="A47" s="98" t="s">
        <v>42</v>
      </c>
      <c r="B47" s="18">
        <v>44189</v>
      </c>
      <c r="C47" s="18" t="s">
        <v>72</v>
      </c>
      <c r="D47" t="s">
        <v>74</v>
      </c>
      <c r="E47">
        <v>19</v>
      </c>
      <c r="F47" t="s">
        <v>32</v>
      </c>
      <c r="G47" t="s">
        <v>6</v>
      </c>
      <c r="H47">
        <v>40</v>
      </c>
      <c r="I47">
        <v>4.6286666670000001</v>
      </c>
      <c r="J47">
        <v>3.4763333329999999</v>
      </c>
      <c r="K47">
        <v>0.33147952800000002</v>
      </c>
      <c r="L47">
        <v>591.82284319999997</v>
      </c>
      <c r="M47">
        <v>456.03673120000002</v>
      </c>
      <c r="N47">
        <v>1.297752577</v>
      </c>
    </row>
    <row r="48" spans="1:14" x14ac:dyDescent="0.2">
      <c r="A48" s="98" t="s">
        <v>42</v>
      </c>
      <c r="B48" s="18">
        <v>44189</v>
      </c>
      <c r="C48" s="18" t="s">
        <v>72</v>
      </c>
      <c r="D48" t="s">
        <v>74</v>
      </c>
      <c r="E48">
        <v>19</v>
      </c>
      <c r="F48" t="s">
        <v>32</v>
      </c>
      <c r="G48" t="s">
        <v>7</v>
      </c>
      <c r="H48">
        <v>50</v>
      </c>
      <c r="I48">
        <v>4.5796666669999997</v>
      </c>
      <c r="J48">
        <v>3.3133333330000001</v>
      </c>
      <c r="K48">
        <v>0.382193159</v>
      </c>
      <c r="L48">
        <v>688.76046289999999</v>
      </c>
      <c r="M48">
        <v>456.03673120000002</v>
      </c>
      <c r="N48">
        <v>1.510317954</v>
      </c>
    </row>
    <row r="49" spans="1:14" x14ac:dyDescent="0.2">
      <c r="A49" s="98" t="s">
        <v>42</v>
      </c>
      <c r="B49" s="18">
        <v>44189</v>
      </c>
      <c r="C49" s="18" t="s">
        <v>72</v>
      </c>
      <c r="D49" t="s">
        <v>74</v>
      </c>
      <c r="E49">
        <v>19</v>
      </c>
      <c r="F49" t="s">
        <v>32</v>
      </c>
      <c r="G49" t="s">
        <v>8</v>
      </c>
      <c r="H49">
        <v>60</v>
      </c>
      <c r="I49">
        <v>4.6986666670000004</v>
      </c>
      <c r="J49">
        <v>3.3846666669999999</v>
      </c>
      <c r="K49">
        <v>0.38822139100000003</v>
      </c>
      <c r="L49">
        <v>677.84577190000005</v>
      </c>
      <c r="M49">
        <v>456.03673120000002</v>
      </c>
      <c r="N49">
        <v>1.486384156</v>
      </c>
    </row>
    <row r="50" spans="1:14" x14ac:dyDescent="0.2">
      <c r="A50" s="98" t="s">
        <v>42</v>
      </c>
      <c r="B50" s="18">
        <v>44189</v>
      </c>
      <c r="C50" s="18" t="s">
        <v>72</v>
      </c>
      <c r="D50" t="s">
        <v>74</v>
      </c>
      <c r="E50">
        <v>19</v>
      </c>
      <c r="F50" t="s">
        <v>32</v>
      </c>
      <c r="G50" t="s">
        <v>9</v>
      </c>
      <c r="H50">
        <v>70</v>
      </c>
      <c r="I50">
        <v>4.7563333329999997</v>
      </c>
      <c r="J50">
        <v>3.4426666670000001</v>
      </c>
      <c r="K50">
        <v>0.38158404299999998</v>
      </c>
      <c r="L50">
        <v>655.76900969999997</v>
      </c>
      <c r="M50">
        <v>456.03673120000002</v>
      </c>
      <c r="N50">
        <v>1.437974104</v>
      </c>
    </row>
    <row r="51" spans="1:14" x14ac:dyDescent="0.2">
      <c r="A51" s="98" t="s">
        <v>42</v>
      </c>
      <c r="B51" s="18">
        <v>44189</v>
      </c>
      <c r="C51" s="18" t="s">
        <v>72</v>
      </c>
      <c r="D51" t="s">
        <v>74</v>
      </c>
      <c r="E51">
        <v>19</v>
      </c>
      <c r="F51" t="s">
        <v>32</v>
      </c>
      <c r="G51" t="s">
        <v>10</v>
      </c>
      <c r="H51">
        <v>75</v>
      </c>
      <c r="I51">
        <v>4.5673333329999997</v>
      </c>
      <c r="J51">
        <v>3.2919999999999998</v>
      </c>
      <c r="K51">
        <v>0.38740380699999999</v>
      </c>
      <c r="L51">
        <v>384.17077799999998</v>
      </c>
      <c r="M51">
        <v>228.01836560000001</v>
      </c>
      <c r="N51">
        <v>1.6848238390000001</v>
      </c>
    </row>
    <row r="52" spans="1:14" x14ac:dyDescent="0.2">
      <c r="A52" s="98" t="s">
        <v>42</v>
      </c>
      <c r="B52" s="18">
        <v>44159</v>
      </c>
      <c r="C52" s="18" t="s">
        <v>72</v>
      </c>
      <c r="D52" t="s">
        <v>74</v>
      </c>
      <c r="E52">
        <v>19</v>
      </c>
      <c r="F52" t="s">
        <v>33</v>
      </c>
      <c r="G52" t="s">
        <v>3</v>
      </c>
      <c r="H52">
        <v>10</v>
      </c>
      <c r="I52">
        <v>4.625</v>
      </c>
      <c r="J52">
        <v>3.4340000000000002</v>
      </c>
      <c r="K52">
        <v>0.34682585900000001</v>
      </c>
      <c r="L52">
        <v>585.82183780000003</v>
      </c>
      <c r="M52">
        <v>456.03673120000002</v>
      </c>
      <c r="N52">
        <v>1.284593538</v>
      </c>
    </row>
    <row r="53" spans="1:14" x14ac:dyDescent="0.2">
      <c r="A53" s="98" t="s">
        <v>42</v>
      </c>
      <c r="B53" s="18">
        <v>44159</v>
      </c>
      <c r="C53" s="18" t="s">
        <v>72</v>
      </c>
      <c r="D53" t="s">
        <v>74</v>
      </c>
      <c r="E53">
        <v>19</v>
      </c>
      <c r="F53" t="s">
        <v>33</v>
      </c>
      <c r="G53" t="s">
        <v>4</v>
      </c>
      <c r="H53">
        <v>20</v>
      </c>
      <c r="I53">
        <v>4.6396666670000002</v>
      </c>
      <c r="J53">
        <v>3.451666667</v>
      </c>
      <c r="K53">
        <v>0.34418155499999997</v>
      </c>
      <c r="L53">
        <v>562.42402470000002</v>
      </c>
      <c r="M53">
        <v>456.03673120000002</v>
      </c>
      <c r="N53">
        <v>1.2332866769999999</v>
      </c>
    </row>
    <row r="54" spans="1:14" x14ac:dyDescent="0.2">
      <c r="A54" s="98" t="s">
        <v>42</v>
      </c>
      <c r="B54" s="18">
        <v>44159</v>
      </c>
      <c r="C54" s="18" t="s">
        <v>72</v>
      </c>
      <c r="D54" t="s">
        <v>74</v>
      </c>
      <c r="E54">
        <v>19</v>
      </c>
      <c r="F54" t="s">
        <v>33</v>
      </c>
      <c r="G54" t="s">
        <v>5</v>
      </c>
      <c r="H54">
        <v>30</v>
      </c>
      <c r="I54">
        <v>4.4223333330000001</v>
      </c>
      <c r="J54">
        <v>3.1983333329999999</v>
      </c>
      <c r="K54">
        <v>0.38269932299999998</v>
      </c>
      <c r="L54">
        <v>580.74809679999998</v>
      </c>
      <c r="M54">
        <v>456.03673120000002</v>
      </c>
      <c r="N54">
        <v>1.273467809</v>
      </c>
    </row>
    <row r="55" spans="1:14" x14ac:dyDescent="0.2">
      <c r="A55" s="98" t="s">
        <v>42</v>
      </c>
      <c r="B55" s="18">
        <v>44159</v>
      </c>
      <c r="C55" s="18" t="s">
        <v>72</v>
      </c>
      <c r="D55" t="s">
        <v>74</v>
      </c>
      <c r="E55">
        <v>19</v>
      </c>
      <c r="F55" t="s">
        <v>33</v>
      </c>
      <c r="G55" t="s">
        <v>6</v>
      </c>
      <c r="H55">
        <v>40</v>
      </c>
      <c r="I55">
        <v>4.8369999999999997</v>
      </c>
      <c r="J55">
        <v>3.6676666670000002</v>
      </c>
      <c r="K55">
        <v>0.318822139</v>
      </c>
      <c r="L55">
        <v>627.83295429999998</v>
      </c>
      <c r="M55">
        <v>456.03673120000002</v>
      </c>
      <c r="N55">
        <v>1.3767157590000001</v>
      </c>
    </row>
    <row r="56" spans="1:14" x14ac:dyDescent="0.2">
      <c r="A56" s="98" t="s">
        <v>42</v>
      </c>
      <c r="B56" s="18">
        <v>44159</v>
      </c>
      <c r="C56" s="18" t="s">
        <v>72</v>
      </c>
      <c r="D56" t="s">
        <v>74</v>
      </c>
      <c r="E56">
        <v>19</v>
      </c>
      <c r="F56" t="s">
        <v>33</v>
      </c>
      <c r="G56" t="s">
        <v>7</v>
      </c>
      <c r="H56">
        <v>50</v>
      </c>
      <c r="I56">
        <v>4.53</v>
      </c>
      <c r="J56">
        <v>3.278666667</v>
      </c>
      <c r="K56">
        <v>0.381659211</v>
      </c>
      <c r="L56">
        <v>633.29654159999995</v>
      </c>
      <c r="M56">
        <v>456.03673120000002</v>
      </c>
      <c r="N56">
        <v>1.3886963450000001</v>
      </c>
    </row>
    <row r="57" spans="1:14" x14ac:dyDescent="0.2">
      <c r="A57" s="98" t="s">
        <v>42</v>
      </c>
      <c r="B57" s="18">
        <v>44159</v>
      </c>
      <c r="C57" s="18" t="s">
        <v>72</v>
      </c>
      <c r="D57" t="s">
        <v>74</v>
      </c>
      <c r="E57">
        <v>19</v>
      </c>
      <c r="F57" t="s">
        <v>33</v>
      </c>
      <c r="G57" t="s">
        <v>8</v>
      </c>
      <c r="H57">
        <v>60</v>
      </c>
      <c r="I57">
        <v>4.6253333330000004</v>
      </c>
      <c r="J57">
        <v>3.3036666669999999</v>
      </c>
      <c r="K57">
        <v>0.40006053899999999</v>
      </c>
      <c r="L57">
        <v>564.97556929999996</v>
      </c>
      <c r="M57">
        <v>456.03673120000002</v>
      </c>
      <c r="N57">
        <v>1.2388817190000001</v>
      </c>
    </row>
    <row r="58" spans="1:14" x14ac:dyDescent="0.2">
      <c r="A58" s="98" t="s">
        <v>42</v>
      </c>
      <c r="B58" s="18">
        <v>44159</v>
      </c>
      <c r="C58" s="18" t="s">
        <v>72</v>
      </c>
      <c r="D58" t="s">
        <v>74</v>
      </c>
      <c r="E58">
        <v>19</v>
      </c>
      <c r="F58" t="s">
        <v>33</v>
      </c>
      <c r="G58" t="s">
        <v>9</v>
      </c>
      <c r="H58">
        <v>70</v>
      </c>
      <c r="I58">
        <v>4.7356666670000003</v>
      </c>
      <c r="J58">
        <v>3.4133333330000002</v>
      </c>
      <c r="K58">
        <v>0.38740234400000001</v>
      </c>
      <c r="L58">
        <v>666.71359189999998</v>
      </c>
      <c r="M58">
        <v>456.03673120000002</v>
      </c>
      <c r="N58">
        <v>1.4619734470000001</v>
      </c>
    </row>
    <row r="59" spans="1:14" x14ac:dyDescent="0.2">
      <c r="A59" s="98" t="s">
        <v>42</v>
      </c>
      <c r="B59" s="18">
        <v>44159</v>
      </c>
      <c r="C59" s="18" t="s">
        <v>72</v>
      </c>
      <c r="D59" t="s">
        <v>74</v>
      </c>
      <c r="E59">
        <v>19</v>
      </c>
      <c r="F59" t="s">
        <v>33</v>
      </c>
      <c r="G59" t="s">
        <v>10</v>
      </c>
      <c r="H59">
        <v>80</v>
      </c>
      <c r="I59">
        <v>4.802333333</v>
      </c>
      <c r="J59">
        <v>3.4956666670000001</v>
      </c>
      <c r="K59">
        <v>0.37379612899999998</v>
      </c>
      <c r="L59">
        <v>568.49774420000006</v>
      </c>
      <c r="M59">
        <v>456.03673120000002</v>
      </c>
      <c r="N59">
        <v>1.246605164</v>
      </c>
    </row>
    <row r="60" spans="1:14" x14ac:dyDescent="0.2">
      <c r="A60" s="98" t="s">
        <v>42</v>
      </c>
      <c r="B60" s="18">
        <v>44159</v>
      </c>
      <c r="C60" s="18" t="s">
        <v>72</v>
      </c>
      <c r="D60" t="s">
        <v>74</v>
      </c>
      <c r="E60">
        <v>19</v>
      </c>
      <c r="F60" t="s">
        <v>33</v>
      </c>
      <c r="G60" t="s">
        <v>11</v>
      </c>
      <c r="H60">
        <v>90</v>
      </c>
      <c r="I60">
        <v>4.8606666670000003</v>
      </c>
      <c r="J60">
        <v>3.5270000000000001</v>
      </c>
      <c r="K60">
        <v>0.37813061100000001</v>
      </c>
      <c r="L60">
        <v>630.56432589999997</v>
      </c>
      <c r="M60">
        <v>456.03673120000002</v>
      </c>
      <c r="N60">
        <v>1.3827051260000001</v>
      </c>
    </row>
    <row r="61" spans="1:14" x14ac:dyDescent="0.2">
      <c r="A61" s="98" t="s">
        <v>42</v>
      </c>
      <c r="B61" s="18">
        <v>44159</v>
      </c>
      <c r="C61" s="18" t="s">
        <v>72</v>
      </c>
      <c r="D61" t="s">
        <v>74</v>
      </c>
      <c r="E61">
        <v>19</v>
      </c>
      <c r="F61" t="s">
        <v>33</v>
      </c>
      <c r="G61" t="s">
        <v>12</v>
      </c>
      <c r="H61">
        <v>100</v>
      </c>
      <c r="I61">
        <v>4.944</v>
      </c>
      <c r="J61">
        <v>3.5913333330000001</v>
      </c>
      <c r="K61">
        <v>0.376647485</v>
      </c>
      <c r="L61">
        <v>546.25458470000001</v>
      </c>
      <c r="M61">
        <v>456.03673120000002</v>
      </c>
      <c r="N61">
        <v>1.1978302350000001</v>
      </c>
    </row>
    <row r="62" spans="1:14" x14ac:dyDescent="0.2">
      <c r="A62" s="98" t="s">
        <v>42</v>
      </c>
      <c r="B62" s="18">
        <v>44159</v>
      </c>
      <c r="C62" s="18" t="s">
        <v>72</v>
      </c>
      <c r="D62" t="s">
        <v>74</v>
      </c>
      <c r="E62">
        <v>19</v>
      </c>
      <c r="F62" t="s">
        <v>33</v>
      </c>
      <c r="G62" t="s">
        <v>13</v>
      </c>
      <c r="H62">
        <v>110</v>
      </c>
      <c r="I62">
        <v>4.766666667</v>
      </c>
      <c r="J62">
        <v>3.5790000000000002</v>
      </c>
      <c r="K62">
        <v>0.331843159</v>
      </c>
      <c r="L62">
        <v>486.54377620000002</v>
      </c>
      <c r="M62">
        <v>456.03673120000002</v>
      </c>
      <c r="N62">
        <v>1.066896026</v>
      </c>
    </row>
    <row r="63" spans="1:14" x14ac:dyDescent="0.2">
      <c r="A63" s="98" t="s">
        <v>43</v>
      </c>
      <c r="B63" s="18">
        <v>44159</v>
      </c>
      <c r="C63" s="18" t="s">
        <v>72</v>
      </c>
      <c r="D63" t="s">
        <v>74</v>
      </c>
      <c r="E63">
        <v>18</v>
      </c>
      <c r="F63" t="s">
        <v>33</v>
      </c>
      <c r="G63" t="s">
        <v>3</v>
      </c>
      <c r="H63">
        <v>10</v>
      </c>
      <c r="I63">
        <v>5.1476666670000002</v>
      </c>
      <c r="J63">
        <v>3.1673333330000002</v>
      </c>
      <c r="K63">
        <v>0.62523679200000004</v>
      </c>
      <c r="L63">
        <v>513.77128800000003</v>
      </c>
      <c r="M63">
        <v>456.03673120000002</v>
      </c>
      <c r="N63">
        <v>1.1266006719999999</v>
      </c>
    </row>
    <row r="64" spans="1:14" x14ac:dyDescent="0.2">
      <c r="A64" s="98" t="s">
        <v>43</v>
      </c>
      <c r="B64" s="18">
        <v>44159</v>
      </c>
      <c r="C64" s="18" t="s">
        <v>72</v>
      </c>
      <c r="D64" t="s">
        <v>74</v>
      </c>
      <c r="E64">
        <v>18</v>
      </c>
      <c r="F64" t="s">
        <v>33</v>
      </c>
      <c r="G64" t="s">
        <v>4</v>
      </c>
      <c r="H64">
        <v>20</v>
      </c>
      <c r="I64">
        <v>5.2569999999999997</v>
      </c>
      <c r="J64">
        <v>3.2810000000000001</v>
      </c>
      <c r="K64">
        <v>0.60225541000000005</v>
      </c>
      <c r="L64">
        <v>496.79969560000001</v>
      </c>
      <c r="M64">
        <v>456.03673120000002</v>
      </c>
      <c r="N64">
        <v>1.0893852660000001</v>
      </c>
    </row>
    <row r="65" spans="1:14" x14ac:dyDescent="0.2">
      <c r="A65" s="98" t="s">
        <v>43</v>
      </c>
      <c r="B65" s="18">
        <v>44159</v>
      </c>
      <c r="C65" s="18" t="s">
        <v>72</v>
      </c>
      <c r="D65" t="s">
        <v>74</v>
      </c>
      <c r="E65">
        <v>18</v>
      </c>
      <c r="F65" t="s">
        <v>33</v>
      </c>
      <c r="G65" t="s">
        <v>5</v>
      </c>
      <c r="H65">
        <v>30</v>
      </c>
      <c r="I65">
        <v>5.3150000000000004</v>
      </c>
      <c r="J65">
        <v>3.2876666669999999</v>
      </c>
      <c r="K65">
        <v>0.61664807899999996</v>
      </c>
      <c r="L65">
        <v>486.8097209</v>
      </c>
      <c r="M65">
        <v>456.03673120000002</v>
      </c>
      <c r="N65">
        <v>1.0674791910000001</v>
      </c>
    </row>
    <row r="66" spans="1:14" x14ac:dyDescent="0.2">
      <c r="A66" s="98" t="s">
        <v>43</v>
      </c>
      <c r="B66" s="18">
        <v>44159</v>
      </c>
      <c r="C66" s="18" t="s">
        <v>72</v>
      </c>
      <c r="D66" t="s">
        <v>74</v>
      </c>
      <c r="E66">
        <v>18</v>
      </c>
      <c r="F66" t="s">
        <v>33</v>
      </c>
      <c r="G66" t="s">
        <v>6</v>
      </c>
      <c r="H66">
        <v>40</v>
      </c>
      <c r="I66">
        <v>5.3196666669999999</v>
      </c>
      <c r="J66">
        <v>3.3473333329999999</v>
      </c>
      <c r="K66">
        <v>0.58922525400000003</v>
      </c>
      <c r="L66">
        <v>491.43442570000002</v>
      </c>
      <c r="M66">
        <v>456.03673120000002</v>
      </c>
      <c r="N66">
        <v>1.077620271</v>
      </c>
    </row>
    <row r="67" spans="1:14" x14ac:dyDescent="0.2">
      <c r="A67" s="98" t="s">
        <v>43</v>
      </c>
      <c r="B67" s="18">
        <v>44159</v>
      </c>
      <c r="C67" s="18" t="s">
        <v>72</v>
      </c>
      <c r="D67" t="s">
        <v>74</v>
      </c>
      <c r="E67">
        <v>18</v>
      </c>
      <c r="F67" t="s">
        <v>33</v>
      </c>
      <c r="G67" t="s">
        <v>7</v>
      </c>
      <c r="H67">
        <v>50</v>
      </c>
      <c r="I67">
        <v>5.4713333329999996</v>
      </c>
      <c r="J67">
        <v>3.4943333330000002</v>
      </c>
      <c r="K67">
        <v>0.56577315699999997</v>
      </c>
      <c r="L67">
        <v>481.5512367</v>
      </c>
      <c r="M67">
        <v>456.03673120000002</v>
      </c>
      <c r="N67">
        <v>1.055948356</v>
      </c>
    </row>
    <row r="68" spans="1:14" x14ac:dyDescent="0.2">
      <c r="A68" s="98" t="s">
        <v>43</v>
      </c>
      <c r="B68" s="18">
        <v>44159</v>
      </c>
      <c r="C68" s="18" t="s">
        <v>72</v>
      </c>
      <c r="D68" t="s">
        <v>74</v>
      </c>
      <c r="E68">
        <v>18</v>
      </c>
      <c r="F68" t="s">
        <v>33</v>
      </c>
      <c r="G68" t="s">
        <v>8</v>
      </c>
      <c r="H68">
        <v>60</v>
      </c>
      <c r="I68">
        <v>5.403333333</v>
      </c>
      <c r="J68">
        <v>3.4573333329999998</v>
      </c>
      <c r="K68">
        <v>0.56286155000000004</v>
      </c>
      <c r="L68">
        <v>479.24910549999998</v>
      </c>
      <c r="M68">
        <v>456.03673120000002</v>
      </c>
      <c r="N68">
        <v>1.0509002300000001</v>
      </c>
    </row>
    <row r="69" spans="1:14" x14ac:dyDescent="0.2">
      <c r="A69" s="98" t="s">
        <v>43</v>
      </c>
      <c r="B69" s="18">
        <v>44159</v>
      </c>
      <c r="C69" s="18" t="s">
        <v>72</v>
      </c>
      <c r="D69" t="s">
        <v>74</v>
      </c>
      <c r="E69">
        <v>18</v>
      </c>
      <c r="F69" t="s">
        <v>33</v>
      </c>
      <c r="G69" t="s">
        <v>9</v>
      </c>
      <c r="H69">
        <v>70</v>
      </c>
      <c r="I69">
        <v>5.4813333330000003</v>
      </c>
      <c r="J69">
        <v>3.431666667</v>
      </c>
      <c r="K69">
        <v>0.59728023299999999</v>
      </c>
      <c r="L69">
        <v>522.76362200000005</v>
      </c>
      <c r="M69">
        <v>456.03673120000002</v>
      </c>
      <c r="N69">
        <v>1.1463191150000001</v>
      </c>
    </row>
    <row r="70" spans="1:14" x14ac:dyDescent="0.2">
      <c r="A70" s="98" t="s">
        <v>43</v>
      </c>
      <c r="B70" s="18">
        <v>44159</v>
      </c>
      <c r="C70" s="18" t="s">
        <v>72</v>
      </c>
      <c r="D70" t="s">
        <v>74</v>
      </c>
      <c r="E70">
        <v>18</v>
      </c>
      <c r="F70" t="s">
        <v>33</v>
      </c>
      <c r="G70" t="s">
        <v>10</v>
      </c>
      <c r="H70">
        <v>80</v>
      </c>
      <c r="I70">
        <v>5.1870000000000003</v>
      </c>
      <c r="J70">
        <v>3.1473333330000002</v>
      </c>
      <c r="K70">
        <v>0.64806185100000002</v>
      </c>
      <c r="L70">
        <v>493.3067284</v>
      </c>
      <c r="M70">
        <v>456.03673120000002</v>
      </c>
      <c r="N70">
        <v>1.0817258670000001</v>
      </c>
    </row>
    <row r="71" spans="1:14" x14ac:dyDescent="0.2">
      <c r="A71" s="98" t="s">
        <v>43</v>
      </c>
      <c r="B71" s="18">
        <v>44159</v>
      </c>
      <c r="C71" s="18" t="s">
        <v>72</v>
      </c>
      <c r="D71" t="s">
        <v>74</v>
      </c>
      <c r="E71">
        <v>18</v>
      </c>
      <c r="F71" t="s">
        <v>33</v>
      </c>
      <c r="G71" t="s">
        <v>11</v>
      </c>
      <c r="H71">
        <v>90</v>
      </c>
      <c r="I71">
        <v>5.2483333329999997</v>
      </c>
      <c r="J71">
        <v>3.2026666669999999</v>
      </c>
      <c r="K71">
        <v>0.63873855099999999</v>
      </c>
      <c r="L71">
        <v>535.77796130000002</v>
      </c>
      <c r="M71">
        <v>456.03673120000002</v>
      </c>
      <c r="N71">
        <v>1.174857034</v>
      </c>
    </row>
    <row r="72" spans="1:14" x14ac:dyDescent="0.2">
      <c r="A72" s="98" t="s">
        <v>43</v>
      </c>
      <c r="B72" s="18">
        <v>44159</v>
      </c>
      <c r="C72" s="18" t="s">
        <v>72</v>
      </c>
      <c r="D72" t="s">
        <v>74</v>
      </c>
      <c r="E72">
        <v>18</v>
      </c>
      <c r="F72" t="s">
        <v>33</v>
      </c>
      <c r="G72" t="s">
        <v>12</v>
      </c>
      <c r="H72">
        <v>100</v>
      </c>
      <c r="I72">
        <v>5.5460000000000003</v>
      </c>
      <c r="J72">
        <v>3.4816666669999998</v>
      </c>
      <c r="K72">
        <v>0.59291526999999999</v>
      </c>
      <c r="L72">
        <v>522.94055779999997</v>
      </c>
      <c r="M72">
        <v>456.03673120000002</v>
      </c>
      <c r="N72">
        <v>1.1467071010000001</v>
      </c>
    </row>
    <row r="73" spans="1:14" x14ac:dyDescent="0.2">
      <c r="A73" s="98" t="s">
        <v>43</v>
      </c>
      <c r="B73" s="18">
        <v>44159</v>
      </c>
      <c r="C73" s="18" t="s">
        <v>72</v>
      </c>
      <c r="D73" t="s">
        <v>74</v>
      </c>
      <c r="E73">
        <v>18</v>
      </c>
      <c r="F73" t="s">
        <v>33</v>
      </c>
      <c r="G73" t="s">
        <v>13</v>
      </c>
      <c r="H73">
        <v>110</v>
      </c>
      <c r="I73">
        <v>5.6926666670000001</v>
      </c>
      <c r="J73">
        <v>3.6196666670000002</v>
      </c>
      <c r="K73">
        <v>0.57270466900000006</v>
      </c>
      <c r="L73">
        <v>353.53109260000002</v>
      </c>
      <c r="M73">
        <v>456.03673120000002</v>
      </c>
      <c r="N73">
        <v>0.77522503899999995</v>
      </c>
    </row>
    <row r="74" spans="1:14" x14ac:dyDescent="0.2">
      <c r="A74" s="98" t="s">
        <v>43</v>
      </c>
      <c r="B74" s="18">
        <v>44159</v>
      </c>
      <c r="C74" s="18" t="s">
        <v>72</v>
      </c>
      <c r="D74" t="s">
        <v>74</v>
      </c>
      <c r="E74">
        <v>18</v>
      </c>
      <c r="F74" t="s">
        <v>32</v>
      </c>
      <c r="G74" t="s">
        <v>3</v>
      </c>
      <c r="H74">
        <v>10</v>
      </c>
      <c r="I74">
        <v>5.3613333330000001</v>
      </c>
      <c r="J74">
        <v>3.52</v>
      </c>
      <c r="K74">
        <v>0.52310606100000001</v>
      </c>
      <c r="L74">
        <v>496.35414079999998</v>
      </c>
      <c r="M74">
        <v>456.03673120000002</v>
      </c>
      <c r="N74">
        <v>1.0884082509999999</v>
      </c>
    </row>
    <row r="75" spans="1:14" x14ac:dyDescent="0.2">
      <c r="A75" s="98" t="s">
        <v>43</v>
      </c>
      <c r="B75" s="18">
        <v>44159</v>
      </c>
      <c r="C75" s="18" t="s">
        <v>72</v>
      </c>
      <c r="D75" t="s">
        <v>74</v>
      </c>
      <c r="E75">
        <v>18</v>
      </c>
      <c r="F75" t="s">
        <v>32</v>
      </c>
      <c r="G75" t="s">
        <v>4</v>
      </c>
      <c r="H75">
        <v>20</v>
      </c>
      <c r="I75">
        <v>5.2443333330000002</v>
      </c>
      <c r="J75">
        <v>3.3786666670000001</v>
      </c>
      <c r="K75">
        <v>0.55219021300000004</v>
      </c>
      <c r="L75">
        <v>485.12095599999998</v>
      </c>
      <c r="M75">
        <v>456.03673120000002</v>
      </c>
      <c r="N75">
        <v>1.0637760570000001</v>
      </c>
    </row>
    <row r="76" spans="1:14" x14ac:dyDescent="0.2">
      <c r="A76" s="98" t="s">
        <v>43</v>
      </c>
      <c r="B76" s="18">
        <v>44159</v>
      </c>
      <c r="C76" s="18" t="s">
        <v>72</v>
      </c>
      <c r="D76" t="s">
        <v>74</v>
      </c>
      <c r="E76">
        <v>18</v>
      </c>
      <c r="F76" t="s">
        <v>32</v>
      </c>
      <c r="G76" t="s">
        <v>5</v>
      </c>
      <c r="H76">
        <v>30</v>
      </c>
      <c r="I76">
        <v>5.1986666670000004</v>
      </c>
      <c r="J76">
        <v>3.2433333329999998</v>
      </c>
      <c r="K76">
        <v>0.60287769800000002</v>
      </c>
      <c r="L76">
        <v>477.8904847</v>
      </c>
      <c r="M76">
        <v>456.03673120000002</v>
      </c>
      <c r="N76">
        <v>1.0479210379999999</v>
      </c>
    </row>
    <row r="77" spans="1:14" x14ac:dyDescent="0.2">
      <c r="A77" s="98" t="s">
        <v>43</v>
      </c>
      <c r="B77" s="18">
        <v>44159</v>
      </c>
      <c r="C77" s="18" t="s">
        <v>72</v>
      </c>
      <c r="D77" t="s">
        <v>74</v>
      </c>
      <c r="E77">
        <v>18</v>
      </c>
      <c r="F77" t="s">
        <v>32</v>
      </c>
      <c r="G77" t="s">
        <v>6</v>
      </c>
      <c r="H77">
        <v>40</v>
      </c>
      <c r="I77">
        <v>2.334666667</v>
      </c>
      <c r="J77">
        <v>3.3893333330000002</v>
      </c>
      <c r="K77">
        <v>-0.31117230499999998</v>
      </c>
      <c r="L77">
        <v>1202.0422619999999</v>
      </c>
      <c r="M77">
        <v>456.03673120000002</v>
      </c>
      <c r="N77">
        <v>2.6358452720000001</v>
      </c>
    </row>
    <row r="78" spans="1:14" x14ac:dyDescent="0.2">
      <c r="A78" s="98" t="s">
        <v>43</v>
      </c>
      <c r="B78" s="18">
        <v>44159</v>
      </c>
      <c r="C78" s="18" t="s">
        <v>72</v>
      </c>
      <c r="D78" t="s">
        <v>74</v>
      </c>
      <c r="E78">
        <v>18</v>
      </c>
      <c r="F78" t="s">
        <v>32</v>
      </c>
      <c r="G78" t="s">
        <v>7</v>
      </c>
      <c r="H78">
        <v>50</v>
      </c>
      <c r="I78">
        <v>3.459666667</v>
      </c>
      <c r="J78">
        <v>3.1743333329999999</v>
      </c>
      <c r="K78">
        <v>8.9887640000000005E-2</v>
      </c>
      <c r="L78">
        <v>768.88659789999997</v>
      </c>
      <c r="M78">
        <v>456.03673120000002</v>
      </c>
      <c r="N78">
        <v>1.6860190100000001</v>
      </c>
    </row>
    <row r="79" spans="1:14" x14ac:dyDescent="0.2">
      <c r="A79" s="98" t="s">
        <v>43</v>
      </c>
      <c r="B79" s="18">
        <v>44159</v>
      </c>
      <c r="C79" s="18" t="s">
        <v>72</v>
      </c>
      <c r="D79" t="s">
        <v>74</v>
      </c>
      <c r="E79">
        <v>18</v>
      </c>
      <c r="F79" t="s">
        <v>32</v>
      </c>
      <c r="G79" t="s">
        <v>8</v>
      </c>
      <c r="H79">
        <v>60</v>
      </c>
      <c r="I79">
        <v>5.4640000000000004</v>
      </c>
      <c r="J79">
        <v>3.6030000000000002</v>
      </c>
      <c r="K79">
        <v>0.51651401600000002</v>
      </c>
      <c r="L79">
        <v>548.62664710000001</v>
      </c>
      <c r="M79">
        <v>456.03673120000002</v>
      </c>
      <c r="N79">
        <v>1.2030317070000001</v>
      </c>
    </row>
    <row r="80" spans="1:14" x14ac:dyDescent="0.2">
      <c r="A80" s="98" t="s">
        <v>43</v>
      </c>
      <c r="B80" s="18">
        <v>44159</v>
      </c>
      <c r="C80" s="18" t="s">
        <v>72</v>
      </c>
      <c r="D80" t="s">
        <v>74</v>
      </c>
      <c r="E80">
        <v>18</v>
      </c>
      <c r="F80" t="s">
        <v>32</v>
      </c>
      <c r="G80" t="s">
        <v>9</v>
      </c>
      <c r="H80">
        <v>70</v>
      </c>
      <c r="I80">
        <v>5.2530000000000001</v>
      </c>
      <c r="J80">
        <v>3.331</v>
      </c>
      <c r="K80">
        <v>0.57700390300000004</v>
      </c>
      <c r="L80">
        <v>547.87435749999997</v>
      </c>
      <c r="M80">
        <v>456.03673120000002</v>
      </c>
      <c r="N80">
        <v>1.2013820820000001</v>
      </c>
    </row>
    <row r="81" spans="1:14" x14ac:dyDescent="0.2">
      <c r="A81" s="98" t="s">
        <v>43</v>
      </c>
      <c r="B81" s="18">
        <v>44159</v>
      </c>
      <c r="C81" s="18" t="s">
        <v>72</v>
      </c>
      <c r="D81" t="s">
        <v>74</v>
      </c>
      <c r="E81">
        <v>18</v>
      </c>
      <c r="F81" t="s">
        <v>32</v>
      </c>
      <c r="G81" t="s">
        <v>10</v>
      </c>
      <c r="H81">
        <v>80</v>
      </c>
      <c r="I81">
        <v>5.2883333329999997</v>
      </c>
      <c r="J81">
        <v>3.3813333330000002</v>
      </c>
      <c r="K81">
        <v>0.56397870699999997</v>
      </c>
      <c r="L81">
        <v>519.18865430000005</v>
      </c>
      <c r="M81">
        <v>456.03673120000002</v>
      </c>
      <c r="N81">
        <v>1.1384799050000001</v>
      </c>
    </row>
    <row r="82" spans="1:14" x14ac:dyDescent="0.2">
      <c r="A82" s="98" t="s">
        <v>43</v>
      </c>
      <c r="B82" s="18">
        <v>44159</v>
      </c>
      <c r="C82" s="18" t="s">
        <v>72</v>
      </c>
      <c r="D82" t="s">
        <v>74</v>
      </c>
      <c r="E82">
        <v>18</v>
      </c>
      <c r="F82" t="s">
        <v>32</v>
      </c>
      <c r="G82" t="s">
        <v>11</v>
      </c>
      <c r="H82">
        <v>90</v>
      </c>
      <c r="I82">
        <v>5.2060000000000004</v>
      </c>
      <c r="J82">
        <v>3.165666667</v>
      </c>
      <c r="K82">
        <v>0.64451932199999995</v>
      </c>
      <c r="L82">
        <v>472.47848640000001</v>
      </c>
      <c r="M82">
        <v>456.03673120000002</v>
      </c>
      <c r="N82">
        <v>1.036053576</v>
      </c>
    </row>
    <row r="83" spans="1:14" x14ac:dyDescent="0.2">
      <c r="A83" s="98" t="s">
        <v>43</v>
      </c>
      <c r="B83" s="18">
        <v>44159</v>
      </c>
      <c r="C83" s="18" t="s">
        <v>72</v>
      </c>
      <c r="D83" t="s">
        <v>74</v>
      </c>
      <c r="E83">
        <v>18</v>
      </c>
      <c r="F83" t="s">
        <v>32</v>
      </c>
      <c r="G83" t="s">
        <v>12</v>
      </c>
      <c r="H83">
        <v>100</v>
      </c>
      <c r="I83">
        <v>5.395333333</v>
      </c>
      <c r="J83">
        <v>3.3006666670000002</v>
      </c>
      <c r="K83">
        <v>0.63461926899999999</v>
      </c>
      <c r="L83">
        <v>404.37550970000001</v>
      </c>
      <c r="M83">
        <v>456.03673120000002</v>
      </c>
      <c r="N83">
        <v>0.88671697299999996</v>
      </c>
    </row>
    <row r="84" spans="1:14" x14ac:dyDescent="0.2">
      <c r="A84" s="98" t="s">
        <v>43</v>
      </c>
      <c r="B84" s="18">
        <v>44159</v>
      </c>
      <c r="C84" s="18" t="s">
        <v>72</v>
      </c>
      <c r="D84" t="s">
        <v>74</v>
      </c>
      <c r="E84">
        <v>18</v>
      </c>
      <c r="F84" t="s">
        <v>32</v>
      </c>
      <c r="G84" t="s">
        <v>13</v>
      </c>
      <c r="H84">
        <v>110</v>
      </c>
      <c r="I84">
        <v>5.5366666670000004</v>
      </c>
      <c r="J84">
        <v>3.447666667</v>
      </c>
      <c r="K84">
        <v>0.60591704499999999</v>
      </c>
      <c r="L84">
        <v>472.00445509999997</v>
      </c>
      <c r="M84">
        <v>456.03673120000002</v>
      </c>
      <c r="N84">
        <v>1.0350141180000001</v>
      </c>
    </row>
    <row r="85" spans="1:14" x14ac:dyDescent="0.2">
      <c r="A85" s="98" t="s">
        <v>43</v>
      </c>
      <c r="B85" s="18">
        <v>44159</v>
      </c>
      <c r="C85" s="18" t="s">
        <v>72</v>
      </c>
      <c r="D85" t="s">
        <v>74</v>
      </c>
      <c r="E85">
        <v>18</v>
      </c>
      <c r="F85" t="s">
        <v>36</v>
      </c>
      <c r="G85" t="s">
        <v>3</v>
      </c>
      <c r="H85">
        <v>10</v>
      </c>
      <c r="I85">
        <v>5.3026666669999996</v>
      </c>
      <c r="J85">
        <v>3.3079999999999998</v>
      </c>
      <c r="K85">
        <v>0.602982668</v>
      </c>
      <c r="L85">
        <v>455.40105610000001</v>
      </c>
      <c r="M85">
        <v>456.03673120000002</v>
      </c>
      <c r="N85">
        <v>0.99860608799999995</v>
      </c>
    </row>
    <row r="86" spans="1:14" x14ac:dyDescent="0.2">
      <c r="A86" s="98" t="s">
        <v>43</v>
      </c>
      <c r="B86" s="18">
        <v>44159</v>
      </c>
      <c r="C86" s="18" t="s">
        <v>72</v>
      </c>
      <c r="D86" t="s">
        <v>74</v>
      </c>
      <c r="E86">
        <v>18</v>
      </c>
      <c r="F86" t="s">
        <v>36</v>
      </c>
      <c r="G86" t="s">
        <v>4</v>
      </c>
      <c r="H86">
        <v>20</v>
      </c>
      <c r="I86">
        <v>5.4095000000000004</v>
      </c>
      <c r="J86">
        <v>3.5956666670000001</v>
      </c>
      <c r="K86">
        <v>0.50444980100000003</v>
      </c>
      <c r="L86">
        <v>515.80318580000005</v>
      </c>
      <c r="M86">
        <v>456.03673120000002</v>
      </c>
      <c r="N86">
        <v>1.13105623</v>
      </c>
    </row>
    <row r="87" spans="1:14" x14ac:dyDescent="0.2">
      <c r="A87" s="98" t="s">
        <v>43</v>
      </c>
      <c r="B87" s="18">
        <v>44159</v>
      </c>
      <c r="C87" s="18" t="s">
        <v>72</v>
      </c>
      <c r="D87" t="s">
        <v>74</v>
      </c>
      <c r="E87">
        <v>18</v>
      </c>
      <c r="F87" t="s">
        <v>36</v>
      </c>
      <c r="G87" t="s">
        <v>5</v>
      </c>
      <c r="H87">
        <v>30</v>
      </c>
      <c r="I87">
        <v>5.5590000000000002</v>
      </c>
      <c r="J87">
        <v>3.6053333329999999</v>
      </c>
      <c r="K87">
        <v>0.54188239599999999</v>
      </c>
      <c r="L87">
        <v>511.06362059999998</v>
      </c>
      <c r="M87">
        <v>456.03673120000002</v>
      </c>
      <c r="N87">
        <v>1.1206632830000001</v>
      </c>
    </row>
    <row r="88" spans="1:14" x14ac:dyDescent="0.2">
      <c r="A88" s="98" t="s">
        <v>43</v>
      </c>
      <c r="B88" s="18">
        <v>44159</v>
      </c>
      <c r="C88" s="18" t="s">
        <v>72</v>
      </c>
      <c r="D88" t="s">
        <v>74</v>
      </c>
      <c r="E88">
        <v>18</v>
      </c>
      <c r="F88" t="s">
        <v>36</v>
      </c>
      <c r="G88" t="s">
        <v>6</v>
      </c>
      <c r="H88">
        <v>40</v>
      </c>
      <c r="I88">
        <v>5.1026666670000003</v>
      </c>
      <c r="J88">
        <v>3.068666667</v>
      </c>
      <c r="K88">
        <v>0.66282859000000005</v>
      </c>
      <c r="L88">
        <v>489.52730600000001</v>
      </c>
      <c r="M88">
        <v>456.03673120000002</v>
      </c>
      <c r="N88">
        <v>1.0734383270000001</v>
      </c>
    </row>
    <row r="89" spans="1:14" x14ac:dyDescent="0.2">
      <c r="A89" s="98" t="s">
        <v>43</v>
      </c>
      <c r="B89" s="18">
        <v>44159</v>
      </c>
      <c r="C89" s="18" t="s">
        <v>72</v>
      </c>
      <c r="D89" t="s">
        <v>74</v>
      </c>
      <c r="E89">
        <v>18</v>
      </c>
      <c r="F89" t="s">
        <v>36</v>
      </c>
      <c r="G89" t="s">
        <v>7</v>
      </c>
      <c r="H89">
        <v>50</v>
      </c>
      <c r="I89">
        <v>5.4233333330000004</v>
      </c>
      <c r="J89">
        <v>3.415333333</v>
      </c>
      <c r="K89">
        <v>0.58793675599999995</v>
      </c>
      <c r="L89">
        <v>479.23822990000002</v>
      </c>
      <c r="M89">
        <v>456.03673120000002</v>
      </c>
      <c r="N89">
        <v>1.0508763809999999</v>
      </c>
    </row>
    <row r="90" spans="1:14" x14ac:dyDescent="0.2">
      <c r="A90" s="98" t="s">
        <v>43</v>
      </c>
      <c r="B90" s="18">
        <v>44159</v>
      </c>
      <c r="C90" s="18" t="s">
        <v>72</v>
      </c>
      <c r="D90" t="s">
        <v>74</v>
      </c>
      <c r="E90">
        <v>18</v>
      </c>
      <c r="F90" t="s">
        <v>36</v>
      </c>
      <c r="G90" t="s">
        <v>8</v>
      </c>
      <c r="H90">
        <v>60</v>
      </c>
      <c r="I90">
        <v>5.4036666670000004</v>
      </c>
      <c r="J90">
        <v>3.3013333330000001</v>
      </c>
      <c r="K90">
        <v>0.63681340900000005</v>
      </c>
      <c r="L90">
        <v>491.19832209999998</v>
      </c>
      <c r="M90">
        <v>456.03673120000002</v>
      </c>
      <c r="N90">
        <v>1.0771025409999999</v>
      </c>
    </row>
    <row r="91" spans="1:14" x14ac:dyDescent="0.2">
      <c r="A91" s="98" t="s">
        <v>43</v>
      </c>
      <c r="B91" s="18">
        <v>44159</v>
      </c>
      <c r="C91" s="18" t="s">
        <v>72</v>
      </c>
      <c r="D91" t="s">
        <v>74</v>
      </c>
      <c r="E91">
        <v>18</v>
      </c>
      <c r="F91" t="s">
        <v>36</v>
      </c>
      <c r="G91" t="s">
        <v>9</v>
      </c>
      <c r="H91">
        <v>70</v>
      </c>
      <c r="I91">
        <v>5.5629999999999997</v>
      </c>
      <c r="J91">
        <v>10.16433333</v>
      </c>
      <c r="K91">
        <v>-0.45269406099999998</v>
      </c>
      <c r="L91">
        <v>1704.713823</v>
      </c>
      <c r="M91">
        <v>456.03673120000002</v>
      </c>
      <c r="N91">
        <v>3.7381063999999999</v>
      </c>
    </row>
    <row r="92" spans="1:14" x14ac:dyDescent="0.2">
      <c r="A92" s="98" t="s">
        <v>43</v>
      </c>
      <c r="B92" s="18">
        <v>44159</v>
      </c>
      <c r="C92" s="18" t="s">
        <v>72</v>
      </c>
      <c r="D92" t="s">
        <v>74</v>
      </c>
      <c r="E92">
        <v>18</v>
      </c>
      <c r="F92" t="s">
        <v>36</v>
      </c>
      <c r="G92" t="s">
        <v>10</v>
      </c>
      <c r="H92">
        <v>80</v>
      </c>
      <c r="I92">
        <v>5.3109999999999999</v>
      </c>
      <c r="J92">
        <v>3.1686666670000001</v>
      </c>
      <c r="K92">
        <v>0.67609930600000001</v>
      </c>
      <c r="L92">
        <v>545.31375130000004</v>
      </c>
      <c r="M92">
        <v>456.03673120000002</v>
      </c>
      <c r="N92">
        <v>1.1957671700000001</v>
      </c>
    </row>
    <row r="93" spans="1:14" x14ac:dyDescent="0.2">
      <c r="A93" s="98" t="s">
        <v>43</v>
      </c>
      <c r="B93" s="18">
        <v>44159</v>
      </c>
      <c r="C93" s="18" t="s">
        <v>72</v>
      </c>
      <c r="D93" t="s">
        <v>74</v>
      </c>
      <c r="E93">
        <v>18</v>
      </c>
      <c r="F93" t="s">
        <v>36</v>
      </c>
      <c r="G93" t="s">
        <v>11</v>
      </c>
      <c r="H93">
        <v>90</v>
      </c>
      <c r="I93">
        <v>5.5010000000000003</v>
      </c>
      <c r="J93">
        <v>3.4503333330000001</v>
      </c>
      <c r="K93">
        <v>0.59433871100000002</v>
      </c>
      <c r="L93">
        <v>472.29612800000001</v>
      </c>
      <c r="M93">
        <v>456.03673120000002</v>
      </c>
      <c r="N93">
        <v>1.0356536999999999</v>
      </c>
    </row>
    <row r="94" spans="1:14" x14ac:dyDescent="0.2">
      <c r="A94" s="98" t="s">
        <v>43</v>
      </c>
      <c r="B94" s="18">
        <v>44159</v>
      </c>
      <c r="C94" s="18" t="s">
        <v>72</v>
      </c>
      <c r="D94" t="s">
        <v>74</v>
      </c>
      <c r="E94">
        <v>18</v>
      </c>
      <c r="F94" t="s">
        <v>36</v>
      </c>
      <c r="G94" t="s">
        <v>12</v>
      </c>
      <c r="H94">
        <v>100</v>
      </c>
      <c r="I94">
        <v>5.3513333330000004</v>
      </c>
      <c r="J94">
        <v>3.3013333330000001</v>
      </c>
      <c r="K94">
        <v>0.62096122799999998</v>
      </c>
      <c r="L94">
        <v>521.91254519999995</v>
      </c>
      <c r="M94">
        <v>456.03673120000002</v>
      </c>
      <c r="N94">
        <v>1.144452869</v>
      </c>
    </row>
    <row r="95" spans="1:14" x14ac:dyDescent="0.2">
      <c r="A95" s="98" t="s">
        <v>42</v>
      </c>
      <c r="B95" s="18">
        <v>44159</v>
      </c>
      <c r="C95" s="18" t="s">
        <v>72</v>
      </c>
      <c r="D95" t="s">
        <v>74</v>
      </c>
      <c r="E95">
        <v>19</v>
      </c>
      <c r="F95" t="s">
        <v>36</v>
      </c>
      <c r="G95" t="s">
        <v>3</v>
      </c>
      <c r="H95">
        <v>10</v>
      </c>
      <c r="I95">
        <v>4.822666667</v>
      </c>
      <c r="J95">
        <v>3.5609999999999999</v>
      </c>
      <c r="K95">
        <v>0.35430122600000002</v>
      </c>
      <c r="L95">
        <v>654.95030410000004</v>
      </c>
      <c r="M95">
        <v>456.03673120000002</v>
      </c>
      <c r="N95">
        <v>1.436178841</v>
      </c>
    </row>
    <row r="96" spans="1:14" x14ac:dyDescent="0.2">
      <c r="A96" s="98" t="s">
        <v>42</v>
      </c>
      <c r="B96" s="18">
        <v>44159</v>
      </c>
      <c r="C96" s="18" t="s">
        <v>72</v>
      </c>
      <c r="D96" t="s">
        <v>74</v>
      </c>
      <c r="E96">
        <v>19</v>
      </c>
      <c r="F96" t="s">
        <v>36</v>
      </c>
      <c r="G96" t="s">
        <v>4</v>
      </c>
      <c r="H96">
        <v>20</v>
      </c>
      <c r="I96">
        <v>4.8049999999999997</v>
      </c>
      <c r="J96">
        <v>3.5083333329999999</v>
      </c>
      <c r="K96">
        <v>0.36959619999999999</v>
      </c>
      <c r="L96">
        <v>630.11272980000001</v>
      </c>
      <c r="M96">
        <v>456.03673120000002</v>
      </c>
      <c r="N96">
        <v>1.3817148640000001</v>
      </c>
    </row>
    <row r="97" spans="1:14" x14ac:dyDescent="0.2">
      <c r="A97" s="98" t="s">
        <v>42</v>
      </c>
      <c r="B97" s="18">
        <v>44159</v>
      </c>
      <c r="C97" s="18" t="s">
        <v>72</v>
      </c>
      <c r="D97" t="s">
        <v>74</v>
      </c>
      <c r="E97">
        <v>19</v>
      </c>
      <c r="F97" t="s">
        <v>36</v>
      </c>
      <c r="G97" t="s">
        <v>5</v>
      </c>
      <c r="H97">
        <v>30</v>
      </c>
      <c r="I97">
        <v>4.7560000000000002</v>
      </c>
      <c r="J97">
        <v>3.4580000000000002</v>
      </c>
      <c r="K97">
        <v>0.375361481</v>
      </c>
      <c r="L97">
        <v>613.65685450000001</v>
      </c>
      <c r="M97">
        <v>456.03673120000002</v>
      </c>
      <c r="N97">
        <v>1.345630324</v>
      </c>
    </row>
    <row r="98" spans="1:14" x14ac:dyDescent="0.2">
      <c r="A98" s="98" t="s">
        <v>42</v>
      </c>
      <c r="B98" s="18">
        <v>44159</v>
      </c>
      <c r="C98" s="18" t="s">
        <v>72</v>
      </c>
      <c r="D98" t="s">
        <v>74</v>
      </c>
      <c r="E98">
        <v>19</v>
      </c>
      <c r="F98" t="s">
        <v>36</v>
      </c>
      <c r="G98" t="s">
        <v>6</v>
      </c>
      <c r="H98">
        <v>40</v>
      </c>
      <c r="I98">
        <v>4.7736666669999996</v>
      </c>
      <c r="J98">
        <v>3.4576666669999998</v>
      </c>
      <c r="K98">
        <v>0.38060348999999999</v>
      </c>
      <c r="L98">
        <v>572.21353260000001</v>
      </c>
      <c r="M98">
        <v>456.03673120000002</v>
      </c>
      <c r="N98">
        <v>1.2547531670000001</v>
      </c>
    </row>
    <row r="99" spans="1:14" x14ac:dyDescent="0.2">
      <c r="A99" s="98" t="s">
        <v>42</v>
      </c>
      <c r="B99" s="18">
        <v>44159</v>
      </c>
      <c r="C99" s="18" t="s">
        <v>72</v>
      </c>
      <c r="D99" t="s">
        <v>74</v>
      </c>
      <c r="E99">
        <v>19</v>
      </c>
      <c r="F99" t="s">
        <v>36</v>
      </c>
      <c r="G99" t="s">
        <v>7</v>
      </c>
      <c r="H99">
        <v>50</v>
      </c>
      <c r="I99">
        <v>4.4446666669999999</v>
      </c>
      <c r="J99">
        <v>3.073</v>
      </c>
      <c r="K99">
        <v>0.44636077699999999</v>
      </c>
      <c r="L99">
        <v>564.17459129999997</v>
      </c>
      <c r="M99">
        <v>456.03673120000002</v>
      </c>
      <c r="N99">
        <v>1.2371253289999999</v>
      </c>
    </row>
    <row r="100" spans="1:14" x14ac:dyDescent="0.2">
      <c r="A100" s="98" t="s">
        <v>42</v>
      </c>
      <c r="B100" s="18">
        <v>44159</v>
      </c>
      <c r="C100" s="18" t="s">
        <v>72</v>
      </c>
      <c r="D100" t="s">
        <v>74</v>
      </c>
      <c r="E100">
        <v>19</v>
      </c>
      <c r="F100" t="s">
        <v>36</v>
      </c>
      <c r="G100" t="s">
        <v>8</v>
      </c>
      <c r="H100">
        <v>60</v>
      </c>
      <c r="I100">
        <v>4.7290000000000001</v>
      </c>
      <c r="J100">
        <v>3.3603333329999998</v>
      </c>
      <c r="K100">
        <v>0.40730086300000001</v>
      </c>
      <c r="L100">
        <v>543.59378300000003</v>
      </c>
      <c r="M100">
        <v>456.03673120000002</v>
      </c>
      <c r="N100">
        <v>1.191995613</v>
      </c>
    </row>
    <row r="101" spans="1:14" x14ac:dyDescent="0.2">
      <c r="A101" s="98" t="s">
        <v>42</v>
      </c>
      <c r="B101" s="18">
        <v>44159</v>
      </c>
      <c r="C101" s="18" t="s">
        <v>72</v>
      </c>
      <c r="D101" t="s">
        <v>74</v>
      </c>
      <c r="E101">
        <v>19</v>
      </c>
      <c r="F101" t="s">
        <v>36</v>
      </c>
      <c r="G101" t="s">
        <v>9</v>
      </c>
      <c r="H101">
        <v>70</v>
      </c>
      <c r="I101">
        <v>5.0306666670000002</v>
      </c>
      <c r="J101">
        <v>3.6543333329999999</v>
      </c>
      <c r="K101">
        <v>0.37663048399999999</v>
      </c>
      <c r="L101">
        <v>573.86496160000002</v>
      </c>
      <c r="M101">
        <v>456.03673120000002</v>
      </c>
      <c r="N101">
        <v>1.2583744299999999</v>
      </c>
    </row>
    <row r="102" spans="1:14" x14ac:dyDescent="0.2">
      <c r="A102" s="98" t="s">
        <v>42</v>
      </c>
      <c r="B102" s="18">
        <v>44159</v>
      </c>
      <c r="C102" s="18" t="s">
        <v>72</v>
      </c>
      <c r="D102" t="s">
        <v>74</v>
      </c>
      <c r="E102">
        <v>19</v>
      </c>
      <c r="F102" t="s">
        <v>36</v>
      </c>
      <c r="G102" t="s">
        <v>10</v>
      </c>
      <c r="H102">
        <v>80</v>
      </c>
      <c r="I102">
        <v>4.733333333</v>
      </c>
      <c r="J102">
        <v>3.363</v>
      </c>
      <c r="K102">
        <v>0.407473486</v>
      </c>
      <c r="L102">
        <v>536.42218309999998</v>
      </c>
      <c r="M102">
        <v>456.03673120000002</v>
      </c>
      <c r="N102">
        <v>1.176269687</v>
      </c>
    </row>
    <row r="103" spans="1:14" x14ac:dyDescent="0.2">
      <c r="A103" s="98" t="s">
        <v>42</v>
      </c>
      <c r="B103" s="18">
        <v>44159</v>
      </c>
      <c r="C103" s="18" t="s">
        <v>72</v>
      </c>
      <c r="D103" t="s">
        <v>74</v>
      </c>
      <c r="E103">
        <v>19</v>
      </c>
      <c r="F103" t="s">
        <v>36</v>
      </c>
      <c r="G103" t="s">
        <v>11</v>
      </c>
      <c r="H103">
        <v>90</v>
      </c>
      <c r="I103">
        <v>5.8766666670000003</v>
      </c>
      <c r="J103">
        <v>3.4860000000000002</v>
      </c>
      <c r="K103">
        <v>0.68579078199999999</v>
      </c>
      <c r="L103">
        <v>529.72172430000001</v>
      </c>
      <c r="M103">
        <v>456.03673120000002</v>
      </c>
      <c r="N103">
        <v>1.1615768820000001</v>
      </c>
    </row>
    <row r="104" spans="1:14" x14ac:dyDescent="0.2">
      <c r="A104" s="98" t="s">
        <v>42</v>
      </c>
      <c r="B104" s="18">
        <v>44159</v>
      </c>
      <c r="C104" s="18" t="s">
        <v>72</v>
      </c>
      <c r="D104" t="s">
        <v>74</v>
      </c>
      <c r="E104">
        <v>19</v>
      </c>
      <c r="F104" t="s">
        <v>36</v>
      </c>
      <c r="G104" t="s">
        <v>12</v>
      </c>
      <c r="H104">
        <v>100</v>
      </c>
      <c r="I104">
        <v>4.7273333329999998</v>
      </c>
      <c r="J104">
        <v>3.3243333329999998</v>
      </c>
      <c r="K104">
        <v>0.42203950699999998</v>
      </c>
      <c r="L104">
        <v>597.73304189999999</v>
      </c>
      <c r="M104">
        <v>456.03673120000002</v>
      </c>
      <c r="N104">
        <v>1.310712495</v>
      </c>
    </row>
    <row r="105" spans="1:14" x14ac:dyDescent="0.2">
      <c r="A105" s="98" t="s">
        <v>53</v>
      </c>
      <c r="B105" s="99">
        <v>44157</v>
      </c>
      <c r="C105" t="s">
        <v>70</v>
      </c>
      <c r="D105" t="s">
        <v>73</v>
      </c>
      <c r="E105">
        <v>18</v>
      </c>
      <c r="F105" t="s">
        <v>36</v>
      </c>
      <c r="G105" t="s">
        <v>3</v>
      </c>
      <c r="H105">
        <v>10</v>
      </c>
      <c r="I105">
        <v>5.5430000000000001</v>
      </c>
      <c r="J105">
        <v>3.528</v>
      </c>
      <c r="K105">
        <v>0.57114512500000003</v>
      </c>
      <c r="L105">
        <v>444.89843050000002</v>
      </c>
      <c r="M105">
        <v>456.03673120000002</v>
      </c>
      <c r="N105">
        <v>0.97557586900000004</v>
      </c>
    </row>
    <row r="106" spans="1:14" ht="16" customHeight="1" x14ac:dyDescent="0.2">
      <c r="A106" s="98" t="s">
        <v>53</v>
      </c>
      <c r="B106" s="99">
        <v>44157</v>
      </c>
      <c r="C106" t="s">
        <v>70</v>
      </c>
      <c r="D106" t="s">
        <v>73</v>
      </c>
      <c r="E106">
        <v>18</v>
      </c>
      <c r="F106" t="s">
        <v>36</v>
      </c>
      <c r="G106" t="s">
        <v>4</v>
      </c>
      <c r="H106">
        <v>20</v>
      </c>
      <c r="I106">
        <v>5.4219999999999997</v>
      </c>
      <c r="J106">
        <v>3.318666667</v>
      </c>
      <c r="K106">
        <v>0.63378867000000005</v>
      </c>
      <c r="L106">
        <v>449.87458500000002</v>
      </c>
      <c r="M106">
        <v>456.03673120000002</v>
      </c>
      <c r="N106">
        <v>0.98648760999999996</v>
      </c>
    </row>
    <row r="107" spans="1:14" x14ac:dyDescent="0.2">
      <c r="A107" s="98" t="s">
        <v>53</v>
      </c>
      <c r="B107" s="99">
        <v>44157</v>
      </c>
      <c r="C107" t="s">
        <v>70</v>
      </c>
      <c r="D107" t="s">
        <v>73</v>
      </c>
      <c r="E107">
        <v>18</v>
      </c>
      <c r="F107" t="s">
        <v>36</v>
      </c>
      <c r="G107" t="s">
        <v>5</v>
      </c>
      <c r="H107">
        <v>30</v>
      </c>
      <c r="I107">
        <v>5.4130000000000003</v>
      </c>
      <c r="J107">
        <v>3.302666667</v>
      </c>
      <c r="K107">
        <v>0.63897860299999998</v>
      </c>
      <c r="L107">
        <v>491.1595542</v>
      </c>
      <c r="M107">
        <v>456.03673120000002</v>
      </c>
      <c r="N107">
        <v>1.0770175310000001</v>
      </c>
    </row>
    <row r="108" spans="1:14" x14ac:dyDescent="0.2">
      <c r="A108" s="98" t="s">
        <v>53</v>
      </c>
      <c r="B108" s="99">
        <v>44157</v>
      </c>
      <c r="C108" t="s">
        <v>70</v>
      </c>
      <c r="D108" t="s">
        <v>73</v>
      </c>
      <c r="E108">
        <v>18</v>
      </c>
      <c r="F108" t="s">
        <v>36</v>
      </c>
      <c r="G108" t="s">
        <v>6</v>
      </c>
      <c r="H108">
        <v>40</v>
      </c>
      <c r="I108">
        <v>5.8143333330000004</v>
      </c>
      <c r="J108">
        <v>3.762</v>
      </c>
      <c r="K108">
        <v>0.54554315099999995</v>
      </c>
      <c r="L108">
        <v>565.49699020000003</v>
      </c>
      <c r="M108">
        <v>456.03673120000002</v>
      </c>
      <c r="N108">
        <v>1.2400250930000001</v>
      </c>
    </row>
    <row r="109" spans="1:14" x14ac:dyDescent="0.2">
      <c r="A109" s="98" t="s">
        <v>53</v>
      </c>
      <c r="B109" s="99">
        <v>44157</v>
      </c>
      <c r="C109" t="s">
        <v>70</v>
      </c>
      <c r="D109" t="s">
        <v>73</v>
      </c>
      <c r="E109">
        <v>18</v>
      </c>
      <c r="F109" t="s">
        <v>36</v>
      </c>
      <c r="G109" t="s">
        <v>7</v>
      </c>
      <c r="H109">
        <v>50</v>
      </c>
      <c r="I109">
        <v>5.5973333329999999</v>
      </c>
      <c r="J109">
        <v>3.5576666669999999</v>
      </c>
      <c r="K109">
        <v>0.57331584400000002</v>
      </c>
      <c r="L109">
        <v>523.73463549999997</v>
      </c>
      <c r="M109">
        <v>456.03673120000002</v>
      </c>
      <c r="N109">
        <v>1.1484483590000001</v>
      </c>
    </row>
    <row r="110" spans="1:14" x14ac:dyDescent="0.2">
      <c r="A110" s="98" t="s">
        <v>53</v>
      </c>
      <c r="B110" s="99">
        <v>44157</v>
      </c>
      <c r="C110" t="s">
        <v>70</v>
      </c>
      <c r="D110" t="s">
        <v>73</v>
      </c>
      <c r="E110">
        <v>18</v>
      </c>
      <c r="F110" t="s">
        <v>36</v>
      </c>
      <c r="G110" t="s">
        <v>8</v>
      </c>
      <c r="H110">
        <v>60</v>
      </c>
      <c r="I110">
        <v>5.6333333330000004</v>
      </c>
      <c r="J110">
        <v>3.5333333329999999</v>
      </c>
      <c r="K110">
        <v>0.59433962299999998</v>
      </c>
      <c r="L110">
        <v>469.15976330000001</v>
      </c>
      <c r="M110">
        <v>456.03673120000002</v>
      </c>
      <c r="N110">
        <v>1.028776261</v>
      </c>
    </row>
    <row r="111" spans="1:14" x14ac:dyDescent="0.2">
      <c r="A111" s="98" t="s">
        <v>53</v>
      </c>
      <c r="B111" s="99">
        <v>44157</v>
      </c>
      <c r="C111" t="s">
        <v>70</v>
      </c>
      <c r="D111" t="s">
        <v>73</v>
      </c>
      <c r="E111">
        <v>18</v>
      </c>
      <c r="F111" t="s">
        <v>36</v>
      </c>
      <c r="G111" t="s">
        <v>9</v>
      </c>
      <c r="H111">
        <v>70</v>
      </c>
      <c r="I111">
        <v>5.6379999999999999</v>
      </c>
      <c r="J111">
        <v>3.4830000000000001</v>
      </c>
      <c r="K111">
        <v>0.61871949500000001</v>
      </c>
      <c r="L111">
        <v>497.306669</v>
      </c>
      <c r="M111">
        <v>456.03673120000002</v>
      </c>
      <c r="N111">
        <v>1.0904969600000001</v>
      </c>
    </row>
    <row r="112" spans="1:14" x14ac:dyDescent="0.2">
      <c r="A112" s="98" t="s">
        <v>53</v>
      </c>
      <c r="B112" s="99">
        <v>44157</v>
      </c>
      <c r="C112" t="s">
        <v>70</v>
      </c>
      <c r="D112" t="s">
        <v>73</v>
      </c>
      <c r="E112">
        <v>18</v>
      </c>
      <c r="F112" t="s">
        <v>36</v>
      </c>
      <c r="G112" t="s">
        <v>10</v>
      </c>
      <c r="H112">
        <v>80</v>
      </c>
      <c r="I112">
        <v>5.7146666670000004</v>
      </c>
      <c r="J112">
        <v>3.4790000000000001</v>
      </c>
      <c r="K112">
        <v>0.64261760999999995</v>
      </c>
      <c r="L112">
        <v>508.94377040000001</v>
      </c>
      <c r="M112">
        <v>456.03673120000002</v>
      </c>
      <c r="N112">
        <v>1.1160148640000001</v>
      </c>
    </row>
    <row r="113" spans="1:14" x14ac:dyDescent="0.2">
      <c r="A113" s="98" t="s">
        <v>53</v>
      </c>
      <c r="B113" s="99">
        <v>44157</v>
      </c>
      <c r="C113" t="s">
        <v>70</v>
      </c>
      <c r="D113" t="s">
        <v>73</v>
      </c>
      <c r="E113">
        <v>18</v>
      </c>
      <c r="F113" t="s">
        <v>36</v>
      </c>
      <c r="G113" t="s">
        <v>11</v>
      </c>
      <c r="H113">
        <v>90</v>
      </c>
      <c r="I113">
        <v>5.4426666670000001</v>
      </c>
      <c r="J113">
        <v>3.2669999999999999</v>
      </c>
      <c r="K113">
        <v>0.66595245400000003</v>
      </c>
      <c r="L113">
        <v>589.45259680000004</v>
      </c>
      <c r="M113">
        <v>456.03673120000002</v>
      </c>
      <c r="N113">
        <v>1.292555087</v>
      </c>
    </row>
    <row r="114" spans="1:14" x14ac:dyDescent="0.2">
      <c r="A114" s="98" t="s">
        <v>53</v>
      </c>
      <c r="B114" s="99">
        <v>44157</v>
      </c>
      <c r="C114" t="s">
        <v>70</v>
      </c>
      <c r="D114" t="s">
        <v>73</v>
      </c>
      <c r="E114">
        <v>18</v>
      </c>
      <c r="F114" t="s">
        <v>36</v>
      </c>
      <c r="G114" t="s">
        <v>12</v>
      </c>
      <c r="H114">
        <v>100</v>
      </c>
      <c r="I114">
        <v>5.0446666670000004</v>
      </c>
      <c r="J114">
        <v>3.2026666669999999</v>
      </c>
      <c r="K114">
        <v>0.57514571199999998</v>
      </c>
      <c r="L114">
        <v>556.13902470000005</v>
      </c>
      <c r="M114">
        <v>456.03673120000002</v>
      </c>
      <c r="N114">
        <v>1.219504892</v>
      </c>
    </row>
    <row r="115" spans="1:14" x14ac:dyDescent="0.2">
      <c r="A115" s="98" t="s">
        <v>54</v>
      </c>
      <c r="B115" s="99">
        <v>44157</v>
      </c>
      <c r="C115" t="s">
        <v>70</v>
      </c>
      <c r="D115" t="s">
        <v>73</v>
      </c>
      <c r="E115">
        <v>19</v>
      </c>
      <c r="F115" t="s">
        <v>36</v>
      </c>
      <c r="G115" t="s">
        <v>3</v>
      </c>
      <c r="H115">
        <v>10</v>
      </c>
      <c r="I115">
        <v>4.5593333329999997</v>
      </c>
      <c r="J115">
        <v>3.290333333</v>
      </c>
      <c r="K115">
        <v>0.38567520999999999</v>
      </c>
      <c r="L115">
        <v>255.47112150000001</v>
      </c>
      <c r="M115">
        <v>456.03673120000002</v>
      </c>
      <c r="N115">
        <v>0.56019856300000004</v>
      </c>
    </row>
    <row r="116" spans="1:14" x14ac:dyDescent="0.2">
      <c r="A116" s="98" t="s">
        <v>54</v>
      </c>
      <c r="B116" s="99">
        <v>44157</v>
      </c>
      <c r="C116" t="s">
        <v>70</v>
      </c>
      <c r="D116" t="s">
        <v>73</v>
      </c>
      <c r="E116">
        <v>19</v>
      </c>
      <c r="F116" t="s">
        <v>36</v>
      </c>
      <c r="G116" t="s">
        <v>4</v>
      </c>
      <c r="H116">
        <v>20</v>
      </c>
      <c r="I116">
        <v>4.5149999999999997</v>
      </c>
      <c r="J116">
        <v>3.1706666669999999</v>
      </c>
      <c r="K116">
        <v>0.423990749</v>
      </c>
      <c r="L116">
        <v>488.06496859999999</v>
      </c>
      <c r="M116">
        <v>456.03673120000002</v>
      </c>
      <c r="N116">
        <v>1.0702317059999999</v>
      </c>
    </row>
    <row r="117" spans="1:14" x14ac:dyDescent="0.2">
      <c r="A117" s="98" t="s">
        <v>54</v>
      </c>
      <c r="B117" s="99">
        <v>44157</v>
      </c>
      <c r="C117" t="s">
        <v>70</v>
      </c>
      <c r="D117" t="s">
        <v>73</v>
      </c>
      <c r="E117">
        <v>19</v>
      </c>
      <c r="F117" t="s">
        <v>36</v>
      </c>
      <c r="G117" t="s">
        <v>5</v>
      </c>
      <c r="H117">
        <v>30</v>
      </c>
      <c r="I117">
        <v>4.6726666669999997</v>
      </c>
      <c r="J117">
        <v>3.2186666669999999</v>
      </c>
      <c r="K117">
        <v>0.45173985100000003</v>
      </c>
      <c r="L117">
        <v>592.39263800000003</v>
      </c>
      <c r="M117">
        <v>456.03673120000002</v>
      </c>
      <c r="N117">
        <v>1.299002027</v>
      </c>
    </row>
    <row r="118" spans="1:14" x14ac:dyDescent="0.2">
      <c r="A118" s="98" t="s">
        <v>54</v>
      </c>
      <c r="B118" s="99">
        <v>44157</v>
      </c>
      <c r="C118" t="s">
        <v>70</v>
      </c>
      <c r="D118" t="s">
        <v>73</v>
      </c>
      <c r="E118">
        <v>19</v>
      </c>
      <c r="F118" t="s">
        <v>36</v>
      </c>
      <c r="G118" t="s">
        <v>6</v>
      </c>
      <c r="H118">
        <v>40</v>
      </c>
      <c r="I118">
        <v>5.1146666669999998</v>
      </c>
      <c r="J118">
        <v>3.6843333330000001</v>
      </c>
      <c r="K118">
        <v>0.388220393</v>
      </c>
      <c r="L118">
        <v>602.9302007</v>
      </c>
      <c r="M118">
        <v>456.03673120000002</v>
      </c>
      <c r="N118">
        <v>1.322108855</v>
      </c>
    </row>
    <row r="119" spans="1:14" x14ac:dyDescent="0.2">
      <c r="A119" s="98" t="s">
        <v>54</v>
      </c>
      <c r="B119" s="99">
        <v>44157</v>
      </c>
      <c r="C119" t="s">
        <v>70</v>
      </c>
      <c r="D119" t="s">
        <v>73</v>
      </c>
      <c r="E119">
        <v>19</v>
      </c>
      <c r="F119" t="s">
        <v>36</v>
      </c>
      <c r="G119" t="s">
        <v>7</v>
      </c>
      <c r="H119">
        <v>50</v>
      </c>
      <c r="I119">
        <v>4.9340000000000002</v>
      </c>
      <c r="J119">
        <v>3.411333333</v>
      </c>
      <c r="K119">
        <v>0.44635528600000002</v>
      </c>
      <c r="L119">
        <v>580.07877310000003</v>
      </c>
      <c r="M119">
        <v>456.03673120000002</v>
      </c>
      <c r="N119">
        <v>1.272000112</v>
      </c>
    </row>
    <row r="120" spans="1:14" x14ac:dyDescent="0.2">
      <c r="A120" s="98" t="s">
        <v>54</v>
      </c>
      <c r="B120" s="99">
        <v>44157</v>
      </c>
      <c r="C120" t="s">
        <v>70</v>
      </c>
      <c r="D120" t="s">
        <v>73</v>
      </c>
      <c r="E120">
        <v>19</v>
      </c>
      <c r="F120" t="s">
        <v>36</v>
      </c>
      <c r="G120" t="s">
        <v>8</v>
      </c>
      <c r="H120">
        <v>60</v>
      </c>
      <c r="I120">
        <v>5.1403333330000001</v>
      </c>
      <c r="J120">
        <v>3.6126666670000001</v>
      </c>
      <c r="K120">
        <v>0.42286399699999999</v>
      </c>
      <c r="L120">
        <v>647.28603850000002</v>
      </c>
      <c r="M120">
        <v>456.03673120000002</v>
      </c>
      <c r="N120">
        <v>1.419372595</v>
      </c>
    </row>
    <row r="121" spans="1:14" x14ac:dyDescent="0.2">
      <c r="A121" s="98" t="s">
        <v>54</v>
      </c>
      <c r="B121" s="99">
        <v>44157</v>
      </c>
      <c r="C121" t="s">
        <v>70</v>
      </c>
      <c r="D121" t="s">
        <v>73</v>
      </c>
      <c r="E121">
        <v>19</v>
      </c>
      <c r="F121" t="s">
        <v>36</v>
      </c>
      <c r="G121" t="s">
        <v>9</v>
      </c>
      <c r="H121">
        <v>70</v>
      </c>
      <c r="I121">
        <v>4.5410000000000004</v>
      </c>
      <c r="J121">
        <v>3.3693333330000002</v>
      </c>
      <c r="K121">
        <v>0.347744361</v>
      </c>
      <c r="L121">
        <v>864.40725239999995</v>
      </c>
      <c r="M121">
        <v>456.03673120000002</v>
      </c>
      <c r="N121">
        <v>1.895477257</v>
      </c>
    </row>
    <row r="122" spans="1:14" x14ac:dyDescent="0.2">
      <c r="A122" s="98" t="s">
        <v>54</v>
      </c>
      <c r="B122" s="99">
        <v>44157</v>
      </c>
      <c r="C122" t="s">
        <v>70</v>
      </c>
      <c r="D122" t="s">
        <v>73</v>
      </c>
      <c r="E122">
        <v>19</v>
      </c>
      <c r="F122" t="s">
        <v>36</v>
      </c>
      <c r="G122" t="s">
        <v>10</v>
      </c>
      <c r="H122">
        <v>80</v>
      </c>
      <c r="I122">
        <v>4.4923333330000004</v>
      </c>
      <c r="J122">
        <v>3.3370000000000002</v>
      </c>
      <c r="K122">
        <v>0.346219159</v>
      </c>
      <c r="L122">
        <v>739.84981819999996</v>
      </c>
      <c r="M122">
        <v>456.03673120000002</v>
      </c>
      <c r="N122">
        <v>1.62234699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ESF_April2026</vt:lpstr>
      <vt:lpstr>ESF_Apr26_final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Onchi Adornetto</dc:creator>
  <cp:lastModifiedBy>Elizabeth Forbes</cp:lastModifiedBy>
  <cp:lastPrinted>2020-11-23T20:51:37Z</cp:lastPrinted>
  <dcterms:created xsi:type="dcterms:W3CDTF">2020-11-23T19:58:39Z</dcterms:created>
  <dcterms:modified xsi:type="dcterms:W3CDTF">2026-04-09T15:40:45Z</dcterms:modified>
</cp:coreProperties>
</file>