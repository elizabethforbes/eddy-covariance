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Hudson Carbon Flux Project\"/>
    </mc:Choice>
  </mc:AlternateContent>
  <xr:revisionPtr revIDLastSave="0" documentId="13_ncr:1_{536314A6-4B89-4B3F-89E6-6700AB279BEE}" xr6:coauthVersionLast="47" xr6:coauthVersionMax="47" xr10:uidLastSave="{00000000-0000-0000-0000-000000000000}"/>
  <bookViews>
    <workbookView xWindow="19090" yWindow="-110" windowWidth="38620" windowHeight="21100" activeTab="2" xr2:uid="{C9569BB1-AFF8-8441-B040-C12B0C6D4EE4}"/>
  </bookViews>
  <sheets>
    <sheet name="EF01" sheetId="2" r:id="rId1"/>
    <sheet name="EF02" sheetId="1" r:id="rId2"/>
    <sheet name="EF03" sheetId="3" r:id="rId3"/>
    <sheet name="Hay Yields by Subfield (EF03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8" i="3" l="1"/>
  <c r="J119" i="3"/>
  <c r="J120" i="3"/>
  <c r="J121" i="3"/>
  <c r="H121" i="3"/>
  <c r="H120" i="3"/>
  <c r="H119" i="3"/>
  <c r="H118" i="3"/>
  <c r="J107" i="3"/>
  <c r="J108" i="3"/>
  <c r="J109" i="3"/>
  <c r="J110" i="3"/>
  <c r="H110" i="3"/>
  <c r="H109" i="3"/>
  <c r="H108" i="3"/>
  <c r="H107" i="3"/>
  <c r="J96" i="3"/>
  <c r="J97" i="3"/>
  <c r="J98" i="3"/>
  <c r="J99" i="3"/>
  <c r="H99" i="3"/>
  <c r="H98" i="3"/>
  <c r="H97" i="3"/>
  <c r="H96" i="3"/>
  <c r="N22" i="4"/>
  <c r="L22" i="4"/>
  <c r="J22" i="4"/>
  <c r="H22" i="4"/>
  <c r="F22" i="4"/>
  <c r="B22" i="4"/>
  <c r="L16" i="4"/>
  <c r="H16" i="4"/>
  <c r="F16" i="4"/>
  <c r="B16" i="4"/>
  <c r="N15" i="4"/>
  <c r="J15" i="4"/>
  <c r="N13" i="4"/>
  <c r="L13" i="4"/>
  <c r="B13" i="4"/>
  <c r="J12" i="4"/>
  <c r="H12" i="4"/>
  <c r="F12" i="4"/>
  <c r="N10" i="4"/>
  <c r="L10" i="4"/>
  <c r="J10" i="4"/>
  <c r="H10" i="4"/>
  <c r="F10" i="4"/>
  <c r="N7" i="4"/>
  <c r="L7" i="4"/>
  <c r="J7" i="4"/>
  <c r="H7" i="4"/>
  <c r="F7" i="4"/>
  <c r="H116" i="3"/>
  <c r="J116" i="3" s="1"/>
  <c r="J115" i="3"/>
  <c r="J114" i="3"/>
  <c r="H105" i="3"/>
  <c r="J105" i="3" s="1"/>
  <c r="J104" i="3"/>
  <c r="J103" i="3"/>
  <c r="J93" i="3"/>
  <c r="J92" i="3"/>
  <c r="H94" i="3"/>
  <c r="J94" i="3" s="1"/>
  <c r="H59" i="3"/>
  <c r="J59" i="3" s="1"/>
  <c r="E11" i="3"/>
  <c r="E13" i="3"/>
  <c r="H41" i="3"/>
  <c r="H40" i="3"/>
  <c r="H39" i="3"/>
  <c r="H38" i="3"/>
  <c r="H37" i="3"/>
  <c r="H36" i="3"/>
  <c r="H35" i="3"/>
  <c r="H34" i="3"/>
  <c r="H33" i="3"/>
  <c r="H32" i="3"/>
  <c r="H31" i="3"/>
  <c r="E17" i="3"/>
  <c r="E14" i="3"/>
  <c r="E18" i="3"/>
  <c r="E7" i="3"/>
  <c r="E9" i="3"/>
  <c r="H43" i="2"/>
  <c r="H42" i="2"/>
  <c r="J41" i="2"/>
  <c r="J40" i="2"/>
  <c r="J39" i="2"/>
  <c r="E20" i="3" l="1"/>
  <c r="G20" i="3" s="1"/>
  <c r="H60" i="3"/>
  <c r="J60" i="3" s="1"/>
  <c r="E21" i="3"/>
  <c r="G21" i="3" s="1"/>
  <c r="E22" i="3" l="1"/>
  <c r="G22" i="3" s="1"/>
  <c r="H61" i="3"/>
  <c r="J6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8" authorId="0" shapeId="0" xr:uid="{793572A3-A872-2240-9123-1E87EF8554C3}">
      <text>
        <r>
          <rPr>
            <sz val="10"/>
            <color rgb="FF000000"/>
            <rFont val="Calibri"/>
            <family val="2"/>
          </rPr>
          <t xml:space="preserve">hikem:
</t>
        </r>
        <r>
          <rPr>
            <sz val="10"/>
            <color rgb="FF000000"/>
            <rFont val="Calibri"/>
            <family val="2"/>
          </rPr>
          <t>rarely used</t>
        </r>
      </text>
    </comment>
  </commentList>
</comments>
</file>

<file path=xl/sharedStrings.xml><?xml version="1.0" encoding="utf-8"?>
<sst xmlns="http://schemas.openxmlformats.org/spreadsheetml/2006/main" count="780" uniqueCount="334">
  <si>
    <t>Date</t>
  </si>
  <si>
    <t>Action</t>
  </si>
  <si>
    <t>Notes</t>
  </si>
  <si>
    <t>Fertilize</t>
  </si>
  <si>
    <t>Material</t>
  </si>
  <si>
    <t>rate</t>
  </si>
  <si>
    <t>Potash</t>
  </si>
  <si>
    <t>60 lbs/ac</t>
  </si>
  <si>
    <t>Late apr-erly may</t>
  </si>
  <si>
    <t>Tillage</t>
  </si>
  <si>
    <t>Implement</t>
  </si>
  <si>
    <t>Depth</t>
  </si>
  <si>
    <t>IH 875 disc ripper</t>
  </si>
  <si>
    <t>9”</t>
  </si>
  <si>
    <t>Turbo till </t>
  </si>
  <si>
    <t>2”</t>
  </si>
  <si>
    <t>Plant</t>
  </si>
  <si>
    <t>Crop</t>
  </si>
  <si>
    <t>Variety</t>
  </si>
  <si>
    <t>Corn</t>
  </si>
  <si>
    <t>Dekalb 49-94</t>
  </si>
  <si>
    <t>5/12/18 (?)</t>
  </si>
  <si>
    <t>Herbicide</t>
  </si>
  <si>
    <t>Instigate</t>
  </si>
  <si>
    <t>6 oz/ac</t>
  </si>
  <si>
    <t>Pre-emergence</t>
  </si>
  <si>
    <t>DuPont Cinch</t>
  </si>
  <si>
    <t>48 oz/ac</t>
  </si>
  <si>
    <t>6/27/18 (?)</t>
  </si>
  <si>
    <t>UAN</t>
  </si>
  <si>
    <t>180 lbs/ac</t>
  </si>
  <si>
    <t>liquid</t>
  </si>
  <si>
    <t>6/28/18 (?)</t>
  </si>
  <si>
    <t>Phosphorus</t>
  </si>
  <si>
    <t>20 lbs/ac</t>
  </si>
  <si>
    <t>Harvest</t>
  </si>
  <si>
    <t>Yield</t>
  </si>
  <si>
    <t>194 bu/ac</t>
  </si>
  <si>
    <t>Lime</t>
  </si>
  <si>
    <t>2 tons/ac</t>
  </si>
  <si>
    <t>Confirm </t>
  </si>
  <si>
    <t>HF 12</t>
  </si>
  <si>
    <t>Whole Field</t>
  </si>
  <si>
    <t>Case IH puma</t>
  </si>
  <si>
    <t>brillion folding pulvi mulcher</t>
  </si>
  <si>
    <t>2.00 "</t>
  </si>
  <si>
    <t>Minimum Till</t>
  </si>
  <si>
    <t>Case 290</t>
  </si>
  <si>
    <t>Landoll</t>
  </si>
  <si>
    <t>Conventional</t>
  </si>
  <si>
    <t>John Deere 7810</t>
  </si>
  <si>
    <t>12 Row Rotary Hoe</t>
  </si>
  <si>
    <t>1.00 "</t>
  </si>
  <si>
    <t>Krause field cultivator</t>
  </si>
  <si>
    <t>Case 185 Puma</t>
  </si>
  <si>
    <t>12 Row Crop Cultivator</t>
  </si>
  <si>
    <t>Case 250</t>
  </si>
  <si>
    <t>10-bottom Kverneland Plow</t>
  </si>
  <si>
    <t>10.00 "</t>
  </si>
  <si>
    <t>Turbo Till &amp; Turbo Seeder</t>
  </si>
  <si>
    <t>Rye(RYE)</t>
  </si>
  <si>
    <t>SHF Field Run - Rows</t>
  </si>
  <si>
    <t>120 Lbs/Ac</t>
  </si>
  <si>
    <t>_____</t>
  </si>
  <si>
    <t>CCF</t>
  </si>
  <si>
    <t>N</t>
  </si>
  <si>
    <t>Cover Crop</t>
  </si>
  <si>
    <t>Y</t>
  </si>
  <si>
    <t>Kinze No Till Planter</t>
  </si>
  <si>
    <t>Corn, Field(FLDCRN)</t>
  </si>
  <si>
    <t>Organic Viking 035-99N 0 Bags</t>
  </si>
  <si>
    <t>34000 /Ac</t>
  </si>
  <si>
    <t>2015 Liquid Corn Blend (Fish, Humates, StressX, Compost Tea) 15.00 Gal</t>
  </si>
  <si>
    <t>WA</t>
  </si>
  <si>
    <t xml:space="preserve">Viking 053-03UP 0 </t>
  </si>
  <si>
    <t xml:space="preserve">34000 </t>
  </si>
  <si>
    <t/>
  </si>
  <si>
    <t>2018 Liquid Corn Starter 15.00 Gal</t>
  </si>
  <si>
    <t>SHF Field Run 0 Bags</t>
  </si>
  <si>
    <t>150 Lbs/Ac</t>
  </si>
  <si>
    <t>Soybeans (YSB)</t>
  </si>
  <si>
    <t xml:space="preserve">Viking 2219 0 </t>
  </si>
  <si>
    <t>WAL</t>
  </si>
  <si>
    <t>Barley(BARL)</t>
  </si>
  <si>
    <t>150 /Ac</t>
  </si>
  <si>
    <t>SGS</t>
  </si>
  <si>
    <t>Carovail Spreader Truck</t>
  </si>
  <si>
    <t>Brome, Fleet - Rows
Orchard Grass, Otello - Rows
Alfalfa, Viking 372HD - Units</t>
  </si>
  <si>
    <t>11.50 Lbs/Ac</t>
  </si>
  <si>
    <t>CCP</t>
  </si>
  <si>
    <t>B</t>
  </si>
  <si>
    <t>JD 1590 Drill</t>
  </si>
  <si>
    <t>Grass (GRASS)</t>
  </si>
  <si>
    <t xml:space="preserve">orchard 0 </t>
  </si>
  <si>
    <t>6 Lbs/Ac</t>
  </si>
  <si>
    <t>Field</t>
  </si>
  <si>
    <t>Split</t>
  </si>
  <si>
    <t>Tractor</t>
  </si>
  <si>
    <t>Tool</t>
  </si>
  <si>
    <t>Tillage Type</t>
  </si>
  <si>
    <t>End Date</t>
  </si>
  <si>
    <t>Area</t>
  </si>
  <si>
    <t>Population</t>
  </si>
  <si>
    <t>NPK Material</t>
  </si>
  <si>
    <t>Code</t>
  </si>
  <si>
    <t>LEFT BARE?</t>
  </si>
  <si>
    <t>Perrenial Status</t>
  </si>
  <si>
    <t>Score</t>
  </si>
  <si>
    <t>Altered</t>
  </si>
  <si>
    <t>Date Extension</t>
  </si>
  <si>
    <t>CODE</t>
  </si>
  <si>
    <t>DESCRIPTION</t>
  </si>
  <si>
    <t>RANK</t>
  </si>
  <si>
    <t>TILLAGE</t>
  </si>
  <si>
    <t>PLANTING</t>
  </si>
  <si>
    <t>Composted Poultry Litter</t>
  </si>
  <si>
    <t>1.5 ton/ac</t>
  </si>
  <si>
    <t>High Calcium Limestone (22%)</t>
  </si>
  <si>
    <t>1 ton/ac</t>
  </si>
  <si>
    <t>Composted poultry litter</t>
  </si>
  <si>
    <t>Compost tea starter: barrel compost, compost tea catalyst, fish emulsion, humates, SeaCrop, Stress-X, Molasses</t>
  </si>
  <si>
    <t>15 gal/ac</t>
  </si>
  <si>
    <t>NPK</t>
  </si>
  <si>
    <t>Churchtown Dairy Hudson Carbon Log 2019</t>
  </si>
  <si>
    <t>Research Station is located in field S2</t>
  </si>
  <si>
    <t>Machine</t>
  </si>
  <si>
    <t>5/1-5/14</t>
  </si>
  <si>
    <t>Grazing</t>
  </si>
  <si>
    <t>40 beef (@600 lbs)</t>
  </si>
  <si>
    <t>S2,S3</t>
  </si>
  <si>
    <t>5/15-5/19</t>
  </si>
  <si>
    <t>S4</t>
  </si>
  <si>
    <t>6/8-6/19</t>
  </si>
  <si>
    <t>5/20-6/4</t>
  </si>
  <si>
    <t>6/5 - 6/9</t>
  </si>
  <si>
    <t>6/10-6/23</t>
  </si>
  <si>
    <t>6/24- 6/30</t>
  </si>
  <si>
    <t>7/1 - 7/15</t>
  </si>
  <si>
    <t>S2,3</t>
  </si>
  <si>
    <t>8/20-8/30</t>
  </si>
  <si>
    <t>S1</t>
  </si>
  <si>
    <t>8/31-9/9</t>
  </si>
  <si>
    <t>S2</t>
  </si>
  <si>
    <t>South of Research Station</t>
  </si>
  <si>
    <t>10/18-11/5</t>
  </si>
  <si>
    <t>mowed</t>
  </si>
  <si>
    <t>110 HP tractor</t>
  </si>
  <si>
    <t>baled</t>
  </si>
  <si>
    <t>S2 2nd Half of Field</t>
  </si>
  <si>
    <t>spread compost</t>
  </si>
  <si>
    <t>89 HP tractor</t>
  </si>
  <si>
    <t>S3, S4</t>
  </si>
  <si>
    <t>S1, S3</t>
  </si>
  <si>
    <t>S3</t>
  </si>
  <si>
    <t>tedded</t>
  </si>
  <si>
    <t>raked &amp; baled</t>
  </si>
  <si>
    <t>89 &amp; 110 HP tractor</t>
  </si>
  <si>
    <t>10/18-11/5 2019</t>
  </si>
  <si>
    <t>Approx 10/25</t>
  </si>
  <si>
    <t>Spraying BD 500</t>
  </si>
  <si>
    <t>S1,S3, S4</t>
  </si>
  <si>
    <t>Spraying Whey</t>
  </si>
  <si>
    <t>89 HP Tractor</t>
  </si>
  <si>
    <t>Churchtown Dairy Hudson Carbon Log 2020</t>
  </si>
  <si>
    <t>(Research station is in field S2)</t>
  </si>
  <si>
    <t>S1-4</t>
  </si>
  <si>
    <t>frost seeded</t>
  </si>
  <si>
    <t>24 HP Mule</t>
  </si>
  <si>
    <t>raked and baled</t>
  </si>
  <si>
    <t>mowed s1 &amp; very northern edge of S1-S3</t>
  </si>
  <si>
    <t>S1 &amp; Parking</t>
  </si>
  <si>
    <t>raked, baled</t>
  </si>
  <si>
    <t>marked bales in field</t>
  </si>
  <si>
    <t>S1,S2,S4</t>
  </si>
  <si>
    <t>bales moved from field</t>
  </si>
  <si>
    <t>mowed S1, S2, S4</t>
  </si>
  <si>
    <t>raked &amp; baled in S1, S2, S4</t>
  </si>
  <si>
    <t>89 &amp; 100 HP tractor</t>
  </si>
  <si>
    <t>mowed S3</t>
  </si>
  <si>
    <t>raked &amp; baled in S3</t>
  </si>
  <si>
    <t>No Cow Grazing on fields S1-S4 thusfar in 2020 8/1/2020</t>
  </si>
  <si>
    <t>DATE</t>
  </si>
  <si>
    <t xml:space="preserve">EVENT </t>
  </si>
  <si>
    <t>DETAILS</t>
  </si>
  <si>
    <t>FIELD</t>
  </si>
  <si>
    <t>CATTLE BEGIN 1st GRAZING</t>
  </si>
  <si>
    <t>30 head (avg 900lbs)/ acre/ day</t>
  </si>
  <si>
    <t>S1-2</t>
  </si>
  <si>
    <t>CATTLE BEGIN 2ND GRAZING</t>
  </si>
  <si>
    <t>30 head (avg 940lbs)/ acre/ day</t>
  </si>
  <si>
    <t>CATTLE END 2ND GRAZING</t>
  </si>
  <si>
    <t>30 head (avg 980lbs)/ acre/ day</t>
  </si>
  <si>
    <t>MOW</t>
  </si>
  <si>
    <t>6 ACRES</t>
  </si>
  <si>
    <t>BALE AND WRAP (BALEAGE)</t>
  </si>
  <si>
    <t>28 LARGE BALES (APPROX. 1600LBS EACH)</t>
  </si>
  <si>
    <t>16 ACRES</t>
  </si>
  <si>
    <t>S3-4</t>
  </si>
  <si>
    <t>BALE (DRY HAY)</t>
  </si>
  <si>
    <t>58 LARGE ROUND BALES (APPROX 700LBS EACH)</t>
  </si>
  <si>
    <t>650 SMALL SQURE BALES (AVG 45 LBS EACH)</t>
  </si>
  <si>
    <t>SPRAY</t>
  </si>
  <si>
    <t>APLLIED HORN SILICA PREP 501 AT 5 GAL/ACRE</t>
  </si>
  <si>
    <t>23 ACRES</t>
  </si>
  <si>
    <t>1100 SMALL SQUARE BALES (AVG 55 LBS)</t>
  </si>
  <si>
    <t>CATTLE BEGIN GRAZING</t>
  </si>
  <si>
    <t>26 head (avg700lbs)/0.75 acre/ day</t>
  </si>
  <si>
    <t>Bu</t>
  </si>
  <si>
    <t>HARVEST</t>
  </si>
  <si>
    <t>Hay type</t>
  </si>
  <si>
    <t>% Moisture</t>
  </si>
  <si>
    <t>Yeild</t>
  </si>
  <si>
    <t>Unit</t>
  </si>
  <si>
    <t>Yeild-per-acre</t>
  </si>
  <si>
    <t>32000 SDS/AC</t>
  </si>
  <si>
    <t>ton</t>
  </si>
  <si>
    <t>Early spring</t>
  </si>
  <si>
    <t>Chicken litter</t>
  </si>
  <si>
    <t>1.5 t/ac</t>
  </si>
  <si>
    <t>soybeans</t>
  </si>
  <si>
    <t>150,000 sds/ac</t>
  </si>
  <si>
    <t>56 bu/ac</t>
  </si>
  <si>
    <t>53 ac</t>
  </si>
  <si>
    <t>Cereal Rye Cover</t>
  </si>
  <si>
    <t>~120 lbs/ac</t>
  </si>
  <si>
    <t>June</t>
  </si>
  <si>
    <t>October</t>
  </si>
  <si>
    <t>October (Post Harvest)</t>
  </si>
  <si>
    <t>Turbo-Till</t>
  </si>
  <si>
    <t>4-5"</t>
  </si>
  <si>
    <t>Barley</t>
  </si>
  <si>
    <t>100 lbs/ac</t>
  </si>
  <si>
    <t>43 bu/ac</t>
  </si>
  <si>
    <t>42.5 ac</t>
  </si>
  <si>
    <t>Turbo Till</t>
  </si>
  <si>
    <t>April</t>
  </si>
  <si>
    <t>July</t>
  </si>
  <si>
    <t>Rye Cover</t>
  </si>
  <si>
    <t>120 lbs/ac</t>
  </si>
  <si>
    <t>Soybeans</t>
  </si>
  <si>
    <t>early spring (April?)</t>
  </si>
  <si>
    <t>Soybeans (no-till)</t>
  </si>
  <si>
    <t>77 bu/ac</t>
  </si>
  <si>
    <t>61.7 ac</t>
  </si>
  <si>
    <t>Grazing Days?</t>
  </si>
  <si>
    <t>how many days?</t>
  </si>
  <si>
    <t>assuming 20 days of grazing across s1&amp;s2?</t>
  </si>
  <si>
    <t>duration of grazing period and total acres grazed? 21 days?</t>
  </si>
  <si>
    <t>Yield (lbs DM)</t>
  </si>
  <si>
    <t>Note:  Beef alternated between S3 &amp; S2 each day, proceeding north to south</t>
  </si>
  <si>
    <t xml:space="preserve">Total Hay Yield </t>
  </si>
  <si>
    <t>Ttoal Grazing Yield</t>
  </si>
  <si>
    <t>Total Harvested Yield</t>
  </si>
  <si>
    <t>30 Dairy + calves (@ 1250 lbs)</t>
  </si>
  <si>
    <t>31 Dairy + calves (@ 1250 lbs)</t>
  </si>
  <si>
    <t>lbs DM</t>
  </si>
  <si>
    <t>duplicate, see above</t>
  </si>
  <si>
    <t>how many bales?</t>
  </si>
  <si>
    <t>tons (uUS short) DM</t>
  </si>
  <si>
    <t>Total Grazing Yield</t>
  </si>
  <si>
    <t>tons (US short) DM</t>
  </si>
  <si>
    <t xml:space="preserve">Total Hay Yields By Sub-Field </t>
  </si>
  <si>
    <t>S-1</t>
  </si>
  <si>
    <t>S-2</t>
  </si>
  <si>
    <t>S-3</t>
  </si>
  <si>
    <t>S-4</t>
  </si>
  <si>
    <t>Harvest Comparison for South-Fields 2018-2024</t>
  </si>
  <si>
    <t>(equivalent + 25%)</t>
  </si>
  <si>
    <t>S 1</t>
  </si>
  <si>
    <t>30 beef head grazing</t>
  </si>
  <si>
    <t>cut and baled 6/7</t>
  </si>
  <si>
    <t>31 RB</t>
  </si>
  <si>
    <t>66 RB</t>
  </si>
  <si>
    <t>21 RB</t>
  </si>
  <si>
    <t>67 RB</t>
  </si>
  <si>
    <r>
      <t xml:space="preserve">41 RB </t>
    </r>
    <r>
      <rPr>
        <b/>
        <sz val="14"/>
        <color theme="1"/>
        <rFont val="Calibri"/>
        <family val="2"/>
        <scheme val="minor"/>
      </rPr>
      <t>(51 RB</t>
    </r>
    <r>
      <rPr>
        <sz val="14"/>
        <color theme="1"/>
        <rFont val="Calibri"/>
        <family val="2"/>
        <scheme val="minor"/>
      </rPr>
      <t>)</t>
    </r>
  </si>
  <si>
    <t>from 5/17</t>
  </si>
  <si>
    <t>then 30 dairy graze</t>
  </si>
  <si>
    <t>220smsq</t>
  </si>
  <si>
    <t>540smsq</t>
  </si>
  <si>
    <t>150smsq</t>
  </si>
  <si>
    <t>350smsq</t>
  </si>
  <si>
    <t>until 6/27</t>
  </si>
  <si>
    <t>from 8/20 to 8/30</t>
  </si>
  <si>
    <t>lbs dm</t>
  </si>
  <si>
    <t>S 2</t>
  </si>
  <si>
    <t>and on S1 again</t>
  </si>
  <si>
    <t>30 dairy graze from</t>
  </si>
  <si>
    <t>24 RB</t>
  </si>
  <si>
    <t>20 RB</t>
  </si>
  <si>
    <r>
      <t xml:space="preserve">48 RB </t>
    </r>
    <r>
      <rPr>
        <b/>
        <sz val="14"/>
        <color theme="1"/>
        <rFont val="Calibri"/>
        <family val="2"/>
        <scheme val="minor"/>
      </rPr>
      <t>(60 RB)</t>
    </r>
  </si>
  <si>
    <t>from 10/24</t>
  </si>
  <si>
    <t xml:space="preserve">8/31 to 9/9 40 beef </t>
  </si>
  <si>
    <t>1840smsq</t>
  </si>
  <si>
    <t>524smsq</t>
  </si>
  <si>
    <t>210smsq</t>
  </si>
  <si>
    <t>from 10/18 to 11/5</t>
  </si>
  <si>
    <t>S 3</t>
  </si>
  <si>
    <t>61 RB</t>
  </si>
  <si>
    <t>27 RB</t>
  </si>
  <si>
    <t>94 RB</t>
  </si>
  <si>
    <t>55 RB</t>
  </si>
  <si>
    <t>45 RB</t>
  </si>
  <si>
    <r>
      <t xml:space="preserve">28 RB </t>
    </r>
    <r>
      <rPr>
        <b/>
        <sz val="14"/>
        <color theme="1"/>
        <rFont val="Calibri"/>
        <family val="2"/>
        <scheme val="minor"/>
      </rPr>
      <t>(35 RB)</t>
    </r>
  </si>
  <si>
    <t>1300smsq</t>
  </si>
  <si>
    <t>40 beef graze S2, S3</t>
  </si>
  <si>
    <t>600smsq</t>
  </si>
  <si>
    <t>610smsq</t>
  </si>
  <si>
    <t>and S4 from 5/1</t>
  </si>
  <si>
    <t>S 4</t>
  </si>
  <si>
    <t>25 RB</t>
  </si>
  <si>
    <t>until 7/15</t>
  </si>
  <si>
    <t>12 RB</t>
  </si>
  <si>
    <t>18 RB</t>
  </si>
  <si>
    <t>39 RB</t>
  </si>
  <si>
    <r>
      <t xml:space="preserve">25 RB </t>
    </r>
    <r>
      <rPr>
        <b/>
        <sz val="14"/>
        <color theme="1"/>
        <rFont val="Calibri"/>
        <family val="2"/>
        <scheme val="minor"/>
      </rPr>
      <t>(31 RB)</t>
    </r>
  </si>
  <si>
    <t>450smsq</t>
  </si>
  <si>
    <t>85smsq</t>
  </si>
  <si>
    <t>90smsq</t>
  </si>
  <si>
    <t>Total</t>
  </si>
  <si>
    <t>86 RB + 1750smsq</t>
  </si>
  <si>
    <t>94 RB + 525smsq</t>
  </si>
  <si>
    <t>198 RB + 2470smsq</t>
  </si>
  <si>
    <t>122 RB + 1014smsq</t>
  </si>
  <si>
    <t>218 RB + 1050smsq</t>
  </si>
  <si>
    <t>177 RB + 1170smsq</t>
  </si>
  <si>
    <t>Total Hay Yield in lbs DM</t>
  </si>
  <si>
    <t>standard bale weights in lbs DM</t>
  </si>
  <si>
    <t>4x4 round bale</t>
  </si>
  <si>
    <t>small square</t>
  </si>
  <si>
    <t>Sub-Field Acreage</t>
  </si>
  <si>
    <t>can assume May/June then July/Aug for the two cuttings</t>
  </si>
  <si>
    <t>Hay (alfalfa)</t>
  </si>
  <si>
    <t>no grazing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</si>
</sst>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09]m/dd/yy"/>
    <numFmt numFmtId="165" formatCode="[$-1010409]General"/>
  </numFmts>
  <fonts count="1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Helvetica"/>
      <family val="2"/>
    </font>
    <font>
      <b/>
      <sz val="11"/>
      <color rgb="FF000000"/>
      <name val="Calibri"/>
      <family val="2"/>
      <scheme val="minor"/>
    </font>
    <font>
      <sz val="8"/>
      <color indexed="54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Calibri"/>
      <family val="2"/>
    </font>
    <font>
      <b/>
      <sz val="12"/>
      <color theme="1"/>
      <name val="Helvetica"/>
      <family val="2"/>
    </font>
    <font>
      <sz val="8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F876"/>
        <bgColor indexed="64"/>
      </patternFill>
    </fill>
  </fills>
  <borders count="7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14" fontId="2" fillId="0" borderId="0" xfId="0" applyNumberFormat="1" applyFont="1"/>
    <xf numFmtId="0" fontId="4" fillId="0" borderId="0" xfId="0" applyFont="1"/>
    <xf numFmtId="3" fontId="2" fillId="0" borderId="0" xfId="0" applyNumberFormat="1" applyFont="1"/>
    <xf numFmtId="164" fontId="6" fillId="2" borderId="0" xfId="0" applyNumberFormat="1" applyFont="1" applyFill="1" applyAlignment="1">
      <alignment horizontal="center" vertical="center" wrapText="1" readingOrder="1"/>
    </xf>
    <xf numFmtId="165" fontId="6" fillId="2" borderId="0" xfId="0" applyNumberFormat="1" applyFont="1" applyFill="1" applyAlignment="1">
      <alignment vertical="center" wrapText="1" readingOrder="1"/>
    </xf>
    <xf numFmtId="165" fontId="6" fillId="2" borderId="0" xfId="0" applyNumberFormat="1" applyFont="1" applyFill="1" applyAlignment="1">
      <alignment horizontal="center" vertical="center" wrapText="1" readingOrder="1"/>
    </xf>
    <xf numFmtId="14" fontId="7" fillId="0" borderId="0" xfId="0" applyNumberFormat="1" applyFont="1"/>
    <xf numFmtId="0" fontId="8" fillId="0" borderId="0" xfId="0" applyFont="1"/>
    <xf numFmtId="0" fontId="0" fillId="0" borderId="0" xfId="0" applyAlignment="1">
      <alignment wrapText="1"/>
    </xf>
    <xf numFmtId="14" fontId="8" fillId="0" borderId="0" xfId="0" applyNumberFormat="1" applyFont="1"/>
    <xf numFmtId="165" fontId="5" fillId="3" borderId="1" xfId="0" applyNumberFormat="1" applyFont="1" applyFill="1" applyBorder="1" applyAlignment="1">
      <alignment horizontal="center" vertical="center" wrapText="1" readingOrder="1"/>
    </xf>
    <xf numFmtId="165" fontId="5" fillId="3" borderId="2" xfId="0" applyNumberFormat="1" applyFont="1" applyFill="1" applyBorder="1" applyAlignment="1">
      <alignment vertical="center" wrapText="1" readingOrder="1"/>
    </xf>
    <xf numFmtId="0" fontId="7" fillId="0" borderId="0" xfId="0" applyFont="1"/>
    <xf numFmtId="0" fontId="9" fillId="0" borderId="0" xfId="0" applyFont="1"/>
    <xf numFmtId="0" fontId="9" fillId="0" borderId="3" xfId="0" applyFont="1" applyBorder="1"/>
    <xf numFmtId="0" fontId="9" fillId="0" borderId="4" xfId="0" applyFont="1" applyBorder="1"/>
    <xf numFmtId="0" fontId="8" fillId="0" borderId="5" xfId="0" applyFont="1" applyBorder="1"/>
    <xf numFmtId="0" fontId="1" fillId="0" borderId="0" xfId="0" applyFont="1"/>
    <xf numFmtId="0" fontId="0" fillId="4" borderId="0" xfId="0" applyFill="1"/>
    <xf numFmtId="0" fontId="1" fillId="4" borderId="0" xfId="0" applyFont="1" applyFill="1"/>
    <xf numFmtId="0" fontId="10" fillId="0" borderId="0" xfId="0" applyFont="1"/>
    <xf numFmtId="0" fontId="0" fillId="5" borderId="0" xfId="0" applyFill="1"/>
    <xf numFmtId="14" fontId="7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4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14" fontId="11" fillId="0" borderId="0" xfId="0" applyNumberFormat="1" applyFont="1" applyAlignment="1">
      <alignment wrapText="1"/>
    </xf>
    <xf numFmtId="0" fontId="11" fillId="0" borderId="0" xfId="0" applyFont="1" applyAlignment="1">
      <alignment wrapText="1"/>
    </xf>
    <xf numFmtId="14" fontId="3" fillId="0" borderId="0" xfId="0" applyNumberFormat="1" applyFont="1"/>
    <xf numFmtId="0" fontId="13" fillId="0" borderId="0" xfId="0" applyFont="1"/>
    <xf numFmtId="0" fontId="4" fillId="0" borderId="0" xfId="0" applyFont="1" applyAlignment="1">
      <alignment horizontal="left"/>
    </xf>
    <xf numFmtId="14" fontId="0" fillId="4" borderId="0" xfId="0" applyNumberFormat="1" applyFill="1"/>
    <xf numFmtId="14" fontId="15" fillId="0" borderId="0" xfId="0" applyNumberFormat="1" applyFont="1"/>
    <xf numFmtId="0" fontId="15" fillId="0" borderId="0" xfId="0" applyFont="1"/>
    <xf numFmtId="0" fontId="15" fillId="4" borderId="0" xfId="0" applyFont="1" applyFill="1"/>
    <xf numFmtId="0" fontId="0" fillId="6" borderId="0" xfId="0" applyFill="1"/>
    <xf numFmtId="0" fontId="0" fillId="0" borderId="0" xfId="0" applyAlignment="1">
      <alignment horizontal="right"/>
    </xf>
    <xf numFmtId="0" fontId="16" fillId="0" borderId="0" xfId="0" applyFont="1"/>
    <xf numFmtId="0" fontId="16" fillId="0" borderId="6" xfId="0" applyFont="1" applyBorder="1"/>
    <xf numFmtId="0" fontId="17" fillId="0" borderId="6" xfId="0" applyFont="1" applyBorder="1"/>
    <xf numFmtId="0" fontId="0" fillId="0" borderId="6" xfId="0" applyBorder="1"/>
    <xf numFmtId="12" fontId="0" fillId="0" borderId="0" xfId="0" applyNumberFormat="1"/>
    <xf numFmtId="16" fontId="16" fillId="0" borderId="6" xfId="0" applyNumberFormat="1" applyFont="1" applyBorder="1"/>
    <xf numFmtId="0" fontId="1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8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44</xdr:row>
      <xdr:rowOff>12700</xdr:rowOff>
    </xdr:from>
    <xdr:to>
      <xdr:col>5</xdr:col>
      <xdr:colOff>457200</xdr:colOff>
      <xdr:row>52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584658-F797-1A70-B569-C03AE781F202}"/>
            </a:ext>
          </a:extLst>
        </xdr:cNvPr>
        <xdr:cNvSpPr txBox="1"/>
      </xdr:nvSpPr>
      <xdr:spPr>
        <a:xfrm>
          <a:off x="139700" y="9042400"/>
          <a:ext cx="4445000" cy="162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Notes on Hay</a:t>
          </a:r>
          <a:r>
            <a:rPr lang="en-US" sz="1100"/>
            <a:t>: </a:t>
          </a:r>
        </a:p>
        <a:p>
          <a:r>
            <a:rPr lang="en-US" sz="1100"/>
            <a:t>Hay yields are</a:t>
          </a:r>
          <a:r>
            <a:rPr lang="en-US" sz="1100" baseline="0"/>
            <a:t> on a DM basis</a:t>
          </a:r>
        </a:p>
        <a:p>
          <a:r>
            <a:rPr lang="en-US" sz="1100"/>
            <a:t>Yields</a:t>
          </a:r>
          <a:r>
            <a:rPr lang="en-US" sz="1100" baseline="0"/>
            <a:t> are c</a:t>
          </a:r>
          <a:r>
            <a:rPr lang="en-US" sz="1100"/>
            <a:t>onservative estimates based on historic averages. </a:t>
          </a:r>
        </a:p>
        <a:p>
          <a:r>
            <a:rPr lang="en-US" sz="1100"/>
            <a:t>Harvest dates are aproximate.</a:t>
          </a:r>
        </a:p>
        <a:p>
          <a:r>
            <a:rPr lang="en-US" sz="1100"/>
            <a:t>Hay was undersown just after barley  planting, and filled</a:t>
          </a:r>
          <a:r>
            <a:rPr lang="en-US" sz="1100" baseline="0"/>
            <a:t> out post barley harvest, late summer-fall 2020, with some extra seeding of orchard grass in September (see last mgmt record above.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596900</xdr:colOff>
      <xdr:row>43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29016C-B879-C239-95BB-12D137C3104C}"/>
            </a:ext>
          </a:extLst>
        </xdr:cNvPr>
        <xdr:cNvSpPr txBox="1"/>
      </xdr:nvSpPr>
      <xdr:spPr>
        <a:xfrm>
          <a:off x="7251700" y="8813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25400</xdr:colOff>
      <xdr:row>43</xdr:row>
      <xdr:rowOff>25400</xdr:rowOff>
    </xdr:from>
    <xdr:to>
      <xdr:col>7</xdr:col>
      <xdr:colOff>673100</xdr:colOff>
      <xdr:row>46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0323FA-CEC3-15F4-DD9C-3F419C0534DF}"/>
            </a:ext>
          </a:extLst>
        </xdr:cNvPr>
        <xdr:cNvSpPr txBox="1"/>
      </xdr:nvSpPr>
      <xdr:spPr>
        <a:xfrm>
          <a:off x="6680200" y="8763000"/>
          <a:ext cx="229870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Back 20 acres were planted in corn in</a:t>
          </a:r>
          <a:r>
            <a:rPr lang="en-US" sz="1100" baseline="0"/>
            <a:t> 2020, but this should be outside the footprint of the tower.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736600</xdr:colOff>
      <xdr:row>5</xdr:row>
      <xdr:rowOff>127000</xdr:rowOff>
    </xdr:from>
    <xdr:to>
      <xdr:col>13</xdr:col>
      <xdr:colOff>0</xdr:colOff>
      <xdr:row>17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D5D85D-3C5C-8B4A-9751-76C0A830E506}"/>
            </a:ext>
          </a:extLst>
        </xdr:cNvPr>
        <xdr:cNvSpPr txBox="1"/>
      </xdr:nvSpPr>
      <xdr:spPr>
        <a:xfrm>
          <a:off x="10845800" y="1206500"/>
          <a:ext cx="3390900" cy="237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We refer to the field</a:t>
          </a:r>
          <a:r>
            <a:rPr lang="en-US" sz="1100" baseline="0"/>
            <a:t> south of Route 12 as the South Field. It is divided into 4 strips S1-S4 (numbered fro east to west. See "Hay Yields by Subfield (EF03)" tab for specific acerage.  Test sites and tower sit in S2. Cattle when grazing are moved 2 times per day. The round of grazing that began 10/24/18 will go on as long as the weather permits. We hope to graze all of S1-S4 before we move to the barn. I will update when we end grazing. </a:t>
          </a:r>
          <a:endParaRPr lang="en-US" sz="1100"/>
        </a:p>
      </xdr:txBody>
    </xdr:sp>
    <xdr:clientData/>
  </xdr:twoCellAnchor>
  <xdr:twoCellAnchor>
    <xdr:from>
      <xdr:col>10</xdr:col>
      <xdr:colOff>241300</xdr:colOff>
      <xdr:row>41</xdr:row>
      <xdr:rowOff>152400</xdr:rowOff>
    </xdr:from>
    <xdr:to>
      <xdr:col>15</xdr:col>
      <xdr:colOff>88900</xdr:colOff>
      <xdr:row>49</xdr:row>
      <xdr:rowOff>139700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D13E642-8688-F153-1439-7C37BD8FD5AA}"/>
            </a:ext>
          </a:extLst>
        </xdr:cNvPr>
        <xdr:cNvSpPr txBox="1"/>
      </xdr:nvSpPr>
      <xdr:spPr>
        <a:xfrm>
          <a:off x="12992100" y="8610600"/>
          <a:ext cx="3975100" cy="161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kern="1200"/>
            <a:t>NOTES</a:t>
          </a:r>
          <a:r>
            <a:rPr lang="en-US" sz="1100" kern="1200"/>
            <a:t>:</a:t>
          </a:r>
        </a:p>
        <a:p>
          <a:endParaRPr lang="en-US" sz="1100" kern="1200"/>
        </a:p>
        <a:p>
          <a:r>
            <a:rPr lang="en-US" sz="1100" kern="1200"/>
            <a:t>Need 2019</a:t>
          </a:r>
          <a:r>
            <a:rPr lang="en-US" sz="1100" kern="1200" baseline="0"/>
            <a:t> hay harvest data. Steffen's data sheet did not include any bale counts for 2019, however this sheet indicates hay cuttings.</a:t>
          </a:r>
        </a:p>
        <a:p>
          <a:endParaRPr lang="en-US" sz="1100" kern="1200" baseline="0"/>
        </a:p>
        <a:p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B4DB-482F-A348-8CCC-958F68C617BF}">
  <dimension ref="A1:U46"/>
  <sheetViews>
    <sheetView workbookViewId="0">
      <selection activeCell="C29" sqref="C29"/>
    </sheetView>
  </sheetViews>
  <sheetFormatPr defaultColWidth="10.6640625" defaultRowHeight="15.5" x14ac:dyDescent="0.35"/>
  <cols>
    <col min="6" max="6" width="21.33203125" customWidth="1"/>
    <col min="7" max="7" width="15.5" customWidth="1"/>
    <col min="8" max="8" width="25.5" customWidth="1"/>
    <col min="10" max="10" width="20.83203125" customWidth="1"/>
  </cols>
  <sheetData>
    <row r="1" spans="1:21" ht="16" thickBot="1" x14ac:dyDescent="0.4">
      <c r="A1" s="21" t="s">
        <v>113</v>
      </c>
    </row>
    <row r="2" spans="1:21" ht="16" thickBot="1" x14ac:dyDescent="0.4">
      <c r="A2" s="14" t="s">
        <v>0</v>
      </c>
      <c r="B2" s="15" t="s">
        <v>95</v>
      </c>
      <c r="C2" s="15" t="s">
        <v>96</v>
      </c>
      <c r="D2" s="15" t="s">
        <v>97</v>
      </c>
      <c r="E2" s="15" t="s">
        <v>98</v>
      </c>
      <c r="F2" s="15" t="s">
        <v>11</v>
      </c>
      <c r="G2" s="14" t="s">
        <v>99</v>
      </c>
    </row>
    <row r="3" spans="1:21" ht="20" x14ac:dyDescent="0.35">
      <c r="A3" s="7">
        <v>43919</v>
      </c>
      <c r="B3" s="8" t="s">
        <v>41</v>
      </c>
      <c r="C3" s="8" t="s">
        <v>42</v>
      </c>
      <c r="D3" s="8" t="s">
        <v>43</v>
      </c>
      <c r="E3" s="8" t="s">
        <v>44</v>
      </c>
      <c r="F3" s="8" t="s">
        <v>45</v>
      </c>
      <c r="G3" s="9" t="s">
        <v>46</v>
      </c>
    </row>
    <row r="4" spans="1:21" x14ac:dyDescent="0.35">
      <c r="A4" s="7">
        <v>43917.579212962963</v>
      </c>
      <c r="B4" s="8" t="s">
        <v>41</v>
      </c>
      <c r="C4" s="8" t="s">
        <v>42</v>
      </c>
      <c r="D4" s="8" t="s">
        <v>47</v>
      </c>
      <c r="E4" s="8" t="s">
        <v>48</v>
      </c>
      <c r="F4" s="8"/>
      <c r="G4" s="9" t="s">
        <v>49</v>
      </c>
    </row>
    <row r="5" spans="1:21" ht="20" x14ac:dyDescent="0.35">
      <c r="A5" s="7">
        <v>43594</v>
      </c>
      <c r="B5" s="8" t="s">
        <v>41</v>
      </c>
      <c r="C5" s="8" t="s">
        <v>42</v>
      </c>
      <c r="D5" s="8" t="s">
        <v>50</v>
      </c>
      <c r="E5" s="8" t="s">
        <v>51</v>
      </c>
      <c r="F5" s="8" t="s">
        <v>52</v>
      </c>
      <c r="G5" s="9" t="s">
        <v>49</v>
      </c>
    </row>
    <row r="6" spans="1:21" ht="20" x14ac:dyDescent="0.35">
      <c r="A6" s="7">
        <v>43593.416666666664</v>
      </c>
      <c r="B6" s="8" t="s">
        <v>41</v>
      </c>
      <c r="C6" s="8" t="s">
        <v>42</v>
      </c>
      <c r="D6" s="8" t="s">
        <v>47</v>
      </c>
      <c r="E6" s="8" t="s">
        <v>53</v>
      </c>
      <c r="F6" s="8"/>
      <c r="G6" s="9" t="s">
        <v>49</v>
      </c>
    </row>
    <row r="7" spans="1:21" ht="20" x14ac:dyDescent="0.35">
      <c r="A7" s="7">
        <v>43265.527777777774</v>
      </c>
      <c r="B7" s="8" t="s">
        <v>41</v>
      </c>
      <c r="C7" s="8" t="s">
        <v>42</v>
      </c>
      <c r="D7" s="8" t="s">
        <v>54</v>
      </c>
      <c r="E7" s="8" t="s">
        <v>55</v>
      </c>
      <c r="F7" s="8"/>
      <c r="G7" s="9"/>
    </row>
    <row r="8" spans="1:21" ht="20" x14ac:dyDescent="0.35">
      <c r="A8" s="7">
        <v>43247.559583333328</v>
      </c>
      <c r="B8" s="8" t="s">
        <v>41</v>
      </c>
      <c r="C8" s="8" t="s">
        <v>42</v>
      </c>
      <c r="D8" s="8" t="s">
        <v>50</v>
      </c>
      <c r="E8" s="8" t="s">
        <v>51</v>
      </c>
      <c r="F8" s="8"/>
      <c r="G8" s="9"/>
    </row>
    <row r="9" spans="1:21" ht="20" x14ac:dyDescent="0.35">
      <c r="A9" s="7">
        <v>43235.303761574076</v>
      </c>
      <c r="B9" s="8" t="s">
        <v>41</v>
      </c>
      <c r="C9" s="8" t="s">
        <v>42</v>
      </c>
      <c r="D9" s="8" t="s">
        <v>56</v>
      </c>
      <c r="E9" s="8" t="s">
        <v>53</v>
      </c>
      <c r="F9" s="8"/>
      <c r="G9" s="9"/>
    </row>
    <row r="10" spans="1:21" ht="20" x14ac:dyDescent="0.35">
      <c r="A10" s="7">
        <v>43228.468124999999</v>
      </c>
      <c r="B10" s="8" t="s">
        <v>41</v>
      </c>
      <c r="C10" s="8" t="s">
        <v>42</v>
      </c>
      <c r="D10" s="8" t="s">
        <v>47</v>
      </c>
      <c r="E10" s="8" t="s">
        <v>57</v>
      </c>
      <c r="F10" s="8" t="s">
        <v>58</v>
      </c>
      <c r="G10" s="9" t="s">
        <v>49</v>
      </c>
    </row>
    <row r="12" spans="1:21" x14ac:dyDescent="0.35">
      <c r="A12" s="21" t="s">
        <v>114</v>
      </c>
    </row>
    <row r="13" spans="1:21" s="12" customFormat="1" ht="12" customHeight="1" x14ac:dyDescent="0.35">
      <c r="A13" s="10" t="s">
        <v>0</v>
      </c>
      <c r="B13" s="16" t="s">
        <v>100</v>
      </c>
      <c r="C13" s="16" t="s">
        <v>95</v>
      </c>
      <c r="D13" s="16" t="s">
        <v>96</v>
      </c>
      <c r="E13" s="16" t="s">
        <v>101</v>
      </c>
      <c r="F13" s="16" t="s">
        <v>98</v>
      </c>
      <c r="G13" s="16" t="s">
        <v>17</v>
      </c>
      <c r="H13" s="16" t="s">
        <v>18</v>
      </c>
      <c r="I13" s="16" t="s">
        <v>102</v>
      </c>
      <c r="J13" s="16" t="s">
        <v>103</v>
      </c>
      <c r="K13" s="16" t="s">
        <v>104</v>
      </c>
      <c r="L13" s="16" t="s">
        <v>105</v>
      </c>
      <c r="M13" s="16" t="s">
        <v>2</v>
      </c>
      <c r="N13" s="16" t="s">
        <v>106</v>
      </c>
      <c r="O13" s="16" t="s">
        <v>107</v>
      </c>
      <c r="P13" s="17" t="s">
        <v>108</v>
      </c>
      <c r="Q13" s="17" t="s">
        <v>109</v>
      </c>
      <c r="R13" s="18" t="s">
        <v>110</v>
      </c>
      <c r="S13" s="19" t="s">
        <v>111</v>
      </c>
      <c r="T13" s="19" t="s">
        <v>112</v>
      </c>
      <c r="U13" s="20"/>
    </row>
    <row r="14" spans="1:21" s="12" customFormat="1" ht="12" customHeight="1" x14ac:dyDescent="0.35">
      <c r="A14" s="10">
        <v>43054.886111111111</v>
      </c>
      <c r="B14" s="10">
        <v>43221</v>
      </c>
      <c r="C14" s="11" t="s">
        <v>41</v>
      </c>
      <c r="D14" s="11" t="s">
        <v>42</v>
      </c>
      <c r="E14" s="11">
        <v>26.48</v>
      </c>
      <c r="F14" s="11" t="s">
        <v>59</v>
      </c>
      <c r="G14" s="11" t="s">
        <v>60</v>
      </c>
      <c r="H14" s="11" t="s">
        <v>61</v>
      </c>
      <c r="I14" s="11" t="s">
        <v>62</v>
      </c>
      <c r="J14" s="11" t="s">
        <v>63</v>
      </c>
      <c r="K14" s="11" t="s">
        <v>64</v>
      </c>
      <c r="L14" s="11"/>
      <c r="M14" s="11"/>
      <c r="N14" s="11"/>
      <c r="O14" s="11">
        <v>6</v>
      </c>
      <c r="P14" s="11" t="s">
        <v>65</v>
      </c>
      <c r="Q14" s="11"/>
      <c r="R14" s="11"/>
      <c r="S14" s="11"/>
      <c r="T14" s="11"/>
      <c r="U14" s="11"/>
    </row>
    <row r="15" spans="1:21" s="12" customFormat="1" ht="12" customHeight="1" x14ac:dyDescent="0.35">
      <c r="A15" s="10">
        <v>43221</v>
      </c>
      <c r="B15" s="10">
        <v>43240</v>
      </c>
      <c r="C15" s="11" t="s">
        <v>41</v>
      </c>
      <c r="D15" s="11"/>
      <c r="E15" s="11"/>
      <c r="F15" s="11"/>
      <c r="G15" s="11" t="s">
        <v>66</v>
      </c>
      <c r="H15" s="11"/>
      <c r="I15" s="11"/>
      <c r="J15" s="11"/>
      <c r="K15" s="11" t="s">
        <v>64</v>
      </c>
      <c r="L15" s="11"/>
      <c r="M15" s="11"/>
      <c r="N15" s="11"/>
      <c r="O15" s="11">
        <v>3</v>
      </c>
      <c r="P15" s="11" t="s">
        <v>67</v>
      </c>
      <c r="Q15" s="11"/>
      <c r="R15" s="11"/>
      <c r="S15" s="11"/>
      <c r="T15" s="11"/>
      <c r="U15" s="11"/>
    </row>
    <row r="16" spans="1:21" s="12" customFormat="1" ht="12" customHeight="1" x14ac:dyDescent="0.35">
      <c r="A16" s="10">
        <v>43240</v>
      </c>
      <c r="B16" s="10">
        <v>43247.546840277777</v>
      </c>
      <c r="C16" s="11" t="s">
        <v>41</v>
      </c>
      <c r="D16" s="11" t="s">
        <v>42</v>
      </c>
      <c r="E16" s="11">
        <v>26.48</v>
      </c>
      <c r="F16" s="11" t="s">
        <v>68</v>
      </c>
      <c r="G16" s="11" t="s">
        <v>69</v>
      </c>
      <c r="H16" s="11" t="s">
        <v>70</v>
      </c>
      <c r="I16" s="11" t="s">
        <v>71</v>
      </c>
      <c r="J16" s="11" t="s">
        <v>72</v>
      </c>
      <c r="K16" s="11" t="s">
        <v>73</v>
      </c>
      <c r="L16" s="11"/>
      <c r="M16" s="11"/>
      <c r="N16" s="11"/>
      <c r="O16" s="11">
        <v>4</v>
      </c>
      <c r="P16" s="11" t="s">
        <v>65</v>
      </c>
      <c r="Q16" s="11"/>
      <c r="R16" s="11"/>
      <c r="S16" s="11"/>
      <c r="T16" s="11"/>
      <c r="U16" s="11"/>
    </row>
    <row r="17" spans="1:21" s="12" customFormat="1" ht="12" customHeight="1" x14ac:dyDescent="0.35">
      <c r="A17" s="10">
        <v>43247.546840277777</v>
      </c>
      <c r="B17" s="10">
        <v>43250</v>
      </c>
      <c r="C17" s="11" t="s">
        <v>41</v>
      </c>
      <c r="D17" s="11" t="s">
        <v>42</v>
      </c>
      <c r="E17" s="11">
        <v>26.48</v>
      </c>
      <c r="F17" s="11" t="s">
        <v>68</v>
      </c>
      <c r="G17" s="11" t="s">
        <v>69</v>
      </c>
      <c r="H17" s="11" t="s">
        <v>74</v>
      </c>
      <c r="I17" s="11" t="s">
        <v>75</v>
      </c>
      <c r="J17" s="11" t="s">
        <v>63</v>
      </c>
      <c r="K17" s="11" t="s">
        <v>73</v>
      </c>
      <c r="L17" s="11"/>
      <c r="M17" s="11"/>
      <c r="N17" s="11"/>
      <c r="O17" s="11">
        <v>4</v>
      </c>
      <c r="P17" s="11" t="s">
        <v>65</v>
      </c>
      <c r="Q17" s="11"/>
      <c r="R17" s="11"/>
      <c r="S17" s="11"/>
      <c r="T17" s="11"/>
      <c r="U17" s="11"/>
    </row>
    <row r="18" spans="1:21" s="12" customFormat="1" ht="12" customHeight="1" x14ac:dyDescent="0.35">
      <c r="A18" s="10">
        <v>43250</v>
      </c>
      <c r="B18" s="10">
        <v>43400.802083333328</v>
      </c>
      <c r="C18" s="11" t="s">
        <v>41</v>
      </c>
      <c r="D18" s="11" t="s">
        <v>42</v>
      </c>
      <c r="E18" s="11">
        <v>26.48</v>
      </c>
      <c r="F18" s="11" t="s">
        <v>68</v>
      </c>
      <c r="G18" s="11" t="s">
        <v>69</v>
      </c>
      <c r="H18" s="11" t="s">
        <v>76</v>
      </c>
      <c r="I18" s="11" t="s">
        <v>71</v>
      </c>
      <c r="J18" s="11" t="s">
        <v>77</v>
      </c>
      <c r="K18" s="11" t="s">
        <v>73</v>
      </c>
      <c r="L18" s="11"/>
      <c r="M18" s="11"/>
      <c r="N18" s="11"/>
      <c r="O18" s="11">
        <v>4</v>
      </c>
      <c r="P18" s="11" t="s">
        <v>65</v>
      </c>
      <c r="Q18" s="11"/>
      <c r="R18" s="11"/>
      <c r="S18" s="11"/>
      <c r="T18" s="11"/>
      <c r="U18" s="11"/>
    </row>
    <row r="19" spans="1:21" s="12" customFormat="1" ht="12" customHeight="1" x14ac:dyDescent="0.35">
      <c r="A19" s="10">
        <v>43400.802083333328</v>
      </c>
      <c r="B19" s="10">
        <v>43594.770972222221</v>
      </c>
      <c r="C19" s="11" t="s">
        <v>41</v>
      </c>
      <c r="D19" s="11" t="s">
        <v>42</v>
      </c>
      <c r="E19" s="11">
        <v>26.48</v>
      </c>
      <c r="F19" s="11" t="s">
        <v>59</v>
      </c>
      <c r="G19" s="11" t="s">
        <v>60</v>
      </c>
      <c r="H19" s="11" t="s">
        <v>78</v>
      </c>
      <c r="I19" s="11" t="s">
        <v>79</v>
      </c>
      <c r="J19" s="11" t="s">
        <v>63</v>
      </c>
      <c r="K19" s="11" t="s">
        <v>64</v>
      </c>
      <c r="L19" s="11"/>
      <c r="M19" s="11"/>
      <c r="N19" s="11"/>
      <c r="O19" s="11">
        <v>6</v>
      </c>
      <c r="P19" s="11" t="s">
        <v>65</v>
      </c>
      <c r="Q19" s="11"/>
      <c r="R19" s="11"/>
      <c r="S19" s="11"/>
      <c r="T19" s="11"/>
      <c r="U19" s="11"/>
    </row>
    <row r="20" spans="1:21" s="12" customFormat="1" ht="12" customHeight="1" x14ac:dyDescent="0.35">
      <c r="A20" s="10">
        <v>43594.770972222221</v>
      </c>
      <c r="B20" s="10">
        <v>43780.440844907404</v>
      </c>
      <c r="C20" s="11" t="s">
        <v>41</v>
      </c>
      <c r="D20" s="11" t="s">
        <v>42</v>
      </c>
      <c r="E20" s="11">
        <v>26.48</v>
      </c>
      <c r="F20" s="11" t="s">
        <v>59</v>
      </c>
      <c r="G20" s="11" t="s">
        <v>80</v>
      </c>
      <c r="H20" s="11" t="s">
        <v>81</v>
      </c>
      <c r="I20" s="11" t="s">
        <v>79</v>
      </c>
      <c r="J20" s="11" t="s">
        <v>63</v>
      </c>
      <c r="K20" s="11" t="s">
        <v>82</v>
      </c>
      <c r="L20" s="11"/>
      <c r="M20" s="11"/>
      <c r="N20" s="11"/>
      <c r="O20" s="11">
        <v>7</v>
      </c>
      <c r="P20" s="11" t="s">
        <v>65</v>
      </c>
      <c r="Q20" s="11"/>
      <c r="R20" s="11"/>
      <c r="S20" s="11"/>
      <c r="T20" s="11"/>
      <c r="U20" s="11"/>
    </row>
    <row r="21" spans="1:21" s="12" customFormat="1" ht="12" customHeight="1" x14ac:dyDescent="0.35">
      <c r="A21" s="10">
        <v>43780.440844907404</v>
      </c>
      <c r="B21" s="10">
        <v>43919</v>
      </c>
      <c r="C21" s="11" t="s">
        <v>41</v>
      </c>
      <c r="D21" s="11" t="s">
        <v>42</v>
      </c>
      <c r="E21" s="11">
        <v>26.48</v>
      </c>
      <c r="F21" s="11" t="s">
        <v>59</v>
      </c>
      <c r="G21" s="11" t="s">
        <v>60</v>
      </c>
      <c r="H21" s="11" t="s">
        <v>76</v>
      </c>
      <c r="I21" s="11" t="s">
        <v>62</v>
      </c>
      <c r="J21" s="11" t="s">
        <v>63</v>
      </c>
      <c r="K21" s="11" t="s">
        <v>64</v>
      </c>
      <c r="L21" s="11"/>
      <c r="M21" s="11"/>
      <c r="N21" s="11"/>
      <c r="O21" s="11">
        <v>6</v>
      </c>
      <c r="P21" s="11" t="s">
        <v>65</v>
      </c>
      <c r="Q21" s="11"/>
      <c r="R21" s="11"/>
      <c r="S21" s="11"/>
      <c r="T21" s="11"/>
      <c r="U21" s="11"/>
    </row>
    <row r="22" spans="1:21" s="12" customFormat="1" ht="12" customHeight="1" x14ac:dyDescent="0.35">
      <c r="A22" s="10">
        <v>43919</v>
      </c>
      <c r="B22" s="10">
        <v>43938.337500000001</v>
      </c>
      <c r="C22" s="11" t="s">
        <v>41</v>
      </c>
      <c r="D22" s="11" t="s">
        <v>42</v>
      </c>
      <c r="E22" s="11">
        <v>26.48</v>
      </c>
      <c r="F22" s="11" t="s">
        <v>59</v>
      </c>
      <c r="G22" s="11" t="s">
        <v>83</v>
      </c>
      <c r="H22" s="11" t="s">
        <v>76</v>
      </c>
      <c r="I22" s="11" t="s">
        <v>84</v>
      </c>
      <c r="J22" s="11" t="s">
        <v>63</v>
      </c>
      <c r="K22" s="11" t="s">
        <v>85</v>
      </c>
      <c r="L22" s="11"/>
      <c r="M22" s="11"/>
      <c r="N22" s="11"/>
      <c r="O22" s="11">
        <v>5</v>
      </c>
      <c r="P22" s="11" t="s">
        <v>65</v>
      </c>
      <c r="Q22" s="11"/>
      <c r="R22" s="11"/>
      <c r="S22" s="11"/>
      <c r="T22" s="11"/>
      <c r="U22" s="11"/>
    </row>
    <row r="23" spans="1:21" s="12" customFormat="1" ht="12" customHeight="1" x14ac:dyDescent="0.35">
      <c r="A23" s="10">
        <v>43938.337500000001</v>
      </c>
      <c r="B23" s="10">
        <v>44090.355752314812</v>
      </c>
      <c r="C23" s="11" t="s">
        <v>41</v>
      </c>
      <c r="D23" s="11" t="s">
        <v>42</v>
      </c>
      <c r="E23" s="11">
        <v>26.48</v>
      </c>
      <c r="F23" s="11" t="s">
        <v>86</v>
      </c>
      <c r="G23" s="11" t="s">
        <v>66</v>
      </c>
      <c r="H23" s="11" t="s">
        <v>87</v>
      </c>
      <c r="I23" s="11" t="s">
        <v>88</v>
      </c>
      <c r="J23" s="11" t="s">
        <v>63</v>
      </c>
      <c r="K23" s="11" t="s">
        <v>89</v>
      </c>
      <c r="L23" s="11"/>
      <c r="M23" s="11"/>
      <c r="N23" s="11" t="s">
        <v>90</v>
      </c>
      <c r="O23" s="11">
        <v>1</v>
      </c>
      <c r="P23" s="11" t="s">
        <v>65</v>
      </c>
      <c r="Q23" s="11"/>
      <c r="R23" s="11"/>
      <c r="S23" s="11"/>
      <c r="T23" s="11"/>
      <c r="U23" s="11"/>
    </row>
    <row r="24" spans="1:21" s="12" customFormat="1" ht="12" customHeight="1" x14ac:dyDescent="0.35">
      <c r="A24" s="10">
        <v>44090.355752314812</v>
      </c>
      <c r="B24" s="13">
        <v>44561</v>
      </c>
      <c r="C24" s="11" t="s">
        <v>41</v>
      </c>
      <c r="D24" s="11" t="s">
        <v>42</v>
      </c>
      <c r="E24" s="11">
        <v>26.48</v>
      </c>
      <c r="F24" s="11" t="s">
        <v>91</v>
      </c>
      <c r="G24" s="11" t="s">
        <v>92</v>
      </c>
      <c r="H24" s="11" t="s">
        <v>93</v>
      </c>
      <c r="I24" s="11" t="s">
        <v>94</v>
      </c>
      <c r="J24" s="11" t="s">
        <v>63</v>
      </c>
      <c r="K24" s="11" t="s">
        <v>89</v>
      </c>
      <c r="L24" s="11"/>
      <c r="M24" s="11"/>
      <c r="N24" s="11"/>
      <c r="O24" s="11">
        <v>1</v>
      </c>
      <c r="P24" s="11" t="s">
        <v>65</v>
      </c>
      <c r="Q24" s="11"/>
      <c r="R24" s="11"/>
      <c r="S24" s="11"/>
      <c r="T24" s="11"/>
      <c r="U24" s="11"/>
    </row>
    <row r="26" spans="1:21" x14ac:dyDescent="0.35">
      <c r="A26" s="21" t="s">
        <v>122</v>
      </c>
    </row>
    <row r="27" spans="1:21" x14ac:dyDescent="0.35">
      <c r="A27" s="1" t="s">
        <v>0</v>
      </c>
      <c r="B27" s="1" t="s">
        <v>1</v>
      </c>
      <c r="C27" s="2"/>
      <c r="D27" s="2"/>
      <c r="E27" s="2"/>
      <c r="F27" s="1" t="s">
        <v>2</v>
      </c>
    </row>
    <row r="28" spans="1:21" x14ac:dyDescent="0.35">
      <c r="A28" s="4">
        <v>43028</v>
      </c>
      <c r="B28" s="5" t="s">
        <v>3</v>
      </c>
      <c r="C28" s="5" t="s">
        <v>4</v>
      </c>
      <c r="D28" s="5" t="s">
        <v>5</v>
      </c>
      <c r="E28" s="2"/>
      <c r="F28" s="2"/>
    </row>
    <row r="29" spans="1:21" x14ac:dyDescent="0.35">
      <c r="A29" s="2"/>
      <c r="B29" s="2"/>
      <c r="C29" s="1" t="s">
        <v>115</v>
      </c>
      <c r="D29" s="1" t="s">
        <v>116</v>
      </c>
      <c r="E29" s="2"/>
      <c r="F29" s="2"/>
    </row>
    <row r="30" spans="1:21" x14ac:dyDescent="0.35">
      <c r="A30" s="4">
        <v>43084</v>
      </c>
      <c r="B30" s="5" t="s">
        <v>3</v>
      </c>
      <c r="C30" s="5" t="s">
        <v>4</v>
      </c>
      <c r="D30" s="5" t="s">
        <v>5</v>
      </c>
      <c r="E30" s="5"/>
      <c r="F30" s="2"/>
    </row>
    <row r="31" spans="1:21" x14ac:dyDescent="0.35">
      <c r="A31" s="2"/>
      <c r="B31" s="2"/>
      <c r="C31" s="1" t="s">
        <v>117</v>
      </c>
      <c r="D31" s="1" t="s">
        <v>118</v>
      </c>
      <c r="E31" s="1"/>
      <c r="F31" s="2"/>
    </row>
    <row r="32" spans="1:21" x14ac:dyDescent="0.35">
      <c r="A32" s="4">
        <v>43222</v>
      </c>
      <c r="B32" s="5" t="s">
        <v>3</v>
      </c>
      <c r="C32" s="5" t="s">
        <v>4</v>
      </c>
      <c r="D32" s="5" t="s">
        <v>5</v>
      </c>
      <c r="E32" s="2"/>
      <c r="F32" s="2"/>
    </row>
    <row r="33" spans="1:10" x14ac:dyDescent="0.35">
      <c r="A33" s="2"/>
      <c r="B33" s="2"/>
      <c r="C33" s="1" t="s">
        <v>119</v>
      </c>
      <c r="D33" s="1" t="s">
        <v>118</v>
      </c>
      <c r="E33" s="2"/>
      <c r="F33" s="2"/>
    </row>
    <row r="34" spans="1:10" x14ac:dyDescent="0.35">
      <c r="A34" s="4">
        <v>43240</v>
      </c>
      <c r="B34" s="5" t="s">
        <v>3</v>
      </c>
      <c r="C34" s="5" t="s">
        <v>4</v>
      </c>
      <c r="D34" s="5" t="s">
        <v>5</v>
      </c>
      <c r="E34" s="2"/>
      <c r="F34" s="2"/>
    </row>
    <row r="35" spans="1:10" x14ac:dyDescent="0.35">
      <c r="A35" s="2"/>
      <c r="B35" s="2"/>
      <c r="C35" s="1" t="s">
        <v>120</v>
      </c>
      <c r="D35" s="1" t="s">
        <v>121</v>
      </c>
      <c r="E35" s="2"/>
      <c r="F35" s="2"/>
    </row>
    <row r="36" spans="1:10" x14ac:dyDescent="0.35">
      <c r="E36" s="2"/>
      <c r="F36" s="2"/>
    </row>
    <row r="37" spans="1:10" x14ac:dyDescent="0.35">
      <c r="A37" s="21" t="s">
        <v>208</v>
      </c>
      <c r="E37" s="2"/>
      <c r="F37" s="2"/>
    </row>
    <row r="38" spans="1:10" x14ac:dyDescent="0.35">
      <c r="A38" s="30" t="s">
        <v>0</v>
      </c>
      <c r="B38" s="31" t="s">
        <v>95</v>
      </c>
      <c r="C38" s="31" t="s">
        <v>96</v>
      </c>
      <c r="D38" s="31" t="s">
        <v>101</v>
      </c>
      <c r="E38" s="31" t="s">
        <v>209</v>
      </c>
      <c r="F38" s="31" t="s">
        <v>17</v>
      </c>
      <c r="G38" s="31" t="s">
        <v>210</v>
      </c>
      <c r="H38" s="31" t="s">
        <v>211</v>
      </c>
      <c r="I38" s="31" t="s">
        <v>212</v>
      </c>
      <c r="J38" s="31" t="s">
        <v>213</v>
      </c>
    </row>
    <row r="39" spans="1:10" s="12" customFormat="1" ht="15" customHeight="1" x14ac:dyDescent="0.35">
      <c r="A39" s="26">
        <v>43399</v>
      </c>
      <c r="B39" s="27" t="s">
        <v>41</v>
      </c>
      <c r="C39" s="27" t="s">
        <v>42</v>
      </c>
      <c r="D39" s="27">
        <v>26.48</v>
      </c>
      <c r="E39" s="27" t="s">
        <v>63</v>
      </c>
      <c r="F39" s="27" t="s">
        <v>69</v>
      </c>
      <c r="G39" s="27" t="s">
        <v>63</v>
      </c>
      <c r="H39" s="28">
        <v>2421.4</v>
      </c>
      <c r="I39" s="29" t="s">
        <v>207</v>
      </c>
      <c r="J39" s="27">
        <f t="shared" ref="J39:J41" si="0">H39/D39</f>
        <v>91.442598187311177</v>
      </c>
    </row>
    <row r="40" spans="1:10" s="12" customFormat="1" ht="15" customHeight="1" x14ac:dyDescent="0.35">
      <c r="A40" s="26">
        <v>43775</v>
      </c>
      <c r="B40" s="27" t="s">
        <v>41</v>
      </c>
      <c r="C40" s="27" t="s">
        <v>42</v>
      </c>
      <c r="D40" s="27">
        <v>26.48</v>
      </c>
      <c r="E40" s="27" t="s">
        <v>63</v>
      </c>
      <c r="F40" s="27" t="s">
        <v>80</v>
      </c>
      <c r="G40" s="27" t="s">
        <v>63</v>
      </c>
      <c r="H40" s="27">
        <v>707.33</v>
      </c>
      <c r="I40" s="29" t="s">
        <v>207</v>
      </c>
      <c r="J40" s="27">
        <f t="shared" si="0"/>
        <v>26.711858006042299</v>
      </c>
    </row>
    <row r="41" spans="1:10" s="12" customFormat="1" ht="15" customHeight="1" x14ac:dyDescent="0.35">
      <c r="A41" s="26">
        <v>44021</v>
      </c>
      <c r="B41" s="27" t="s">
        <v>41</v>
      </c>
      <c r="C41" s="27" t="s">
        <v>42</v>
      </c>
      <c r="D41" s="27">
        <v>26.48</v>
      </c>
      <c r="E41" s="27" t="s">
        <v>63</v>
      </c>
      <c r="F41" s="27" t="s">
        <v>83</v>
      </c>
      <c r="G41" s="27" t="s">
        <v>63</v>
      </c>
      <c r="H41" s="28">
        <v>1440.7</v>
      </c>
      <c r="I41" s="29" t="s">
        <v>207</v>
      </c>
      <c r="J41" s="27">
        <f t="shared" si="0"/>
        <v>54.407099697885194</v>
      </c>
    </row>
    <row r="42" spans="1:10" x14ac:dyDescent="0.35">
      <c r="A42" s="3">
        <v>44352</v>
      </c>
      <c r="B42" s="2" t="s">
        <v>41</v>
      </c>
      <c r="C42" s="1"/>
      <c r="D42" s="27">
        <v>26.48</v>
      </c>
      <c r="E42" s="1"/>
      <c r="F42" s="1" t="s">
        <v>332</v>
      </c>
      <c r="H42">
        <f>J42*D42</f>
        <v>26.48</v>
      </c>
      <c r="I42" s="29" t="s">
        <v>215</v>
      </c>
      <c r="J42">
        <v>1</v>
      </c>
    </row>
    <row r="43" spans="1:10" x14ac:dyDescent="0.35">
      <c r="A43" s="32">
        <v>44418</v>
      </c>
      <c r="B43" s="27" t="s">
        <v>41</v>
      </c>
      <c r="D43" s="27">
        <v>26.48</v>
      </c>
      <c r="E43" s="2"/>
      <c r="F43" s="2" t="s">
        <v>332</v>
      </c>
      <c r="H43">
        <f>J43*D43</f>
        <v>26.48</v>
      </c>
      <c r="I43" s="29" t="s">
        <v>215</v>
      </c>
      <c r="J43">
        <v>1</v>
      </c>
    </row>
    <row r="44" spans="1:10" x14ac:dyDescent="0.35">
      <c r="E44" s="2"/>
      <c r="F44" s="2"/>
    </row>
    <row r="45" spans="1:10" x14ac:dyDescent="0.35">
      <c r="E45" s="5"/>
      <c r="F45" s="2"/>
    </row>
    <row r="46" spans="1:10" x14ac:dyDescent="0.35">
      <c r="A46" s="2"/>
      <c r="B46" s="2"/>
      <c r="C46" s="1"/>
      <c r="D46" s="1"/>
      <c r="E46" s="1"/>
      <c r="F46" s="1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EF19-9392-6E4C-A57C-13687B040865}">
  <dimension ref="A1:F65"/>
  <sheetViews>
    <sheetView topLeftCell="A19" workbookViewId="0">
      <selection activeCell="C65" sqref="C65"/>
    </sheetView>
  </sheetViews>
  <sheetFormatPr defaultColWidth="10.6640625" defaultRowHeight="15.5" x14ac:dyDescent="0.35"/>
  <cols>
    <col min="1" max="1" width="21.83203125" customWidth="1"/>
    <col min="3" max="3" width="22.1640625" customWidth="1"/>
    <col min="4" max="4" width="17" customWidth="1"/>
    <col min="5" max="5" width="15.5" customWidth="1"/>
  </cols>
  <sheetData>
    <row r="1" spans="1:6" x14ac:dyDescent="0.35">
      <c r="A1" s="5" t="s">
        <v>0</v>
      </c>
      <c r="B1" s="5" t="s">
        <v>1</v>
      </c>
      <c r="C1" s="33"/>
      <c r="D1" s="33"/>
      <c r="E1" s="33"/>
      <c r="F1" s="5" t="s">
        <v>2</v>
      </c>
    </row>
    <row r="2" spans="1:6" x14ac:dyDescent="0.35">
      <c r="A2" s="5"/>
      <c r="C2" s="33"/>
      <c r="D2" s="33"/>
      <c r="E2" s="33"/>
      <c r="F2" s="5"/>
    </row>
    <row r="3" spans="1:6" x14ac:dyDescent="0.35">
      <c r="A3" s="34">
        <v>2018</v>
      </c>
      <c r="B3" s="1"/>
      <c r="C3" s="2"/>
      <c r="D3" s="2"/>
      <c r="E3" s="2"/>
      <c r="F3" s="1"/>
    </row>
    <row r="4" spans="1:6" x14ac:dyDescent="0.35">
      <c r="B4" s="5" t="s">
        <v>3</v>
      </c>
      <c r="C4" s="5" t="s">
        <v>4</v>
      </c>
      <c r="D4" s="5" t="s">
        <v>5</v>
      </c>
      <c r="E4" s="2"/>
      <c r="F4" s="2"/>
    </row>
    <row r="5" spans="1:6" x14ac:dyDescent="0.35">
      <c r="A5" s="4">
        <v>43179</v>
      </c>
      <c r="B5" s="2"/>
      <c r="C5" s="1" t="s">
        <v>6</v>
      </c>
      <c r="D5" s="1" t="s">
        <v>7</v>
      </c>
      <c r="E5" s="2"/>
      <c r="F5" s="2"/>
    </row>
    <row r="6" spans="1:6" x14ac:dyDescent="0.35">
      <c r="B6" s="5" t="s">
        <v>9</v>
      </c>
      <c r="C6" s="5" t="s">
        <v>10</v>
      </c>
      <c r="D6" s="5" t="s">
        <v>11</v>
      </c>
      <c r="E6" s="2"/>
    </row>
    <row r="7" spans="1:6" x14ac:dyDescent="0.35">
      <c r="A7" s="1" t="s">
        <v>8</v>
      </c>
      <c r="B7" s="2"/>
      <c r="C7" s="1" t="s">
        <v>12</v>
      </c>
      <c r="D7" s="1" t="s">
        <v>13</v>
      </c>
      <c r="E7" s="2"/>
      <c r="F7" s="2"/>
    </row>
    <row r="8" spans="1:6" x14ac:dyDescent="0.35">
      <c r="B8" s="5" t="s">
        <v>9</v>
      </c>
      <c r="C8" s="5" t="s">
        <v>10</v>
      </c>
      <c r="D8" s="5" t="s">
        <v>11</v>
      </c>
      <c r="E8" s="2"/>
      <c r="F8" s="2"/>
    </row>
    <row r="9" spans="1:6" x14ac:dyDescent="0.35">
      <c r="A9" s="1" t="s">
        <v>8</v>
      </c>
      <c r="B9" s="2"/>
      <c r="C9" s="1" t="s">
        <v>14</v>
      </c>
      <c r="D9" s="1" t="s">
        <v>15</v>
      </c>
      <c r="E9" s="2"/>
      <c r="F9" s="2"/>
    </row>
    <row r="10" spans="1:6" x14ac:dyDescent="0.35">
      <c r="B10" s="5" t="s">
        <v>16</v>
      </c>
      <c r="C10" s="5" t="s">
        <v>17</v>
      </c>
      <c r="D10" s="5" t="s">
        <v>18</v>
      </c>
      <c r="E10" s="5" t="s">
        <v>5</v>
      </c>
      <c r="F10" s="2"/>
    </row>
    <row r="11" spans="1:6" x14ac:dyDescent="0.35">
      <c r="A11" s="4">
        <v>43230</v>
      </c>
      <c r="B11" s="2"/>
      <c r="C11" s="1" t="s">
        <v>19</v>
      </c>
      <c r="D11" s="1" t="s">
        <v>20</v>
      </c>
      <c r="E11" s="6" t="s">
        <v>214</v>
      </c>
      <c r="F11" s="2"/>
    </row>
    <row r="12" spans="1:6" x14ac:dyDescent="0.35">
      <c r="B12" s="5" t="s">
        <v>22</v>
      </c>
      <c r="C12" s="5" t="s">
        <v>4</v>
      </c>
      <c r="D12" s="5" t="s">
        <v>5</v>
      </c>
      <c r="E12" s="2"/>
      <c r="F12" s="2"/>
    </row>
    <row r="13" spans="1:6" x14ac:dyDescent="0.35">
      <c r="A13" s="1" t="s">
        <v>21</v>
      </c>
      <c r="B13" s="2"/>
      <c r="C13" s="1" t="s">
        <v>23</v>
      </c>
      <c r="D13" s="1" t="s">
        <v>24</v>
      </c>
      <c r="E13" s="2"/>
      <c r="F13" s="1" t="s">
        <v>25</v>
      </c>
    </row>
    <row r="14" spans="1:6" x14ac:dyDescent="0.35">
      <c r="B14" s="5" t="s">
        <v>22</v>
      </c>
      <c r="C14" s="5" t="s">
        <v>4</v>
      </c>
      <c r="D14" s="5" t="s">
        <v>5</v>
      </c>
      <c r="E14" s="2"/>
      <c r="F14" s="2"/>
    </row>
    <row r="15" spans="1:6" x14ac:dyDescent="0.35">
      <c r="A15" s="1" t="s">
        <v>21</v>
      </c>
      <c r="B15" s="2"/>
      <c r="C15" s="1" t="s">
        <v>26</v>
      </c>
      <c r="D15" s="1" t="s">
        <v>27</v>
      </c>
      <c r="E15" s="2"/>
      <c r="F15" s="1" t="s">
        <v>25</v>
      </c>
    </row>
    <row r="16" spans="1:6" x14ac:dyDescent="0.35">
      <c r="B16" s="5" t="s">
        <v>3</v>
      </c>
      <c r="C16" s="5" t="s">
        <v>4</v>
      </c>
      <c r="D16" s="5" t="s">
        <v>5</v>
      </c>
      <c r="E16" s="2"/>
      <c r="F16" s="2"/>
    </row>
    <row r="17" spans="1:6" x14ac:dyDescent="0.35">
      <c r="A17" s="1" t="s">
        <v>28</v>
      </c>
      <c r="B17" s="2"/>
      <c r="C17" s="1" t="s">
        <v>29</v>
      </c>
      <c r="D17" s="1" t="s">
        <v>30</v>
      </c>
      <c r="E17" s="2"/>
      <c r="F17" s="1" t="s">
        <v>31</v>
      </c>
    </row>
    <row r="18" spans="1:6" x14ac:dyDescent="0.35">
      <c r="B18" s="5" t="s">
        <v>3</v>
      </c>
      <c r="C18" s="5" t="s">
        <v>4</v>
      </c>
      <c r="D18" s="5" t="s">
        <v>5</v>
      </c>
      <c r="E18" s="2"/>
      <c r="F18" s="2"/>
    </row>
    <row r="19" spans="1:6" x14ac:dyDescent="0.35">
      <c r="A19" s="1" t="s">
        <v>32</v>
      </c>
      <c r="B19" s="2"/>
      <c r="C19" s="1" t="s">
        <v>33</v>
      </c>
      <c r="D19" s="1" t="s">
        <v>34</v>
      </c>
      <c r="E19" s="2"/>
      <c r="F19" s="2"/>
    </row>
    <row r="20" spans="1:6" x14ac:dyDescent="0.35">
      <c r="A20" s="4">
        <v>43377</v>
      </c>
      <c r="B20" s="5" t="s">
        <v>35</v>
      </c>
      <c r="C20" s="5" t="s">
        <v>17</v>
      </c>
      <c r="D20" s="5" t="s">
        <v>36</v>
      </c>
      <c r="E20" s="2"/>
      <c r="F20" s="2"/>
    </row>
    <row r="21" spans="1:6" x14ac:dyDescent="0.35">
      <c r="A21" s="2"/>
      <c r="B21" s="2"/>
      <c r="C21" s="1" t="s">
        <v>19</v>
      </c>
      <c r="D21" s="1" t="s">
        <v>37</v>
      </c>
      <c r="E21" s="2"/>
      <c r="F21" s="2"/>
    </row>
    <row r="22" spans="1:6" x14ac:dyDescent="0.35">
      <c r="A22" s="4">
        <v>43559</v>
      </c>
      <c r="B22" s="5" t="s">
        <v>3</v>
      </c>
      <c r="C22" s="5" t="s">
        <v>4</v>
      </c>
      <c r="D22" s="5" t="s">
        <v>5</v>
      </c>
      <c r="E22" s="2"/>
      <c r="F22" s="2"/>
    </row>
    <row r="23" spans="1:6" x14ac:dyDescent="0.35">
      <c r="A23" s="2"/>
      <c r="B23" s="2"/>
      <c r="C23" s="1" t="s">
        <v>38</v>
      </c>
      <c r="D23" s="1" t="s">
        <v>39</v>
      </c>
      <c r="E23" s="2"/>
      <c r="F23" s="1" t="s">
        <v>40</v>
      </c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3">
        <v>2019</v>
      </c>
    </row>
    <row r="27" spans="1:6" x14ac:dyDescent="0.35">
      <c r="B27" s="5" t="s">
        <v>3</v>
      </c>
      <c r="C27" s="5" t="s">
        <v>4</v>
      </c>
      <c r="D27" s="5" t="s">
        <v>5</v>
      </c>
    </row>
    <row r="28" spans="1:6" x14ac:dyDescent="0.35">
      <c r="A28" t="s">
        <v>216</v>
      </c>
      <c r="C28" t="s">
        <v>217</v>
      </c>
      <c r="D28" t="s">
        <v>218</v>
      </c>
    </row>
    <row r="30" spans="1:6" x14ac:dyDescent="0.35">
      <c r="B30" s="5" t="s">
        <v>16</v>
      </c>
      <c r="C30" s="5" t="s">
        <v>17</v>
      </c>
      <c r="D30" s="5" t="s">
        <v>18</v>
      </c>
      <c r="E30" s="5" t="s">
        <v>5</v>
      </c>
    </row>
    <row r="31" spans="1:6" x14ac:dyDescent="0.35">
      <c r="A31" t="s">
        <v>225</v>
      </c>
      <c r="C31" t="s">
        <v>219</v>
      </c>
      <c r="E31" t="s">
        <v>220</v>
      </c>
    </row>
    <row r="33" spans="1:6" x14ac:dyDescent="0.35">
      <c r="B33" s="5" t="s">
        <v>35</v>
      </c>
      <c r="C33" s="5" t="s">
        <v>17</v>
      </c>
      <c r="D33" s="5" t="s">
        <v>36</v>
      </c>
      <c r="E33" s="5" t="s">
        <v>101</v>
      </c>
    </row>
    <row r="34" spans="1:6" x14ac:dyDescent="0.35">
      <c r="A34" t="s">
        <v>226</v>
      </c>
      <c r="C34" t="s">
        <v>219</v>
      </c>
      <c r="D34" t="s">
        <v>221</v>
      </c>
      <c r="E34" t="s">
        <v>222</v>
      </c>
    </row>
    <row r="36" spans="1:6" x14ac:dyDescent="0.35">
      <c r="B36" s="5" t="s">
        <v>16</v>
      </c>
      <c r="C36" s="5" t="s">
        <v>17</v>
      </c>
      <c r="D36" s="5" t="s">
        <v>18</v>
      </c>
      <c r="E36" s="5" t="s">
        <v>5</v>
      </c>
    </row>
    <row r="37" spans="1:6" x14ac:dyDescent="0.35">
      <c r="A37" t="s">
        <v>227</v>
      </c>
      <c r="C37" t="s">
        <v>223</v>
      </c>
      <c r="E37" t="s">
        <v>224</v>
      </c>
    </row>
    <row r="39" spans="1:6" x14ac:dyDescent="0.35">
      <c r="A39" s="23">
        <v>2020</v>
      </c>
    </row>
    <row r="41" spans="1:6" x14ac:dyDescent="0.35">
      <c r="B41" s="5" t="s">
        <v>9</v>
      </c>
      <c r="C41" s="5" t="s">
        <v>10</v>
      </c>
      <c r="D41" s="5" t="s">
        <v>11</v>
      </c>
    </row>
    <row r="42" spans="1:6" x14ac:dyDescent="0.35">
      <c r="A42" t="s">
        <v>235</v>
      </c>
      <c r="C42" t="s">
        <v>228</v>
      </c>
      <c r="D42" t="s">
        <v>229</v>
      </c>
    </row>
    <row r="44" spans="1:6" x14ac:dyDescent="0.35">
      <c r="B44" s="5" t="s">
        <v>16</v>
      </c>
      <c r="C44" s="5" t="s">
        <v>17</v>
      </c>
      <c r="D44" s="5" t="s">
        <v>18</v>
      </c>
      <c r="E44" s="5" t="s">
        <v>5</v>
      </c>
      <c r="F44" s="5"/>
    </row>
    <row r="45" spans="1:6" x14ac:dyDescent="0.35">
      <c r="A45" t="s">
        <v>235</v>
      </c>
      <c r="C45" t="s">
        <v>230</v>
      </c>
      <c r="E45" t="s">
        <v>231</v>
      </c>
    </row>
    <row r="47" spans="1:6" x14ac:dyDescent="0.35">
      <c r="B47" s="5" t="s">
        <v>35</v>
      </c>
      <c r="C47" s="5" t="s">
        <v>17</v>
      </c>
      <c r="D47" s="5" t="s">
        <v>36</v>
      </c>
      <c r="E47" s="5" t="s">
        <v>101</v>
      </c>
    </row>
    <row r="48" spans="1:6" x14ac:dyDescent="0.35">
      <c r="A48" t="s">
        <v>236</v>
      </c>
      <c r="C48" t="s">
        <v>230</v>
      </c>
      <c r="D48" t="s">
        <v>232</v>
      </c>
      <c r="E48" t="s">
        <v>233</v>
      </c>
    </row>
    <row r="50" spans="1:5" x14ac:dyDescent="0.35">
      <c r="B50" s="5" t="s">
        <v>9</v>
      </c>
      <c r="C50" s="5" t="s">
        <v>10</v>
      </c>
      <c r="D50" s="5" t="s">
        <v>11</v>
      </c>
    </row>
    <row r="51" spans="1:5" x14ac:dyDescent="0.35">
      <c r="A51" t="s">
        <v>236</v>
      </c>
      <c r="C51" t="s">
        <v>234</v>
      </c>
      <c r="D51" t="s">
        <v>229</v>
      </c>
    </row>
    <row r="53" spans="1:5" x14ac:dyDescent="0.35">
      <c r="B53" s="5" t="s">
        <v>16</v>
      </c>
      <c r="C53" s="5" t="s">
        <v>17</v>
      </c>
      <c r="D53" s="5" t="s">
        <v>18</v>
      </c>
      <c r="E53" s="5" t="s">
        <v>5</v>
      </c>
    </row>
    <row r="54" spans="1:5" x14ac:dyDescent="0.35">
      <c r="A54" t="s">
        <v>236</v>
      </c>
      <c r="C54" t="s">
        <v>237</v>
      </c>
      <c r="E54" t="s">
        <v>238</v>
      </c>
    </row>
    <row r="56" spans="1:5" x14ac:dyDescent="0.35">
      <c r="A56" s="23">
        <v>2021</v>
      </c>
    </row>
    <row r="58" spans="1:5" x14ac:dyDescent="0.35">
      <c r="A58" s="21"/>
      <c r="B58" s="5" t="s">
        <v>3</v>
      </c>
      <c r="C58" s="5" t="s">
        <v>4</v>
      </c>
      <c r="D58" s="5" t="s">
        <v>5</v>
      </c>
    </row>
    <row r="59" spans="1:5" x14ac:dyDescent="0.35">
      <c r="A59" t="s">
        <v>240</v>
      </c>
      <c r="C59" t="s">
        <v>217</v>
      </c>
      <c r="D59" t="s">
        <v>218</v>
      </c>
    </row>
    <row r="61" spans="1:5" x14ac:dyDescent="0.35">
      <c r="A61" s="21"/>
      <c r="B61" s="5" t="s">
        <v>16</v>
      </c>
      <c r="C61" s="5" t="s">
        <v>17</v>
      </c>
      <c r="D61" s="5" t="s">
        <v>18</v>
      </c>
      <c r="E61" s="5" t="s">
        <v>5</v>
      </c>
    </row>
    <row r="62" spans="1:5" x14ac:dyDescent="0.35">
      <c r="A62" t="s">
        <v>225</v>
      </c>
      <c r="C62" t="s">
        <v>241</v>
      </c>
      <c r="E62" t="s">
        <v>220</v>
      </c>
    </row>
    <row r="64" spans="1:5" x14ac:dyDescent="0.35">
      <c r="A64" s="21"/>
      <c r="B64" s="5" t="s">
        <v>35</v>
      </c>
      <c r="C64" s="5" t="s">
        <v>17</v>
      </c>
      <c r="D64" s="5" t="s">
        <v>36</v>
      </c>
      <c r="E64" s="5" t="s">
        <v>101</v>
      </c>
    </row>
    <row r="65" spans="1:5" x14ac:dyDescent="0.35">
      <c r="A65" t="s">
        <v>226</v>
      </c>
      <c r="C65" t="s">
        <v>239</v>
      </c>
      <c r="D65" t="s">
        <v>242</v>
      </c>
      <c r="E65" t="s">
        <v>243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9F88-48D4-A249-91DD-230648CF0838}">
  <dimension ref="A1:M124"/>
  <sheetViews>
    <sheetView tabSelected="1" topLeftCell="A65" workbookViewId="0">
      <selection activeCell="G103" sqref="G103"/>
    </sheetView>
  </sheetViews>
  <sheetFormatPr defaultColWidth="10.6640625" defaultRowHeight="15.5" x14ac:dyDescent="0.35"/>
  <cols>
    <col min="2" max="2" width="26.5" customWidth="1"/>
    <col min="3" max="3" width="28.5" customWidth="1"/>
    <col min="4" max="4" width="24.6640625" customWidth="1"/>
    <col min="5" max="5" width="19.5" customWidth="1"/>
    <col min="6" max="6" width="14" customWidth="1"/>
  </cols>
  <sheetData>
    <row r="1" spans="1:6" s="25" customFormat="1" x14ac:dyDescent="0.35"/>
    <row r="2" spans="1:6" ht="21" x14ac:dyDescent="0.5">
      <c r="A2" s="24">
        <v>2018</v>
      </c>
    </row>
    <row r="6" spans="1:6" x14ac:dyDescent="0.35">
      <c r="A6" s="21" t="s">
        <v>181</v>
      </c>
      <c r="B6" s="21" t="s">
        <v>182</v>
      </c>
      <c r="C6" s="21" t="s">
        <v>244</v>
      </c>
      <c r="D6" s="21" t="s">
        <v>184</v>
      </c>
      <c r="E6" s="21" t="s">
        <v>248</v>
      </c>
      <c r="F6" s="21" t="s">
        <v>183</v>
      </c>
    </row>
    <row r="7" spans="1:6" x14ac:dyDescent="0.35">
      <c r="A7" s="35">
        <v>43237</v>
      </c>
      <c r="B7" t="s">
        <v>185</v>
      </c>
      <c r="C7" s="22" t="s">
        <v>247</v>
      </c>
      <c r="D7" t="s">
        <v>187</v>
      </c>
      <c r="E7">
        <f>((900*0.03)*30*21)</f>
        <v>17010</v>
      </c>
      <c r="F7" t="s">
        <v>186</v>
      </c>
    </row>
    <row r="8" spans="1:6" x14ac:dyDescent="0.35">
      <c r="A8" s="35">
        <v>43258</v>
      </c>
      <c r="B8" t="s">
        <v>188</v>
      </c>
      <c r="D8" t="s">
        <v>187</v>
      </c>
      <c r="F8" t="s">
        <v>189</v>
      </c>
    </row>
    <row r="9" spans="1:6" x14ac:dyDescent="0.35">
      <c r="A9" s="35">
        <v>43278</v>
      </c>
      <c r="B9" t="s">
        <v>190</v>
      </c>
      <c r="C9" s="22" t="s">
        <v>246</v>
      </c>
      <c r="D9" t="s">
        <v>187</v>
      </c>
      <c r="E9">
        <f>(940*0.03)*30*20</f>
        <v>16920</v>
      </c>
      <c r="F9" t="s">
        <v>191</v>
      </c>
    </row>
    <row r="10" spans="1:6" x14ac:dyDescent="0.35">
      <c r="A10" s="3">
        <v>43261</v>
      </c>
      <c r="B10" t="s">
        <v>192</v>
      </c>
      <c r="D10" t="s">
        <v>153</v>
      </c>
      <c r="F10" t="s">
        <v>193</v>
      </c>
    </row>
    <row r="11" spans="1:6" x14ac:dyDescent="0.35">
      <c r="A11" s="3">
        <v>43262</v>
      </c>
      <c r="B11" t="s">
        <v>194</v>
      </c>
      <c r="D11" t="s">
        <v>153</v>
      </c>
      <c r="E11">
        <f>1600*0.5*28</f>
        <v>22400</v>
      </c>
      <c r="F11" t="s">
        <v>195</v>
      </c>
    </row>
    <row r="12" spans="1:6" x14ac:dyDescent="0.35">
      <c r="A12" s="3">
        <v>43265</v>
      </c>
      <c r="B12" t="s">
        <v>192</v>
      </c>
      <c r="D12" t="s">
        <v>197</v>
      </c>
      <c r="F12" t="s">
        <v>196</v>
      </c>
    </row>
    <row r="13" spans="1:6" x14ac:dyDescent="0.35">
      <c r="A13" s="3">
        <v>43269</v>
      </c>
      <c r="B13" t="s">
        <v>198</v>
      </c>
      <c r="D13" t="s">
        <v>197</v>
      </c>
      <c r="E13">
        <f>58*700</f>
        <v>40600</v>
      </c>
      <c r="F13" t="s">
        <v>199</v>
      </c>
    </row>
    <row r="14" spans="1:6" x14ac:dyDescent="0.35">
      <c r="A14" s="3">
        <v>43269</v>
      </c>
      <c r="B14" t="s">
        <v>198</v>
      </c>
      <c r="D14" t="s">
        <v>197</v>
      </c>
      <c r="E14">
        <f>650*45</f>
        <v>29250</v>
      </c>
      <c r="F14" t="s">
        <v>200</v>
      </c>
    </row>
    <row r="15" spans="1:6" x14ac:dyDescent="0.35">
      <c r="A15" s="3">
        <v>43333</v>
      </c>
      <c r="B15" t="s">
        <v>201</v>
      </c>
      <c r="D15" t="s">
        <v>165</v>
      </c>
      <c r="F15" t="s">
        <v>202</v>
      </c>
    </row>
    <row r="16" spans="1:6" x14ac:dyDescent="0.35">
      <c r="A16" s="3">
        <v>43336</v>
      </c>
      <c r="B16" t="s">
        <v>192</v>
      </c>
      <c r="D16" t="s">
        <v>197</v>
      </c>
      <c r="F16" t="s">
        <v>203</v>
      </c>
    </row>
    <row r="17" spans="1:9" x14ac:dyDescent="0.35">
      <c r="A17" s="3">
        <v>43340</v>
      </c>
      <c r="B17" t="s">
        <v>198</v>
      </c>
      <c r="D17" t="s">
        <v>197</v>
      </c>
      <c r="E17">
        <f>1100*55</f>
        <v>60500</v>
      </c>
      <c r="F17" t="s">
        <v>204</v>
      </c>
    </row>
    <row r="18" spans="1:9" x14ac:dyDescent="0.35">
      <c r="A18" s="35">
        <v>43397</v>
      </c>
      <c r="B18" t="s">
        <v>205</v>
      </c>
      <c r="C18" s="22" t="s">
        <v>245</v>
      </c>
      <c r="D18" t="s">
        <v>140</v>
      </c>
      <c r="E18">
        <f>((700*0.03)*26*20)</f>
        <v>10920</v>
      </c>
      <c r="F18" t="s">
        <v>206</v>
      </c>
    </row>
    <row r="20" spans="1:9" x14ac:dyDescent="0.35">
      <c r="D20" s="40" t="s">
        <v>250</v>
      </c>
      <c r="E20">
        <f>SUM(E17,E14,E13,E11)</f>
        <v>152750</v>
      </c>
      <c r="F20" t="s">
        <v>255</v>
      </c>
      <c r="G20">
        <f>E20/2000</f>
        <v>76.375</v>
      </c>
      <c r="H20" t="s">
        <v>258</v>
      </c>
    </row>
    <row r="21" spans="1:9" x14ac:dyDescent="0.35">
      <c r="D21" s="40" t="s">
        <v>259</v>
      </c>
      <c r="E21">
        <f>SUM(E7,E9,E18)</f>
        <v>44850</v>
      </c>
      <c r="F21" t="s">
        <v>255</v>
      </c>
      <c r="G21">
        <f t="shared" ref="G21:G22" si="0">E21/2000</f>
        <v>22.425000000000001</v>
      </c>
      <c r="H21" t="s">
        <v>258</v>
      </c>
    </row>
    <row r="22" spans="1:9" x14ac:dyDescent="0.35">
      <c r="D22" s="40" t="s">
        <v>252</v>
      </c>
      <c r="E22">
        <f>E21+E20</f>
        <v>197600</v>
      </c>
      <c r="F22" t="s">
        <v>255</v>
      </c>
      <c r="G22">
        <f t="shared" si="0"/>
        <v>98.8</v>
      </c>
      <c r="H22" t="s">
        <v>258</v>
      </c>
    </row>
    <row r="24" spans="1:9" s="25" customFormat="1" x14ac:dyDescent="0.35"/>
    <row r="25" spans="1:9" ht="21" x14ac:dyDescent="0.5">
      <c r="A25" s="24">
        <v>2019</v>
      </c>
    </row>
    <row r="26" spans="1:9" x14ac:dyDescent="0.35">
      <c r="C26" s="21" t="s">
        <v>123</v>
      </c>
      <c r="F26" s="21" t="s">
        <v>124</v>
      </c>
    </row>
    <row r="28" spans="1:9" x14ac:dyDescent="0.35">
      <c r="B28" s="21" t="s">
        <v>0</v>
      </c>
      <c r="C28" s="21" t="s">
        <v>1</v>
      </c>
      <c r="D28" s="21"/>
      <c r="E28" s="21" t="s">
        <v>125</v>
      </c>
      <c r="F28" s="21" t="s">
        <v>10</v>
      </c>
      <c r="G28" s="21" t="s">
        <v>95</v>
      </c>
      <c r="H28" s="21" t="s">
        <v>36</v>
      </c>
      <c r="I28" s="21" t="s">
        <v>2</v>
      </c>
    </row>
    <row r="29" spans="1:9" x14ac:dyDescent="0.35">
      <c r="B29" s="21"/>
      <c r="C29" s="21"/>
      <c r="D29" s="21"/>
      <c r="E29" s="21"/>
      <c r="F29" s="21"/>
      <c r="G29" s="21"/>
    </row>
    <row r="31" spans="1:9" x14ac:dyDescent="0.35">
      <c r="B31" s="3" t="s">
        <v>126</v>
      </c>
      <c r="C31" s="21" t="s">
        <v>127</v>
      </c>
      <c r="E31" t="s">
        <v>128</v>
      </c>
      <c r="G31" t="s">
        <v>129</v>
      </c>
      <c r="H31">
        <f>(600*0.03)*40*14</f>
        <v>10080</v>
      </c>
      <c r="I31" t="s">
        <v>249</v>
      </c>
    </row>
    <row r="32" spans="1:9" x14ac:dyDescent="0.35">
      <c r="B32" s="3" t="s">
        <v>130</v>
      </c>
      <c r="C32" s="21" t="s">
        <v>127</v>
      </c>
      <c r="E32" t="s">
        <v>128</v>
      </c>
      <c r="G32" t="s">
        <v>131</v>
      </c>
      <c r="H32">
        <f>(600*0.03)*40*5</f>
        <v>3600</v>
      </c>
    </row>
    <row r="33" spans="2:9" x14ac:dyDescent="0.35">
      <c r="B33" s="3" t="s">
        <v>132</v>
      </c>
      <c r="C33" s="21" t="s">
        <v>127</v>
      </c>
      <c r="E33" t="s">
        <v>128</v>
      </c>
      <c r="G33" t="s">
        <v>131</v>
      </c>
      <c r="H33">
        <f>(600*0.03)*40*12</f>
        <v>8640</v>
      </c>
    </row>
    <row r="34" spans="2:9" x14ac:dyDescent="0.35">
      <c r="B34" s="3" t="s">
        <v>133</v>
      </c>
      <c r="C34" s="21" t="s">
        <v>127</v>
      </c>
      <c r="E34" t="s">
        <v>128</v>
      </c>
      <c r="G34" t="s">
        <v>129</v>
      </c>
      <c r="H34">
        <f>(600*0.03)*40*16</f>
        <v>11520</v>
      </c>
    </row>
    <row r="35" spans="2:9" x14ac:dyDescent="0.35">
      <c r="B35" s="3" t="s">
        <v>134</v>
      </c>
      <c r="C35" s="21" t="s">
        <v>127</v>
      </c>
      <c r="E35" t="s">
        <v>128</v>
      </c>
      <c r="G35" t="s">
        <v>131</v>
      </c>
      <c r="H35">
        <f>(600*0.03)*40*5</f>
        <v>3600</v>
      </c>
    </row>
    <row r="36" spans="2:9" x14ac:dyDescent="0.35">
      <c r="B36" s="3" t="s">
        <v>135</v>
      </c>
      <c r="C36" s="21" t="s">
        <v>127</v>
      </c>
      <c r="E36" t="s">
        <v>128</v>
      </c>
      <c r="G36" t="s">
        <v>129</v>
      </c>
      <c r="H36">
        <f>(600*0.03)*40*14</f>
        <v>10080</v>
      </c>
    </row>
    <row r="37" spans="2:9" x14ac:dyDescent="0.35">
      <c r="B37" s="3" t="s">
        <v>136</v>
      </c>
      <c r="C37" s="21" t="s">
        <v>127</v>
      </c>
      <c r="E37" t="s">
        <v>128</v>
      </c>
      <c r="G37" t="s">
        <v>131</v>
      </c>
      <c r="H37">
        <f>(600*0.03)*40*7</f>
        <v>5040</v>
      </c>
    </row>
    <row r="38" spans="2:9" x14ac:dyDescent="0.35">
      <c r="B38" s="3" t="s">
        <v>137</v>
      </c>
      <c r="C38" s="21" t="s">
        <v>127</v>
      </c>
      <c r="E38" t="s">
        <v>128</v>
      </c>
      <c r="G38" t="s">
        <v>138</v>
      </c>
      <c r="H38">
        <f>(600*0.03)*40*15</f>
        <v>10800</v>
      </c>
    </row>
    <row r="39" spans="2:9" x14ac:dyDescent="0.35">
      <c r="B39" s="3" t="s">
        <v>139</v>
      </c>
      <c r="C39" s="21" t="s">
        <v>127</v>
      </c>
      <c r="E39" t="s">
        <v>253</v>
      </c>
      <c r="G39" t="s">
        <v>140</v>
      </c>
      <c r="H39">
        <f>(1250*0.03)*30*11</f>
        <v>12375</v>
      </c>
    </row>
    <row r="40" spans="2:9" x14ac:dyDescent="0.35">
      <c r="B40" s="3" t="s">
        <v>141</v>
      </c>
      <c r="C40" s="21" t="s">
        <v>127</v>
      </c>
      <c r="E40" t="s">
        <v>254</v>
      </c>
      <c r="G40" t="s">
        <v>142</v>
      </c>
      <c r="H40">
        <f>(1250*0.03)*30*10</f>
        <v>11250</v>
      </c>
      <c r="I40" t="s">
        <v>143</v>
      </c>
    </row>
    <row r="41" spans="2:9" x14ac:dyDescent="0.35">
      <c r="B41" s="3" t="s">
        <v>144</v>
      </c>
      <c r="C41" s="21" t="s">
        <v>127</v>
      </c>
      <c r="E41" t="s">
        <v>128</v>
      </c>
      <c r="G41" t="s">
        <v>142</v>
      </c>
      <c r="H41">
        <f>(600*0.03)*40*19</f>
        <v>13680</v>
      </c>
    </row>
    <row r="42" spans="2:9" x14ac:dyDescent="0.35">
      <c r="B42" s="3">
        <v>43616</v>
      </c>
      <c r="C42" t="s">
        <v>145</v>
      </c>
      <c r="E42" t="s">
        <v>146</v>
      </c>
      <c r="G42" t="s">
        <v>140</v>
      </c>
    </row>
    <row r="43" spans="2:9" x14ac:dyDescent="0.35">
      <c r="B43" s="3">
        <v>43617</v>
      </c>
      <c r="C43" t="s">
        <v>147</v>
      </c>
      <c r="E43" t="s">
        <v>146</v>
      </c>
      <c r="G43" t="s">
        <v>140</v>
      </c>
      <c r="H43" s="22"/>
      <c r="I43" s="39" t="s">
        <v>257</v>
      </c>
    </row>
    <row r="44" spans="2:9" x14ac:dyDescent="0.35">
      <c r="B44" s="3">
        <v>43619</v>
      </c>
      <c r="C44" t="s">
        <v>145</v>
      </c>
      <c r="E44" t="s">
        <v>146</v>
      </c>
      <c r="G44" t="s">
        <v>140</v>
      </c>
    </row>
    <row r="45" spans="2:9" x14ac:dyDescent="0.35">
      <c r="B45" s="3">
        <v>43620</v>
      </c>
      <c r="C45" t="s">
        <v>147</v>
      </c>
      <c r="E45" t="s">
        <v>146</v>
      </c>
      <c r="G45" t="s">
        <v>140</v>
      </c>
      <c r="H45" s="22"/>
      <c r="I45" s="39" t="s">
        <v>257</v>
      </c>
    </row>
    <row r="46" spans="2:9" x14ac:dyDescent="0.35">
      <c r="B46" s="3">
        <v>43622</v>
      </c>
      <c r="C46" t="s">
        <v>145</v>
      </c>
      <c r="E46" t="s">
        <v>146</v>
      </c>
      <c r="G46" t="s">
        <v>140</v>
      </c>
    </row>
    <row r="47" spans="2:9" x14ac:dyDescent="0.35">
      <c r="B47" s="3">
        <v>43623</v>
      </c>
      <c r="C47" t="s">
        <v>147</v>
      </c>
      <c r="E47" t="s">
        <v>146</v>
      </c>
      <c r="G47" t="s">
        <v>140</v>
      </c>
      <c r="H47" s="22"/>
      <c r="I47" s="39" t="s">
        <v>257</v>
      </c>
    </row>
    <row r="48" spans="2:9" x14ac:dyDescent="0.35">
      <c r="B48" s="3">
        <v>43627</v>
      </c>
      <c r="C48" t="s">
        <v>145</v>
      </c>
      <c r="E48" t="s">
        <v>146</v>
      </c>
      <c r="G48" t="s">
        <v>148</v>
      </c>
    </row>
    <row r="49" spans="1:11" x14ac:dyDescent="0.35">
      <c r="B49" s="3">
        <v>43628</v>
      </c>
      <c r="C49" t="s">
        <v>147</v>
      </c>
      <c r="E49" t="s">
        <v>146</v>
      </c>
      <c r="G49" t="s">
        <v>148</v>
      </c>
      <c r="H49" s="22"/>
      <c r="I49" s="39" t="s">
        <v>257</v>
      </c>
    </row>
    <row r="50" spans="1:11" x14ac:dyDescent="0.35">
      <c r="B50" s="3">
        <v>43714</v>
      </c>
      <c r="C50" t="s">
        <v>149</v>
      </c>
      <c r="E50" t="s">
        <v>150</v>
      </c>
      <c r="G50" t="s">
        <v>151</v>
      </c>
    </row>
    <row r="51" spans="1:11" x14ac:dyDescent="0.35">
      <c r="B51" s="3">
        <v>43717</v>
      </c>
      <c r="C51" t="s">
        <v>149</v>
      </c>
      <c r="E51" t="s">
        <v>150</v>
      </c>
      <c r="G51" t="s">
        <v>152</v>
      </c>
    </row>
    <row r="52" spans="1:11" x14ac:dyDescent="0.35">
      <c r="B52" s="3">
        <v>43726</v>
      </c>
      <c r="C52" t="s">
        <v>145</v>
      </c>
      <c r="E52" t="s">
        <v>146</v>
      </c>
      <c r="G52" t="s">
        <v>153</v>
      </c>
    </row>
    <row r="53" spans="1:11" x14ac:dyDescent="0.35">
      <c r="B53" s="3">
        <v>43727</v>
      </c>
      <c r="C53" t="s">
        <v>154</v>
      </c>
      <c r="E53" t="s">
        <v>150</v>
      </c>
      <c r="G53" t="s">
        <v>153</v>
      </c>
    </row>
    <row r="54" spans="1:11" x14ac:dyDescent="0.35">
      <c r="B54" s="3">
        <v>43728</v>
      </c>
      <c r="C54" t="s">
        <v>155</v>
      </c>
      <c r="E54" t="s">
        <v>156</v>
      </c>
      <c r="G54" t="s">
        <v>153</v>
      </c>
      <c r="H54" s="22"/>
      <c r="I54" s="39" t="s">
        <v>257</v>
      </c>
    </row>
    <row r="55" spans="1:11" x14ac:dyDescent="0.35">
      <c r="B55" s="36" t="s">
        <v>157</v>
      </c>
      <c r="C55" s="37" t="s">
        <v>127</v>
      </c>
      <c r="D55" s="37"/>
      <c r="E55" s="37" t="s">
        <v>128</v>
      </c>
      <c r="F55" s="37"/>
      <c r="G55" s="37" t="s">
        <v>142</v>
      </c>
      <c r="H55" s="38"/>
      <c r="I55" t="s">
        <v>256</v>
      </c>
    </row>
    <row r="56" spans="1:11" x14ac:dyDescent="0.35">
      <c r="B56" t="s">
        <v>158</v>
      </c>
      <c r="C56" t="s">
        <v>159</v>
      </c>
      <c r="E56" t="s">
        <v>150</v>
      </c>
      <c r="G56" t="s">
        <v>160</v>
      </c>
    </row>
    <row r="57" spans="1:11" x14ac:dyDescent="0.35">
      <c r="B57" s="3">
        <v>43772</v>
      </c>
      <c r="C57" t="s">
        <v>161</v>
      </c>
      <c r="E57" t="s">
        <v>162</v>
      </c>
      <c r="G57" t="s">
        <v>131</v>
      </c>
    </row>
    <row r="58" spans="1:11" x14ac:dyDescent="0.35">
      <c r="B58" s="3"/>
    </row>
    <row r="59" spans="1:11" x14ac:dyDescent="0.35">
      <c r="B59" s="3"/>
      <c r="G59" s="40" t="s">
        <v>250</v>
      </c>
      <c r="H59">
        <f>SUM(H43,H45,H47,H49,H54)</f>
        <v>0</v>
      </c>
      <c r="I59" t="s">
        <v>255</v>
      </c>
      <c r="J59">
        <f>H59/2000</f>
        <v>0</v>
      </c>
      <c r="K59" t="s">
        <v>258</v>
      </c>
    </row>
    <row r="60" spans="1:11" x14ac:dyDescent="0.35">
      <c r="B60" s="3"/>
      <c r="G60" s="40" t="s">
        <v>259</v>
      </c>
      <c r="H60">
        <f>SUM(H31:H41)</f>
        <v>100665</v>
      </c>
      <c r="I60" t="s">
        <v>255</v>
      </c>
      <c r="J60">
        <f t="shared" ref="J60:J61" si="1">H60/2000</f>
        <v>50.332500000000003</v>
      </c>
      <c r="K60" t="s">
        <v>258</v>
      </c>
    </row>
    <row r="61" spans="1:11" x14ac:dyDescent="0.35">
      <c r="B61" s="3"/>
      <c r="G61" s="40" t="s">
        <v>252</v>
      </c>
      <c r="H61">
        <f>SUM(H59:H60)</f>
        <v>100665</v>
      </c>
      <c r="I61" t="s">
        <v>255</v>
      </c>
      <c r="J61">
        <f t="shared" si="1"/>
        <v>50.332500000000003</v>
      </c>
      <c r="K61" t="s">
        <v>258</v>
      </c>
    </row>
    <row r="62" spans="1:11" x14ac:dyDescent="0.35">
      <c r="B62" s="3"/>
      <c r="G62" s="40"/>
    </row>
    <row r="63" spans="1:11" s="25" customFormat="1" x14ac:dyDescent="0.35"/>
    <row r="64" spans="1:11" ht="21" x14ac:dyDescent="0.5">
      <c r="A64" s="24">
        <v>2020</v>
      </c>
    </row>
    <row r="65" spans="2:8" x14ac:dyDescent="0.35">
      <c r="C65" s="21" t="s">
        <v>163</v>
      </c>
    </row>
    <row r="66" spans="2:8" x14ac:dyDescent="0.35">
      <c r="C66" s="22" t="s">
        <v>164</v>
      </c>
      <c r="D66" s="22"/>
      <c r="F66" t="s">
        <v>333</v>
      </c>
    </row>
    <row r="68" spans="2:8" x14ac:dyDescent="0.35">
      <c r="B68" s="21" t="s">
        <v>0</v>
      </c>
      <c r="C68" s="21" t="s">
        <v>1</v>
      </c>
      <c r="D68" s="21"/>
      <c r="E68" s="21" t="s">
        <v>125</v>
      </c>
      <c r="F68" s="21" t="s">
        <v>10</v>
      </c>
      <c r="G68" s="21" t="s">
        <v>95</v>
      </c>
      <c r="H68" s="21" t="s">
        <v>36</v>
      </c>
    </row>
    <row r="69" spans="2:8" x14ac:dyDescent="0.35">
      <c r="B69" s="21"/>
      <c r="C69" s="21"/>
      <c r="D69" s="21"/>
      <c r="E69" s="21"/>
      <c r="F69" s="21"/>
      <c r="G69" s="21"/>
    </row>
    <row r="70" spans="2:8" x14ac:dyDescent="0.35">
      <c r="B70" s="3">
        <v>43929</v>
      </c>
      <c r="C70" t="s">
        <v>149</v>
      </c>
      <c r="E70" t="s">
        <v>150</v>
      </c>
      <c r="G70" t="s">
        <v>165</v>
      </c>
    </row>
    <row r="71" spans="2:8" x14ac:dyDescent="0.35">
      <c r="B71" s="3">
        <v>43930</v>
      </c>
      <c r="C71" t="s">
        <v>149</v>
      </c>
      <c r="E71" t="s">
        <v>150</v>
      </c>
      <c r="G71" t="s">
        <v>165</v>
      </c>
    </row>
    <row r="72" spans="2:8" x14ac:dyDescent="0.35">
      <c r="B72" s="3">
        <v>43912</v>
      </c>
      <c r="C72" t="s">
        <v>166</v>
      </c>
      <c r="E72" t="s">
        <v>167</v>
      </c>
      <c r="G72" t="s">
        <v>165</v>
      </c>
    </row>
    <row r="73" spans="2:8" x14ac:dyDescent="0.35">
      <c r="B73" s="3">
        <v>43913</v>
      </c>
      <c r="C73" t="s">
        <v>166</v>
      </c>
      <c r="E73" t="s">
        <v>167</v>
      </c>
      <c r="G73" t="s">
        <v>165</v>
      </c>
    </row>
    <row r="74" spans="2:8" x14ac:dyDescent="0.35">
      <c r="B74" s="3">
        <v>43971</v>
      </c>
      <c r="C74" t="s">
        <v>145</v>
      </c>
      <c r="E74" t="s">
        <v>150</v>
      </c>
      <c r="G74" t="s">
        <v>142</v>
      </c>
    </row>
    <row r="75" spans="2:8" x14ac:dyDescent="0.35">
      <c r="B75" s="3">
        <v>43972</v>
      </c>
      <c r="C75" t="s">
        <v>168</v>
      </c>
      <c r="E75" t="s">
        <v>146</v>
      </c>
      <c r="G75" t="s">
        <v>142</v>
      </c>
    </row>
    <row r="76" spans="2:8" x14ac:dyDescent="0.35">
      <c r="B76" s="3">
        <v>43972</v>
      </c>
      <c r="C76" t="s">
        <v>145</v>
      </c>
      <c r="E76" t="s">
        <v>150</v>
      </c>
      <c r="G76" t="s">
        <v>131</v>
      </c>
    </row>
    <row r="77" spans="2:8" x14ac:dyDescent="0.35">
      <c r="B77" s="3">
        <v>43973</v>
      </c>
      <c r="C77" t="s">
        <v>168</v>
      </c>
      <c r="E77" t="s">
        <v>156</v>
      </c>
      <c r="G77" t="s">
        <v>131</v>
      </c>
    </row>
    <row r="78" spans="2:8" x14ac:dyDescent="0.35">
      <c r="B78" s="3">
        <v>43975</v>
      </c>
      <c r="C78" t="s">
        <v>169</v>
      </c>
      <c r="E78" t="s">
        <v>150</v>
      </c>
      <c r="G78" t="s">
        <v>170</v>
      </c>
    </row>
    <row r="79" spans="2:8" x14ac:dyDescent="0.35">
      <c r="B79" s="3">
        <v>43976</v>
      </c>
      <c r="C79" t="s">
        <v>171</v>
      </c>
      <c r="E79" t="s">
        <v>156</v>
      </c>
      <c r="G79" t="s">
        <v>170</v>
      </c>
    </row>
    <row r="80" spans="2:8" x14ac:dyDescent="0.35">
      <c r="B80" s="3">
        <v>43977</v>
      </c>
      <c r="C80" t="s">
        <v>172</v>
      </c>
      <c r="E80" t="s">
        <v>167</v>
      </c>
      <c r="G80" t="s">
        <v>173</v>
      </c>
    </row>
    <row r="81" spans="2:11" x14ac:dyDescent="0.35">
      <c r="B81" s="3">
        <v>43977</v>
      </c>
      <c r="C81" t="s">
        <v>145</v>
      </c>
      <c r="E81" t="s">
        <v>150</v>
      </c>
      <c r="G81" t="s">
        <v>153</v>
      </c>
    </row>
    <row r="82" spans="2:11" x14ac:dyDescent="0.35">
      <c r="B82" s="3">
        <v>43978</v>
      </c>
      <c r="C82" t="s">
        <v>155</v>
      </c>
      <c r="E82" t="s">
        <v>146</v>
      </c>
      <c r="G82" t="s">
        <v>153</v>
      </c>
    </row>
    <row r="83" spans="2:11" x14ac:dyDescent="0.35">
      <c r="B83" s="3">
        <v>43980</v>
      </c>
      <c r="C83" t="s">
        <v>174</v>
      </c>
      <c r="E83" t="s">
        <v>150</v>
      </c>
      <c r="G83" t="s">
        <v>165</v>
      </c>
    </row>
    <row r="84" spans="2:11" x14ac:dyDescent="0.35">
      <c r="B84" s="3">
        <v>43981</v>
      </c>
      <c r="C84" t="s">
        <v>174</v>
      </c>
      <c r="E84" t="s">
        <v>150</v>
      </c>
      <c r="G84" t="s">
        <v>165</v>
      </c>
    </row>
    <row r="85" spans="2:11" x14ac:dyDescent="0.35">
      <c r="B85" s="3">
        <v>43982</v>
      </c>
      <c r="C85" t="s">
        <v>174</v>
      </c>
      <c r="E85" t="s">
        <v>150</v>
      </c>
      <c r="G85" t="s">
        <v>165</v>
      </c>
    </row>
    <row r="86" spans="2:11" x14ac:dyDescent="0.35">
      <c r="B86" s="3">
        <v>44026</v>
      </c>
      <c r="C86" t="s">
        <v>175</v>
      </c>
      <c r="E86" t="s">
        <v>150</v>
      </c>
      <c r="G86" t="s">
        <v>173</v>
      </c>
    </row>
    <row r="87" spans="2:11" x14ac:dyDescent="0.35">
      <c r="B87" s="3">
        <v>44028</v>
      </c>
      <c r="C87" t="s">
        <v>176</v>
      </c>
      <c r="E87" t="s">
        <v>177</v>
      </c>
      <c r="G87" t="s">
        <v>173</v>
      </c>
    </row>
    <row r="88" spans="2:11" x14ac:dyDescent="0.35">
      <c r="B88" s="3">
        <v>44037</v>
      </c>
      <c r="C88" t="s">
        <v>178</v>
      </c>
      <c r="E88" t="s">
        <v>150</v>
      </c>
      <c r="G88" t="s">
        <v>153</v>
      </c>
    </row>
    <row r="89" spans="2:11" x14ac:dyDescent="0.35">
      <c r="B89" s="3">
        <v>44038</v>
      </c>
      <c r="C89" t="s">
        <v>179</v>
      </c>
      <c r="E89" t="s">
        <v>177</v>
      </c>
      <c r="G89" t="s">
        <v>153</v>
      </c>
    </row>
    <row r="91" spans="2:11" x14ac:dyDescent="0.35">
      <c r="B91" s="21" t="s">
        <v>180</v>
      </c>
    </row>
    <row r="92" spans="2:11" x14ac:dyDescent="0.35">
      <c r="G92" s="40" t="s">
        <v>250</v>
      </c>
      <c r="H92">
        <v>72975</v>
      </c>
      <c r="I92" t="s">
        <v>255</v>
      </c>
      <c r="J92">
        <f>H92/2000</f>
        <v>36.487499999999997</v>
      </c>
      <c r="K92" t="s">
        <v>260</v>
      </c>
    </row>
    <row r="93" spans="2:11" x14ac:dyDescent="0.35">
      <c r="G93" s="40" t="s">
        <v>259</v>
      </c>
      <c r="H93">
        <v>0</v>
      </c>
      <c r="I93" t="s">
        <v>255</v>
      </c>
      <c r="J93">
        <f t="shared" ref="J93:J99" si="2">H93/2000</f>
        <v>0</v>
      </c>
      <c r="K93" t="s">
        <v>260</v>
      </c>
    </row>
    <row r="94" spans="2:11" x14ac:dyDescent="0.35">
      <c r="G94" s="40" t="s">
        <v>252</v>
      </c>
      <c r="H94">
        <f>SUM(H92:H93)</f>
        <v>72975</v>
      </c>
      <c r="I94" t="s">
        <v>255</v>
      </c>
      <c r="J94">
        <f t="shared" si="2"/>
        <v>36.487499999999997</v>
      </c>
      <c r="K94" t="s">
        <v>260</v>
      </c>
    </row>
    <row r="95" spans="2:11" x14ac:dyDescent="0.35">
      <c r="G95" s="40" t="s">
        <v>261</v>
      </c>
    </row>
    <row r="96" spans="2:11" x14ac:dyDescent="0.35">
      <c r="G96" s="40" t="s">
        <v>262</v>
      </c>
      <c r="H96">
        <f>'Hay Yields by Subfield (EF03)'!F7</f>
        <v>26175</v>
      </c>
      <c r="I96" t="s">
        <v>255</v>
      </c>
      <c r="J96">
        <f t="shared" si="2"/>
        <v>13.0875</v>
      </c>
      <c r="K96" t="s">
        <v>260</v>
      </c>
    </row>
    <row r="97" spans="5:13" x14ac:dyDescent="0.35">
      <c r="G97" s="40" t="s">
        <v>263</v>
      </c>
      <c r="H97">
        <f>'Hay Yields by Subfield (EF03)'!F10</f>
        <v>22500</v>
      </c>
      <c r="I97" t="s">
        <v>255</v>
      </c>
      <c r="J97">
        <f t="shared" si="2"/>
        <v>11.25</v>
      </c>
      <c r="K97" t="s">
        <v>260</v>
      </c>
    </row>
    <row r="98" spans="5:13" x14ac:dyDescent="0.35">
      <c r="G98" s="40" t="s">
        <v>264</v>
      </c>
      <c r="H98">
        <f>'Hay Yields by Subfield (EF03)'!F12</f>
        <v>14175</v>
      </c>
      <c r="I98" t="s">
        <v>255</v>
      </c>
      <c r="J98">
        <f t="shared" si="2"/>
        <v>7.0875000000000004</v>
      </c>
      <c r="K98" t="s">
        <v>260</v>
      </c>
    </row>
    <row r="99" spans="5:13" x14ac:dyDescent="0.35">
      <c r="G99" s="40" t="s">
        <v>265</v>
      </c>
      <c r="H99">
        <f>'Hay Yields by Subfield (EF03)'!F16</f>
        <v>10125</v>
      </c>
      <c r="I99" t="s">
        <v>255</v>
      </c>
      <c r="J99">
        <f t="shared" si="2"/>
        <v>5.0625</v>
      </c>
      <c r="K99" t="s">
        <v>260</v>
      </c>
    </row>
    <row r="101" spans="5:13" s="25" customFormat="1" x14ac:dyDescent="0.35"/>
    <row r="102" spans="5:13" ht="21" x14ac:dyDescent="0.5">
      <c r="E102" s="24">
        <v>2021</v>
      </c>
      <c r="G102" s="40" t="s">
        <v>333</v>
      </c>
    </row>
    <row r="103" spans="5:13" x14ac:dyDescent="0.35">
      <c r="G103" s="40" t="s">
        <v>250</v>
      </c>
      <c r="H103">
        <v>215100</v>
      </c>
      <c r="I103" t="s">
        <v>255</v>
      </c>
      <c r="J103">
        <f>H103/2000</f>
        <v>107.55</v>
      </c>
      <c r="K103" t="s">
        <v>260</v>
      </c>
    </row>
    <row r="104" spans="5:13" x14ac:dyDescent="0.35">
      <c r="G104" s="40" t="s">
        <v>259</v>
      </c>
      <c r="H104">
        <v>0</v>
      </c>
      <c r="I104" t="s">
        <v>255</v>
      </c>
      <c r="J104">
        <f t="shared" ref="J104:J110" si="3">H104/2000</f>
        <v>0</v>
      </c>
      <c r="K104" t="s">
        <v>260</v>
      </c>
    </row>
    <row r="105" spans="5:13" x14ac:dyDescent="0.35">
      <c r="G105" s="40" t="s">
        <v>252</v>
      </c>
      <c r="H105">
        <f>SUM(H103:H104)</f>
        <v>215100</v>
      </c>
      <c r="I105" t="s">
        <v>255</v>
      </c>
      <c r="J105">
        <f t="shared" si="3"/>
        <v>107.55</v>
      </c>
      <c r="K105" t="s">
        <v>260</v>
      </c>
    </row>
    <row r="106" spans="5:13" x14ac:dyDescent="0.35">
      <c r="G106" s="40" t="s">
        <v>261</v>
      </c>
    </row>
    <row r="107" spans="5:13" x14ac:dyDescent="0.35">
      <c r="G107" s="40" t="s">
        <v>262</v>
      </c>
      <c r="H107">
        <f>'Hay Yields by Subfield (EF03)'!H7</f>
        <v>58950</v>
      </c>
      <c r="I107" t="s">
        <v>255</v>
      </c>
      <c r="J107">
        <f t="shared" si="3"/>
        <v>29.475000000000001</v>
      </c>
      <c r="K107" t="s">
        <v>260</v>
      </c>
      <c r="M107" t="s">
        <v>331</v>
      </c>
    </row>
    <row r="108" spans="5:13" x14ac:dyDescent="0.35">
      <c r="G108" s="40" t="s">
        <v>263</v>
      </c>
      <c r="H108">
        <f>'Hay Yields by Subfield (EF03)'!H10</f>
        <v>93300</v>
      </c>
      <c r="I108" t="s">
        <v>255</v>
      </c>
      <c r="J108">
        <f t="shared" si="3"/>
        <v>46.65</v>
      </c>
      <c r="K108" t="s">
        <v>260</v>
      </c>
    </row>
    <row r="109" spans="5:13" x14ac:dyDescent="0.35">
      <c r="G109" s="40" t="s">
        <v>264</v>
      </c>
      <c r="H109">
        <f>'Hay Yields by Subfield (EF03)'!H12</f>
        <v>49350</v>
      </c>
      <c r="I109" t="s">
        <v>255</v>
      </c>
      <c r="J109">
        <f t="shared" si="3"/>
        <v>24.675000000000001</v>
      </c>
      <c r="K109" t="s">
        <v>260</v>
      </c>
    </row>
    <row r="110" spans="5:13" x14ac:dyDescent="0.35">
      <c r="G110" s="40" t="s">
        <v>265</v>
      </c>
      <c r="H110">
        <f>'Hay Yields by Subfield (EF03)'!H16</f>
        <v>13500</v>
      </c>
      <c r="I110" t="s">
        <v>255</v>
      </c>
      <c r="J110">
        <f t="shared" si="3"/>
        <v>6.75</v>
      </c>
      <c r="K110" t="s">
        <v>260</v>
      </c>
    </row>
    <row r="112" spans="5:13" s="25" customFormat="1" x14ac:dyDescent="0.35"/>
    <row r="113" spans="5:11" ht="21" x14ac:dyDescent="0.5">
      <c r="E113" s="24">
        <v>2022</v>
      </c>
    </row>
    <row r="114" spans="5:11" x14ac:dyDescent="0.35">
      <c r="G114" s="40" t="s">
        <v>250</v>
      </c>
      <c r="H114">
        <v>109680</v>
      </c>
      <c r="I114" t="s">
        <v>255</v>
      </c>
      <c r="J114">
        <f>H114/2000</f>
        <v>54.84</v>
      </c>
      <c r="K114" t="s">
        <v>260</v>
      </c>
    </row>
    <row r="115" spans="5:11" x14ac:dyDescent="0.35">
      <c r="G115" s="40" t="s">
        <v>251</v>
      </c>
      <c r="H115">
        <v>0</v>
      </c>
      <c r="I115" t="s">
        <v>255</v>
      </c>
      <c r="J115">
        <f t="shared" ref="J115:J121" si="4">H115/2000</f>
        <v>0</v>
      </c>
      <c r="K115" t="s">
        <v>260</v>
      </c>
    </row>
    <row r="116" spans="5:11" x14ac:dyDescent="0.35">
      <c r="G116" s="40" t="s">
        <v>252</v>
      </c>
      <c r="H116">
        <f>SUM(H114:H115)</f>
        <v>109680</v>
      </c>
      <c r="I116" t="s">
        <v>255</v>
      </c>
      <c r="J116">
        <f t="shared" si="4"/>
        <v>54.84</v>
      </c>
      <c r="K116" t="s">
        <v>260</v>
      </c>
    </row>
    <row r="117" spans="5:11" x14ac:dyDescent="0.35">
      <c r="G117" s="40" t="s">
        <v>261</v>
      </c>
    </row>
    <row r="118" spans="5:11" x14ac:dyDescent="0.35">
      <c r="G118" s="40" t="s">
        <v>262</v>
      </c>
      <c r="H118">
        <f>'Hay Yields by Subfield (EF03)'!J7</f>
        <v>35325</v>
      </c>
      <c r="I118" t="s">
        <v>255</v>
      </c>
      <c r="J118">
        <f t="shared" si="4"/>
        <v>17.662500000000001</v>
      </c>
      <c r="K118" t="s">
        <v>260</v>
      </c>
    </row>
    <row r="119" spans="5:11" x14ac:dyDescent="0.35">
      <c r="G119" s="40" t="s">
        <v>263</v>
      </c>
      <c r="H119">
        <f>'Hay Yields by Subfield (EF03)'!J10</f>
        <v>34605</v>
      </c>
      <c r="I119" t="s">
        <v>255</v>
      </c>
      <c r="J119">
        <f t="shared" si="4"/>
        <v>17.302499999999998</v>
      </c>
      <c r="K119" t="s">
        <v>260</v>
      </c>
    </row>
    <row r="120" spans="5:11" x14ac:dyDescent="0.35">
      <c r="G120" s="40" t="s">
        <v>264</v>
      </c>
      <c r="H120">
        <f>'Hay Yields by Subfield (EF03)'!L13</f>
        <v>50625</v>
      </c>
      <c r="I120" t="s">
        <v>255</v>
      </c>
      <c r="J120">
        <f t="shared" si="4"/>
        <v>25.3125</v>
      </c>
      <c r="K120" t="s">
        <v>260</v>
      </c>
    </row>
    <row r="121" spans="5:11" x14ac:dyDescent="0.35">
      <c r="G121" s="40" t="s">
        <v>265</v>
      </c>
      <c r="H121">
        <f>'Hay Yields by Subfield (EF03)'!L16</f>
        <v>27225</v>
      </c>
      <c r="I121" t="s">
        <v>255</v>
      </c>
      <c r="J121">
        <f t="shared" si="4"/>
        <v>13.612500000000001</v>
      </c>
      <c r="K121" t="s">
        <v>260</v>
      </c>
    </row>
    <row r="123" spans="5:11" s="25" customFormat="1" x14ac:dyDescent="0.35"/>
    <row r="124" spans="5:11" ht="21" x14ac:dyDescent="0.5">
      <c r="E124" s="24"/>
    </row>
  </sheetData>
  <phoneticPr fontId="1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8703-A903-7D4C-BAA9-893B75F2BD5D}">
  <dimension ref="A1:S50"/>
  <sheetViews>
    <sheetView workbookViewId="0">
      <selection activeCell="G38" sqref="G38"/>
    </sheetView>
  </sheetViews>
  <sheetFormatPr defaultColWidth="10.6640625" defaultRowHeight="15.5" x14ac:dyDescent="0.35"/>
  <cols>
    <col min="1" max="1" width="27" customWidth="1"/>
    <col min="10" max="10" width="11.6640625" bestFit="1" customWidth="1"/>
  </cols>
  <sheetData>
    <row r="1" spans="1:19" ht="18.5" x14ac:dyDescent="0.45">
      <c r="A1" s="41" t="s">
        <v>266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9" ht="18.5" x14ac:dyDescent="0.4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9" ht="18.5" x14ac:dyDescent="0.45">
      <c r="A3" s="41"/>
      <c r="B3" s="42">
        <v>2018</v>
      </c>
      <c r="C3" s="41"/>
      <c r="D3" s="42">
        <v>2019</v>
      </c>
      <c r="E3" s="41"/>
      <c r="F3" s="42">
        <v>2020</v>
      </c>
      <c r="G3" s="41"/>
      <c r="H3" s="42">
        <v>2021</v>
      </c>
      <c r="I3" s="41"/>
      <c r="J3" s="42">
        <v>2022</v>
      </c>
      <c r="K3" s="41"/>
      <c r="L3" s="42">
        <v>2023</v>
      </c>
      <c r="M3" s="41"/>
      <c r="N3" s="42">
        <v>2024</v>
      </c>
      <c r="O3" s="41" t="s">
        <v>267</v>
      </c>
      <c r="P3" s="41"/>
    </row>
    <row r="4" spans="1:19" ht="18.5" x14ac:dyDescent="0.45">
      <c r="A4" s="41"/>
      <c r="B4" s="42"/>
      <c r="C4" s="41"/>
      <c r="D4" s="42"/>
      <c r="E4" s="41"/>
      <c r="F4" s="42"/>
      <c r="G4" s="41"/>
      <c r="H4" s="42"/>
      <c r="I4" s="41"/>
      <c r="J4" s="42"/>
      <c r="K4" s="41"/>
      <c r="L4" s="42"/>
      <c r="M4" s="41"/>
      <c r="N4" s="42"/>
      <c r="O4" s="41"/>
      <c r="P4" s="41"/>
    </row>
    <row r="5" spans="1:19" ht="18.5" x14ac:dyDescent="0.45">
      <c r="A5" s="41" t="s">
        <v>268</v>
      </c>
      <c r="B5" s="42" t="s">
        <v>269</v>
      </c>
      <c r="C5" s="41"/>
      <c r="D5" s="42" t="s">
        <v>270</v>
      </c>
      <c r="E5" s="41"/>
      <c r="F5" s="43" t="s">
        <v>271</v>
      </c>
      <c r="G5" s="41"/>
      <c r="H5" s="43" t="s">
        <v>272</v>
      </c>
      <c r="I5" s="41"/>
      <c r="J5" s="43" t="s">
        <v>273</v>
      </c>
      <c r="K5" s="41"/>
      <c r="L5" s="43" t="s">
        <v>274</v>
      </c>
      <c r="M5" s="41"/>
      <c r="N5" s="42" t="s">
        <v>275</v>
      </c>
      <c r="O5" s="41"/>
      <c r="P5" s="41"/>
    </row>
    <row r="6" spans="1:19" ht="18.5" x14ac:dyDescent="0.45">
      <c r="A6" s="41"/>
      <c r="B6" s="42" t="s">
        <v>276</v>
      </c>
      <c r="C6" s="41"/>
      <c r="D6" s="42" t="s">
        <v>277</v>
      </c>
      <c r="E6" s="41"/>
      <c r="F6" s="42" t="s">
        <v>278</v>
      </c>
      <c r="G6" s="41"/>
      <c r="H6" s="42" t="s">
        <v>279</v>
      </c>
      <c r="I6" s="41"/>
      <c r="J6" s="42" t="s">
        <v>279</v>
      </c>
      <c r="K6" s="41"/>
      <c r="L6" s="42" t="s">
        <v>280</v>
      </c>
      <c r="M6" s="41"/>
      <c r="N6" s="42" t="s">
        <v>281</v>
      </c>
      <c r="O6" s="41"/>
      <c r="P6" s="41"/>
    </row>
    <row r="7" spans="1:19" ht="18.5" x14ac:dyDescent="0.45">
      <c r="A7" s="41"/>
      <c r="B7" s="42" t="s">
        <v>282</v>
      </c>
      <c r="C7" s="41"/>
      <c r="D7" s="42" t="s">
        <v>283</v>
      </c>
      <c r="E7" s="41"/>
      <c r="F7" s="42">
        <f>(31*525)+(220*45)</f>
        <v>26175</v>
      </c>
      <c r="G7" s="41" t="s">
        <v>284</v>
      </c>
      <c r="H7" s="42">
        <f>(66*B27)+(540*B28)</f>
        <v>58950</v>
      </c>
      <c r="I7" s="41" t="s">
        <v>284</v>
      </c>
      <c r="J7" s="42">
        <f>(21*B27)+(540*B28)</f>
        <v>35325</v>
      </c>
      <c r="K7" s="41" t="s">
        <v>284</v>
      </c>
      <c r="L7" s="44">
        <f>(67*B27)+(150*B28)</f>
        <v>41925</v>
      </c>
      <c r="M7" s="41" t="s">
        <v>284</v>
      </c>
      <c r="N7" s="42">
        <f>(51*B27)+(350*B28)</f>
        <v>42525</v>
      </c>
      <c r="O7" s="41" t="s">
        <v>284</v>
      </c>
      <c r="P7" s="41"/>
    </row>
    <row r="8" spans="1:19" ht="18.5" x14ac:dyDescent="0.45">
      <c r="A8" s="41" t="s">
        <v>285</v>
      </c>
      <c r="B8" s="42" t="s">
        <v>286</v>
      </c>
      <c r="C8" s="41"/>
      <c r="D8" s="42" t="s">
        <v>287</v>
      </c>
      <c r="E8" s="41"/>
      <c r="F8" s="43" t="s">
        <v>288</v>
      </c>
      <c r="G8" s="41"/>
      <c r="H8" s="43" t="s">
        <v>289</v>
      </c>
      <c r="I8" s="41"/>
      <c r="J8" s="43" t="s">
        <v>273</v>
      </c>
      <c r="K8" s="41"/>
      <c r="L8" s="43" t="s">
        <v>274</v>
      </c>
      <c r="M8" s="41"/>
      <c r="N8" s="42" t="s">
        <v>290</v>
      </c>
      <c r="O8" s="41"/>
      <c r="P8" s="41"/>
    </row>
    <row r="9" spans="1:19" ht="18.5" x14ac:dyDescent="0.45">
      <c r="A9" s="41"/>
      <c r="B9" s="42" t="s">
        <v>291</v>
      </c>
      <c r="C9" s="41"/>
      <c r="D9" s="42" t="s">
        <v>292</v>
      </c>
      <c r="E9" s="41"/>
      <c r="F9" s="42" t="s">
        <v>278</v>
      </c>
      <c r="G9" s="41"/>
      <c r="H9" s="42" t="s">
        <v>293</v>
      </c>
      <c r="I9" s="41"/>
      <c r="J9" s="42" t="s">
        <v>294</v>
      </c>
      <c r="K9" s="41"/>
      <c r="L9" s="42" t="s">
        <v>280</v>
      </c>
      <c r="M9" s="41"/>
      <c r="N9" s="42" t="s">
        <v>295</v>
      </c>
      <c r="O9" s="41"/>
      <c r="P9" s="41"/>
    </row>
    <row r="10" spans="1:19" ht="18.5" x14ac:dyDescent="0.45">
      <c r="A10" s="41"/>
      <c r="B10" s="42"/>
      <c r="C10" s="41"/>
      <c r="D10" s="42" t="s">
        <v>296</v>
      </c>
      <c r="E10" s="41"/>
      <c r="F10" s="42">
        <f>(24*525)+(220*45)</f>
        <v>22500</v>
      </c>
      <c r="G10" s="41" t="s">
        <v>284</v>
      </c>
      <c r="H10" s="42">
        <f>(20*B27)+(1840*B28)</f>
        <v>93300</v>
      </c>
      <c r="I10" s="41" t="s">
        <v>284</v>
      </c>
      <c r="J10" s="42">
        <f>(21*B27)+(524*B28)</f>
        <v>34605</v>
      </c>
      <c r="K10" s="41" t="s">
        <v>284</v>
      </c>
      <c r="L10" s="42">
        <f>(67*B27)+(150*B28)</f>
        <v>41925</v>
      </c>
      <c r="M10" s="41" t="s">
        <v>284</v>
      </c>
      <c r="N10" s="42">
        <f>(60*B27)+(210*B28)</f>
        <v>40950</v>
      </c>
      <c r="O10" s="41" t="s">
        <v>284</v>
      </c>
      <c r="P10" s="41"/>
      <c r="S10" s="45"/>
    </row>
    <row r="11" spans="1:19" ht="18.5" x14ac:dyDescent="0.45">
      <c r="A11" s="41" t="s">
        <v>297</v>
      </c>
      <c r="B11" s="43" t="s">
        <v>298</v>
      </c>
      <c r="C11" s="41"/>
      <c r="D11" s="42"/>
      <c r="E11" s="41"/>
      <c r="F11" s="43" t="s">
        <v>299</v>
      </c>
      <c r="G11" s="41"/>
      <c r="H11" s="43" t="s">
        <v>300</v>
      </c>
      <c r="I11" s="41"/>
      <c r="J11" s="43" t="s">
        <v>301</v>
      </c>
      <c r="K11" s="41"/>
      <c r="L11" s="43" t="s">
        <v>302</v>
      </c>
      <c r="M11" s="41"/>
      <c r="N11" s="42" t="s">
        <v>303</v>
      </c>
      <c r="O11" s="41"/>
      <c r="P11" s="41"/>
    </row>
    <row r="12" spans="1:19" ht="18.5" x14ac:dyDescent="0.45">
      <c r="A12" s="41"/>
      <c r="B12" s="42" t="s">
        <v>304</v>
      </c>
      <c r="C12" s="41"/>
      <c r="D12" s="42" t="s">
        <v>305</v>
      </c>
      <c r="E12" s="41"/>
      <c r="F12" s="42">
        <f>27*B27</f>
        <v>14175</v>
      </c>
      <c r="G12" s="41" t="s">
        <v>284</v>
      </c>
      <c r="H12" s="42">
        <f>94*B27</f>
        <v>49350</v>
      </c>
      <c r="I12" s="41" t="s">
        <v>284</v>
      </c>
      <c r="J12" s="42">
        <f>55*B27</f>
        <v>28875</v>
      </c>
      <c r="K12" s="41" t="s">
        <v>284</v>
      </c>
      <c r="L12" s="42" t="s">
        <v>306</v>
      </c>
      <c r="M12" s="41"/>
      <c r="N12" s="42" t="s">
        <v>307</v>
      </c>
      <c r="O12" s="41"/>
      <c r="P12" s="41"/>
    </row>
    <row r="13" spans="1:19" ht="18.5" x14ac:dyDescent="0.45">
      <c r="A13" s="41"/>
      <c r="B13" s="42">
        <f>(61*525)+(1300*45)</f>
        <v>90525</v>
      </c>
      <c r="C13" s="41" t="s">
        <v>284</v>
      </c>
      <c r="D13" s="42" t="s">
        <v>308</v>
      </c>
      <c r="E13" s="41"/>
      <c r="F13" s="42"/>
      <c r="G13" s="41"/>
      <c r="H13" s="42"/>
      <c r="I13" s="41"/>
      <c r="J13" s="42"/>
      <c r="K13" s="41"/>
      <c r="L13" s="42">
        <f>(45*B27)+(600*B28)</f>
        <v>50625</v>
      </c>
      <c r="M13" s="41" t="s">
        <v>284</v>
      </c>
      <c r="N13" s="42">
        <f>(35*B27)+(610*B28)</f>
        <v>45825</v>
      </c>
      <c r="O13" s="41" t="s">
        <v>284</v>
      </c>
      <c r="P13" s="41"/>
    </row>
    <row r="14" spans="1:19" ht="18.5" x14ac:dyDescent="0.45">
      <c r="A14" s="41" t="s">
        <v>309</v>
      </c>
      <c r="B14" s="43" t="s">
        <v>310</v>
      </c>
      <c r="C14" s="41"/>
      <c r="D14" s="46" t="s">
        <v>311</v>
      </c>
      <c r="E14" s="41"/>
      <c r="F14" s="43" t="s">
        <v>312</v>
      </c>
      <c r="G14" s="41"/>
      <c r="H14" s="43" t="s">
        <v>313</v>
      </c>
      <c r="I14" s="41"/>
      <c r="J14" s="43" t="s">
        <v>310</v>
      </c>
      <c r="K14" s="41"/>
      <c r="L14" s="43" t="s">
        <v>314</v>
      </c>
      <c r="M14" s="41"/>
      <c r="N14" s="42" t="s">
        <v>315</v>
      </c>
      <c r="O14" s="41"/>
      <c r="P14" s="41"/>
    </row>
    <row r="15" spans="1:19" ht="18.5" x14ac:dyDescent="0.45">
      <c r="A15" s="41"/>
      <c r="B15" s="42" t="s">
        <v>316</v>
      </c>
      <c r="C15" s="41"/>
      <c r="D15" s="42"/>
      <c r="E15" s="41"/>
      <c r="F15" s="42" t="s">
        <v>317</v>
      </c>
      <c r="G15" s="41"/>
      <c r="H15" s="42" t="s">
        <v>318</v>
      </c>
      <c r="I15" s="41"/>
      <c r="J15" s="42">
        <f>25*B27</f>
        <v>13125</v>
      </c>
      <c r="K15" s="41" t="s">
        <v>284</v>
      </c>
      <c r="L15" s="42" t="s">
        <v>280</v>
      </c>
      <c r="M15" s="41"/>
      <c r="N15" s="42">
        <f>(31*B27)</f>
        <v>16275</v>
      </c>
      <c r="O15" s="41" t="s">
        <v>284</v>
      </c>
      <c r="P15" s="41"/>
    </row>
    <row r="16" spans="1:19" ht="18.5" x14ac:dyDescent="0.45">
      <c r="B16" s="44">
        <f>(25*B27)+(450*B28)</f>
        <v>33375</v>
      </c>
      <c r="C16" s="41" t="s">
        <v>284</v>
      </c>
      <c r="D16" s="44"/>
      <c r="F16" s="44">
        <f>(12*B27)+(85*B28)</f>
        <v>10125</v>
      </c>
      <c r="G16" t="s">
        <v>284</v>
      </c>
      <c r="H16" s="44">
        <f>(18*B27)+(90*45)</f>
        <v>13500</v>
      </c>
      <c r="I16" s="41" t="s">
        <v>284</v>
      </c>
      <c r="J16" s="44"/>
      <c r="L16" s="44">
        <f>(39*B27)+(150*B28)</f>
        <v>27225</v>
      </c>
      <c r="M16" s="41" t="s">
        <v>284</v>
      </c>
      <c r="N16" s="44"/>
    </row>
    <row r="17" spans="1:16" ht="18.5" x14ac:dyDescent="0.45">
      <c r="P17" s="41"/>
    </row>
    <row r="18" spans="1:16" ht="18.5" x14ac:dyDescent="0.45">
      <c r="A18" s="41"/>
      <c r="B18" s="42"/>
      <c r="C18" s="41"/>
      <c r="D18" s="42"/>
      <c r="E18" s="41"/>
      <c r="F18" s="42"/>
      <c r="G18" s="41"/>
      <c r="H18" s="42"/>
      <c r="I18" s="41"/>
      <c r="J18" s="42"/>
      <c r="K18" s="41"/>
      <c r="L18" s="42"/>
      <c r="M18" s="41"/>
      <c r="N18" s="42"/>
      <c r="O18" s="41"/>
      <c r="P18" s="41"/>
    </row>
    <row r="19" spans="1:16" ht="18.5" x14ac:dyDescent="0.45">
      <c r="A19" s="41" t="s">
        <v>319</v>
      </c>
      <c r="B19" s="43" t="s">
        <v>320</v>
      </c>
      <c r="C19" s="41"/>
      <c r="D19" s="42"/>
      <c r="E19" s="41"/>
      <c r="F19" s="43" t="s">
        <v>321</v>
      </c>
      <c r="G19" s="41"/>
      <c r="H19" s="43" t="s">
        <v>322</v>
      </c>
      <c r="I19" s="41"/>
      <c r="J19" s="43" t="s">
        <v>323</v>
      </c>
      <c r="K19" s="41"/>
      <c r="L19" s="43" t="s">
        <v>324</v>
      </c>
      <c r="M19" s="41"/>
      <c r="N19" s="43" t="s">
        <v>325</v>
      </c>
      <c r="O19" s="41"/>
      <c r="P19" s="41"/>
    </row>
    <row r="20" spans="1:16" ht="18.5" x14ac:dyDescent="0.45">
      <c r="A20" s="41"/>
      <c r="B20" s="42"/>
      <c r="C20" s="41"/>
      <c r="D20" s="42"/>
      <c r="E20" s="41"/>
      <c r="F20" s="42"/>
      <c r="G20" s="41"/>
      <c r="H20" s="42"/>
      <c r="I20" s="41"/>
      <c r="J20" s="42"/>
      <c r="K20" s="41"/>
      <c r="L20" s="42"/>
      <c r="M20" s="41"/>
      <c r="N20" s="42"/>
      <c r="O20" s="41"/>
      <c r="P20" s="41"/>
    </row>
    <row r="21" spans="1:16" ht="18.5" x14ac:dyDescent="0.45">
      <c r="A21" s="41"/>
      <c r="B21" s="42"/>
      <c r="C21" s="41"/>
      <c r="D21" s="42"/>
      <c r="E21" s="41"/>
      <c r="F21" s="42"/>
      <c r="G21" s="41"/>
      <c r="H21" s="42"/>
      <c r="I21" s="41"/>
      <c r="J21" s="42"/>
      <c r="K21" s="41"/>
      <c r="L21" s="42"/>
      <c r="M21" s="41"/>
      <c r="N21" s="42"/>
      <c r="O21" s="41"/>
      <c r="P21" s="41"/>
    </row>
    <row r="22" spans="1:16" ht="18.5" x14ac:dyDescent="0.45">
      <c r="A22" s="41" t="s">
        <v>326</v>
      </c>
      <c r="B22" s="41">
        <f>(86*B27)+(1750*B28)</f>
        <v>123900</v>
      </c>
      <c r="C22" s="41"/>
      <c r="D22" s="41"/>
      <c r="E22" s="41"/>
      <c r="F22" s="41">
        <f>(94*B27)+(525*B28)</f>
        <v>72975</v>
      </c>
      <c r="G22" s="41"/>
      <c r="H22" s="41">
        <f>(198*B27)+(2470*B28)</f>
        <v>215100</v>
      </c>
      <c r="I22" s="41"/>
      <c r="J22" s="41">
        <f>(122*B27)+(1014*B28)</f>
        <v>109680</v>
      </c>
      <c r="K22" s="41"/>
      <c r="L22" s="41">
        <f>(218*B27)+(1050*B28)</f>
        <v>161700</v>
      </c>
      <c r="M22" s="41"/>
      <c r="N22" s="41">
        <f>(177*B27)+(1170*B28)</f>
        <v>145575</v>
      </c>
      <c r="O22" s="41"/>
      <c r="P22" s="41"/>
    </row>
    <row r="23" spans="1:16" ht="18.5" x14ac:dyDescent="0.4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spans="1:16" ht="18.5" x14ac:dyDescent="0.4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spans="1:16" ht="18.5" x14ac:dyDescent="0.4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spans="1:16" ht="18.5" x14ac:dyDescent="0.45">
      <c r="A26" s="41" t="s">
        <v>327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</row>
    <row r="27" spans="1:16" ht="18.5" x14ac:dyDescent="0.45">
      <c r="A27" s="41" t="s">
        <v>328</v>
      </c>
      <c r="B27" s="41">
        <v>525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spans="1:16" ht="18.5" x14ac:dyDescent="0.45">
      <c r="A28" s="41" t="s">
        <v>329</v>
      </c>
      <c r="B28" s="41">
        <v>45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</row>
    <row r="29" spans="1:16" ht="18.5" x14ac:dyDescent="0.4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</row>
    <row r="30" spans="1:16" ht="18.5" x14ac:dyDescent="0.4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</row>
    <row r="31" spans="1:16" ht="18.5" x14ac:dyDescent="0.4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 spans="1:16" ht="18.5" x14ac:dyDescent="0.45">
      <c r="A32" s="47" t="s">
        <v>330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</row>
    <row r="33" spans="1:16" ht="18.5" x14ac:dyDescent="0.45">
      <c r="A33" s="47" t="s">
        <v>262</v>
      </c>
      <c r="B33" s="41">
        <v>15.2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</row>
    <row r="34" spans="1:16" ht="18.5" x14ac:dyDescent="0.45">
      <c r="A34" s="47" t="s">
        <v>263</v>
      </c>
      <c r="B34" s="41">
        <v>15.3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</row>
    <row r="35" spans="1:16" ht="18.5" x14ac:dyDescent="0.45">
      <c r="A35" s="47" t="s">
        <v>264</v>
      </c>
      <c r="B35" s="41">
        <v>15.5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</row>
    <row r="36" spans="1:16" ht="18.5" x14ac:dyDescent="0.45">
      <c r="A36" s="47" t="s">
        <v>265</v>
      </c>
      <c r="B36" s="41">
        <v>6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</row>
    <row r="37" spans="1:16" ht="18.5" x14ac:dyDescent="0.4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</row>
    <row r="38" spans="1:16" ht="18.5" x14ac:dyDescent="0.4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</row>
    <row r="39" spans="1:16" ht="18.5" x14ac:dyDescent="0.4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</row>
    <row r="40" spans="1:16" ht="18.5" x14ac:dyDescent="0.4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</row>
    <row r="41" spans="1:16" ht="18.5" x14ac:dyDescent="0.4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</row>
    <row r="42" spans="1:16" ht="18.5" x14ac:dyDescent="0.4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</row>
    <row r="43" spans="1:16" ht="18.5" x14ac:dyDescent="0.4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</row>
    <row r="44" spans="1:16" ht="18.5" x14ac:dyDescent="0.4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</row>
    <row r="45" spans="1:16" ht="18.5" x14ac:dyDescent="0.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</row>
    <row r="46" spans="1:16" ht="18.5" x14ac:dyDescent="0.4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</row>
    <row r="47" spans="1:16" ht="18.5" x14ac:dyDescent="0.4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</row>
    <row r="48" spans="1:16" ht="18.5" x14ac:dyDescent="0.4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</row>
    <row r="49" spans="1:16" ht="18.5" x14ac:dyDescent="0.4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</row>
    <row r="50" spans="1:16" ht="18.5" x14ac:dyDescent="0.4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EF01</vt:lpstr>
      <vt:lpstr>EF02</vt:lpstr>
      <vt:lpstr>EF03</vt:lpstr>
      <vt:lpstr>Hay Yields by Subfield (EF03)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Jonathan Sanderman</cp:lastModifiedBy>
  <dcterms:created xsi:type="dcterms:W3CDTF">2023-08-07T16:50:07Z</dcterms:created>
  <dcterms:modified xsi:type="dcterms:W3CDTF">2025-01-17T20:00:59Z</dcterms:modified>
</cp:coreProperties>
</file>